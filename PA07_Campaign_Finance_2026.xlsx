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comments/comment2.xml" ContentType="application/vnd.openxmlformats-officedocument.spreadsheetml.comments+xml"/>
  <Override PartName="/xl/worksheets/sheet7.xml" ContentType="application/vnd.openxmlformats-officedocument.spreadsheetml.worksheet+xml"/>
  <Override PartName="/xl/drawings/drawing2.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harts" sheetId="2" state="visible" r:id="rId2"/>
    <sheet xmlns:r="http://schemas.openxmlformats.org/officeDocument/2006/relationships" name="Money Sources" sheetId="3" state="visible" r:id="rId3"/>
    <sheet xmlns:r="http://schemas.openxmlformats.org/officeDocument/2006/relationships" name="Candidate Totals" sheetId="4" state="visible" r:id="rId4"/>
    <sheet xmlns:r="http://schemas.openxmlformats.org/officeDocument/2006/relationships" name="Outside Money" sheetId="5" state="visible" r:id="rId5"/>
    <sheet xmlns:r="http://schemas.openxmlformats.org/officeDocument/2006/relationships" name="History — Finance &amp; Results" sheetId="6" state="visible" r:id="rId6"/>
    <sheet xmlns:r="http://schemas.openxmlformats.org/officeDocument/2006/relationships" name="History Charts" sheetId="7" state="visible" r:id="rId7"/>
    <sheet xmlns:r="http://schemas.openxmlformats.org/officeDocument/2006/relationships" name="Money vs Results" sheetId="8" state="visible" r:id="rId8"/>
    <sheet xmlns:r="http://schemas.openxmlformats.org/officeDocument/2006/relationships" name="Notes &amp; Sources" sheetId="9" state="visible" r:id="rId9"/>
  </sheets>
  <definedNames/>
  <calcPr calcId="124519" fullCalcOnLoad="1"/>
</workbook>
</file>

<file path=xl/styles.xml><?xml version="1.0" encoding="utf-8"?>
<styleSheet xmlns="http://schemas.openxmlformats.org/spreadsheetml/2006/main">
  <numFmts count="14">
    <numFmt numFmtId="164" formatCode="$#,##0;($#,##0);&quot;—&quot;"/>
    <numFmt numFmtId="165" formatCode="$#,##0.00;($#,##0.00);&quot;—&quot;"/>
    <numFmt numFmtId="166" formatCode="0.0%;(0.0%);&quot;—&quot;"/>
    <numFmt numFmtId="167" formatCode="0.0&quot;pp&quot;;(0.0&quot;pp&quot;);&quot;—&quot;"/>
    <numFmt numFmtId="168" formatCode="#,##0;(#,##0);&quot;—&quot;"/>
    <numFmt numFmtId="169" formatCode="0.00%;(0.00%);&quot;—&quot;"/>
    <numFmt numFmtId="170" formatCode="0&quot; mismatched&quot;"/>
    <numFmt numFmtId="171" formatCode="+0.0000;-0.0000;0.0000"/>
    <numFmt numFmtId="172" formatCode="0.0000"/>
    <numFmt numFmtId="173" formatCode="0.00000"/>
    <numFmt numFmtId="174" formatCode="0.000"/>
    <numFmt numFmtId="175" formatCode="+0.00&quot;pp&quot;;-0.00&quot;pp&quot;;0.00&quot;pp&quot;"/>
    <numFmt numFmtId="176" formatCode="+0.0000;-0.0000"/>
    <numFmt numFmtId="177" formatCode="&quot;p = &quot;0.000"/>
  </numFmts>
  <fonts count="20">
    <font>
      <name val="Calibri"/>
      <family val="2"/>
      <color theme="1"/>
      <sz val="11"/>
      <scheme val="minor"/>
    </font>
    <font>
      <name val="Arial"/>
      <b val="1"/>
      <color rgb="001F3864"/>
      <sz val="15"/>
    </font>
    <font>
      <name val="Arial"/>
      <i val="1"/>
      <color rgb="00595959"/>
      <sz val="9"/>
    </font>
    <font>
      <name val="Arial"/>
      <b val="1"/>
      <color rgb="00FFFFFF"/>
      <sz val="11"/>
    </font>
    <font>
      <name val="Arial"/>
      <b val="1"/>
      <color rgb="00FFFFFF"/>
      <sz val="9"/>
    </font>
    <font>
      <name val="Arial"/>
      <sz val="10"/>
    </font>
    <font>
      <name val="Arial"/>
      <color rgb="000000FF"/>
      <sz val="10"/>
    </font>
    <font>
      <name val="Arial"/>
      <i val="1"/>
      <color rgb="00C00000"/>
      <sz val="10"/>
    </font>
    <font>
      <name val="Arial"/>
      <b val="1"/>
      <sz val="10"/>
    </font>
    <font>
      <name val="Arial"/>
      <b val="1"/>
      <color rgb="001F3864"/>
      <sz val="10"/>
    </font>
    <font>
      <name val="Arial"/>
      <color rgb="00595959"/>
      <sz val="9"/>
    </font>
    <font>
      <name val="Arial"/>
      <color rgb="000F7B3E"/>
      <sz val="10"/>
    </font>
    <font>
      <name val="Arial"/>
      <color rgb="00C00000"/>
      <sz val="10"/>
    </font>
    <font>
      <name val="Arial"/>
      <color rgb="00008000"/>
      <sz val="10"/>
    </font>
    <font>
      <name val="Arial"/>
      <i val="1"/>
      <sz val="10"/>
    </font>
    <font>
      <name val="Arial"/>
      <b val="1"/>
      <color rgb="00C00000"/>
      <sz val="10"/>
    </font>
    <font>
      <name val="Arial"/>
      <b val="1"/>
      <color rgb="002E75B6"/>
      <sz val="10"/>
    </font>
    <font>
      <name val="Arial"/>
      <b val="1"/>
      <color rgb="000F7B3E"/>
      <sz val="10"/>
    </font>
    <font>
      <name val="Arial"/>
      <b val="1"/>
      <color rgb="00C0392B"/>
      <sz val="10"/>
    </font>
    <font>
      <name val="Arial"/>
      <color rgb="00595959"/>
      <sz val="10"/>
    </font>
  </fonts>
  <fills count="8">
    <fill>
      <patternFill/>
    </fill>
    <fill>
      <patternFill patternType="gray125"/>
    </fill>
    <fill>
      <patternFill patternType="solid">
        <fgColor rgb="001F3864"/>
      </patternFill>
    </fill>
    <fill>
      <patternFill patternType="solid">
        <fgColor rgb="004472C4"/>
      </patternFill>
    </fill>
    <fill>
      <patternFill patternType="solid">
        <fgColor rgb="00F2F2F2"/>
      </patternFill>
    </fill>
    <fill>
      <patternFill patternType="solid">
        <fgColor rgb="00D9E2F3"/>
      </patternFill>
    </fill>
    <fill>
      <patternFill patternType="solid">
        <fgColor rgb="00FFF2CC"/>
      </patternFill>
    </fill>
    <fill>
      <patternFill patternType="solid">
        <fgColor rgb="00EAF3E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0">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2" borderId="0" pivotButton="0" quotePrefix="0" xfId="0"/>
    <xf numFmtId="0" fontId="4" fillId="3" borderId="1" applyAlignment="1" pivotButton="0" quotePrefix="0" xfId="0">
      <alignment horizontal="center" vertical="center" wrapText="1"/>
    </xf>
    <xf numFmtId="0" fontId="5" fillId="0" borderId="1" pivotButton="0" quotePrefix="0" xfId="0"/>
    <xf numFmtId="164" fontId="6" fillId="0" borderId="1" pivotButton="0" quotePrefix="0" xfId="0"/>
    <xf numFmtId="164" fontId="5" fillId="0" borderId="1" pivotButton="0" quotePrefix="0" xfId="0"/>
    <xf numFmtId="0" fontId="7" fillId="0" borderId="1" pivotButton="0" quotePrefix="0" xfId="0"/>
    <xf numFmtId="0" fontId="0" fillId="4" borderId="1" pivotButton="0" quotePrefix="0" xfId="0"/>
    <xf numFmtId="0" fontId="8" fillId="5" borderId="1" pivotButton="0" quotePrefix="0" xfId="0"/>
    <xf numFmtId="0" fontId="0" fillId="5" borderId="1" pivotButton="0" quotePrefix="0" xfId="0"/>
    <xf numFmtId="164" fontId="8" fillId="5" borderId="1" pivotButton="0" quotePrefix="0" xfId="0"/>
    <xf numFmtId="0" fontId="9" fillId="0" borderId="0" applyAlignment="1" pivotButton="0" quotePrefix="0" xfId="0">
      <alignment vertical="top" wrapText="1"/>
    </xf>
    <xf numFmtId="0" fontId="10" fillId="0" borderId="0" applyAlignment="1" pivotButton="0" quotePrefix="0" xfId="0">
      <alignment vertical="top" wrapText="1"/>
    </xf>
    <xf numFmtId="0" fontId="11" fillId="0" borderId="1" applyAlignment="1" pivotButton="0" quotePrefix="0" xfId="0">
      <alignment horizontal="center"/>
    </xf>
    <xf numFmtId="165" fontId="6" fillId="0" borderId="1" pivotButton="0" quotePrefix="0" xfId="0"/>
    <xf numFmtId="166" fontId="5" fillId="0" borderId="1" pivotButton="0" quotePrefix="0" xfId="0"/>
    <xf numFmtId="0" fontId="12" fillId="0" borderId="1" applyAlignment="1" pivotButton="0" quotePrefix="0" xfId="0">
      <alignment horizontal="center"/>
    </xf>
    <xf numFmtId="165" fontId="8" fillId="5" borderId="1" pivotButton="0" quotePrefix="0" xfId="0"/>
    <xf numFmtId="166" fontId="8" fillId="5" borderId="1" pivotButton="0" quotePrefix="0" xfId="0"/>
    <xf numFmtId="164" fontId="13" fillId="0" borderId="1" pivotButton="0" quotePrefix="0" xfId="0"/>
    <xf numFmtId="0" fontId="14" fillId="0" borderId="0" pivotButton="0" quotePrefix="0" xfId="0"/>
    <xf numFmtId="165" fontId="14" fillId="0" borderId="0" pivotButton="0" quotePrefix="0" xfId="0"/>
    <xf numFmtId="0" fontId="8" fillId="0" borderId="1" pivotButton="0" quotePrefix="0" xfId="0"/>
    <xf numFmtId="164" fontId="8" fillId="0" borderId="1" pivotButton="0" quotePrefix="0" xfId="0"/>
    <xf numFmtId="167" fontId="5" fillId="0" borderId="1" pivotButton="0" quotePrefix="0" xfId="0"/>
    <xf numFmtId="0" fontId="5" fillId="0" borderId="0" pivotButton="0" quotePrefix="0" xfId="0"/>
    <xf numFmtId="0" fontId="15" fillId="0" borderId="0" applyAlignment="1" pivotButton="0" quotePrefix="0" xfId="0">
      <alignment horizontal="left"/>
    </xf>
    <xf numFmtId="0" fontId="10" fillId="0" borderId="0" pivotButton="0" quotePrefix="0" xfId="0"/>
    <xf numFmtId="0" fontId="8" fillId="0" borderId="0" applyAlignment="1" pivotButton="0" quotePrefix="0" xfId="0">
      <alignment horizontal="left"/>
    </xf>
    <xf numFmtId="0" fontId="5" fillId="0" borderId="0" applyAlignment="1" pivotButton="0" quotePrefix="0" xfId="0">
      <alignment horizontal="left"/>
    </xf>
    <xf numFmtId="164" fontId="13" fillId="5" borderId="1" pivotButton="0" quotePrefix="0" xfId="0"/>
    <xf numFmtId="166" fontId="13" fillId="0" borderId="1" pivotButton="0" quotePrefix="0" xfId="0"/>
    <xf numFmtId="167" fontId="8" fillId="0" borderId="1" pivotButton="0" quotePrefix="0" xfId="0"/>
    <xf numFmtId="166" fontId="5" fillId="5" borderId="1" pivotButton="0" quotePrefix="0" xfId="0"/>
    <xf numFmtId="0" fontId="13" fillId="5" borderId="1" pivotButton="0" quotePrefix="0" xfId="0"/>
    <xf numFmtId="0" fontId="13" fillId="0" borderId="1" pivotButton="0" quotePrefix="0" xfId="0"/>
    <xf numFmtId="0" fontId="5" fillId="0" borderId="1" applyAlignment="1" pivotButton="0" quotePrefix="0" xfId="0">
      <alignment vertical="top" wrapText="1"/>
    </xf>
    <xf numFmtId="164" fontId="9" fillId="0" borderId="1" pivotButton="0" quotePrefix="0" xfId="0"/>
    <xf numFmtId="166" fontId="9" fillId="0" borderId="1" pivotButton="0" quotePrefix="0" xfId="0"/>
    <xf numFmtId="0" fontId="5" fillId="6" borderId="0" applyAlignment="1" pivotButton="0" quotePrefix="0" xfId="0">
      <alignment vertical="top" wrapText="1"/>
    </xf>
    <xf numFmtId="0" fontId="0" fillId="6" borderId="0" pivotButton="0" quotePrefix="0" xfId="0"/>
    <xf numFmtId="0" fontId="9" fillId="0" borderId="0" pivotButton="0" quotePrefix="0" xfId="0"/>
    <xf numFmtId="0" fontId="4" fillId="0" borderId="0" pivotButton="0" quotePrefix="0" xfId="0"/>
    <xf numFmtId="164" fontId="13" fillId="0" borderId="0" pivotButton="0" quotePrefix="0" xfId="0"/>
    <xf numFmtId="0" fontId="5" fillId="0" borderId="0" applyAlignment="1" pivotButton="0" quotePrefix="0" xfId="0">
      <alignment vertical="top" wrapText="1"/>
    </xf>
    <xf numFmtId="0" fontId="12" fillId="0" borderId="0" applyAlignment="1" pivotButton="0" quotePrefix="0" xfId="0">
      <alignment vertical="top" wrapText="1"/>
    </xf>
    <xf numFmtId="0" fontId="8" fillId="0" borderId="0" pivotButton="0" quotePrefix="0" xfId="0"/>
    <xf numFmtId="0" fontId="6" fillId="7" borderId="1" pivotButton="0" quotePrefix="0" xfId="0"/>
    <xf numFmtId="0" fontId="6" fillId="7" borderId="1" applyAlignment="1" pivotButton="0" quotePrefix="0" xfId="0">
      <alignment vertical="top" wrapText="1"/>
    </xf>
    <xf numFmtId="0" fontId="16" fillId="7" borderId="1" applyAlignment="1" pivotButton="0" quotePrefix="0" xfId="0">
      <alignment horizontal="center"/>
    </xf>
    <xf numFmtId="0" fontId="5" fillId="7" borderId="1" pivotButton="0" quotePrefix="0" xfId="0"/>
    <xf numFmtId="164" fontId="6" fillId="7" borderId="1" pivotButton="0" quotePrefix="0" xfId="0"/>
    <xf numFmtId="164" fontId="5" fillId="7" borderId="1" pivotButton="0" quotePrefix="0" xfId="0"/>
    <xf numFmtId="168" fontId="6" fillId="7" borderId="1" pivotButton="0" quotePrefix="0" xfId="0"/>
    <xf numFmtId="169" fontId="5" fillId="7" borderId="1" pivotButton="0" quotePrefix="0" xfId="0"/>
    <xf numFmtId="0" fontId="17" fillId="7" borderId="1" applyAlignment="1" pivotButton="0" quotePrefix="0" xfId="0">
      <alignment horizontal="center"/>
    </xf>
    <xf numFmtId="165" fontId="5" fillId="7" borderId="1" pivotButton="0" quotePrefix="0" xfId="0"/>
    <xf numFmtId="0" fontId="6" fillId="0" borderId="1" pivotButton="0" quotePrefix="0" xfId="0"/>
    <xf numFmtId="0" fontId="6" fillId="0" borderId="1" applyAlignment="1" pivotButton="0" quotePrefix="0" xfId="0">
      <alignment vertical="top" wrapText="1"/>
    </xf>
    <xf numFmtId="0" fontId="18" fillId="0" borderId="1" applyAlignment="1" pivotButton="0" quotePrefix="0" xfId="0">
      <alignment horizontal="center"/>
    </xf>
    <xf numFmtId="168" fontId="6" fillId="0" borderId="1" pivotButton="0" quotePrefix="0" xfId="0"/>
    <xf numFmtId="169" fontId="5" fillId="0" borderId="1" pivotButton="0" quotePrefix="0" xfId="0"/>
    <xf numFmtId="0" fontId="19" fillId="0" borderId="1" applyAlignment="1" pivotButton="0" quotePrefix="0" xfId="0">
      <alignment horizontal="center"/>
    </xf>
    <xf numFmtId="165" fontId="5" fillId="0" borderId="1" pivotButton="0" quotePrefix="0" xfId="0"/>
    <xf numFmtId="0" fontId="16" fillId="0" borderId="1" applyAlignment="1" pivotButton="0" quotePrefix="0" xfId="0">
      <alignment horizontal="center"/>
    </xf>
    <xf numFmtId="0" fontId="18" fillId="7" borderId="1" applyAlignment="1" pivotButton="0" quotePrefix="0" xfId="0">
      <alignment horizontal="center"/>
    </xf>
    <xf numFmtId="0" fontId="0" fillId="0" borderId="1" pivotButton="0" quotePrefix="0" xfId="0"/>
    <xf numFmtId="0" fontId="5" fillId="0" borderId="1" applyAlignment="1" pivotButton="0" quotePrefix="0" xfId="0">
      <alignment horizontal="center"/>
    </xf>
    <xf numFmtId="168" fontId="6" fillId="4" borderId="1" pivotButton="0" quotePrefix="0" xfId="0"/>
    <xf numFmtId="169" fontId="5" fillId="4" borderId="1" pivotButton="0" quotePrefix="0" xfId="0"/>
    <xf numFmtId="170" fontId="14" fillId="0" borderId="0" applyAlignment="1" pivotButton="0" quotePrefix="0" xfId="0">
      <alignment horizontal="center"/>
    </xf>
    <xf numFmtId="169" fontId="13" fillId="0" borderId="1" pivotButton="0" quotePrefix="0" xfId="0"/>
    <xf numFmtId="1" fontId="5" fillId="0" borderId="1" pivotButton="0" quotePrefix="0" xfId="0"/>
    <xf numFmtId="171" fontId="5" fillId="0" borderId="1" pivotButton="0" quotePrefix="0" xfId="0"/>
    <xf numFmtId="172" fontId="5" fillId="0" borderId="1" pivotButton="0" quotePrefix="0" xfId="0"/>
    <xf numFmtId="173" fontId="5" fillId="0" borderId="1" pivotButton="0" quotePrefix="0" xfId="0"/>
    <xf numFmtId="174" fontId="5" fillId="0" borderId="1" pivotButton="0" quotePrefix="0" xfId="0"/>
    <xf numFmtId="0" fontId="15" fillId="0" borderId="1" pivotButton="0" quotePrefix="0" xfId="0"/>
    <xf numFmtId="175" fontId="5" fillId="0" borderId="1" pivotButton="0" quotePrefix="0" xfId="0"/>
    <xf numFmtId="0" fontId="4" fillId="3" borderId="1" applyAlignment="1" pivotButton="0" quotePrefix="0" xfId="0">
      <alignment horizontal="center"/>
    </xf>
    <xf numFmtId="0" fontId="17" fillId="0" borderId="1" applyAlignment="1" pivotButton="0" quotePrefix="0" xfId="0">
      <alignment horizontal="center"/>
    </xf>
    <xf numFmtId="0" fontId="15" fillId="0" borderId="1" applyAlignment="1" pivotButton="0" quotePrefix="0" xfId="0">
      <alignment horizontal="center"/>
    </xf>
    <xf numFmtId="176" fontId="9" fillId="0" borderId="1" pivotButton="0" quotePrefix="0" xfId="0"/>
    <xf numFmtId="177" fontId="5" fillId="0" borderId="1" pivotButton="0" quotePrefix="0" xfId="0"/>
    <xf numFmtId="169" fontId="13" fillId="0" borderId="0" pivotButton="0" quotePrefix="0" xfId="0"/>
    <xf numFmtId="169" fontId="5" fillId="0" borderId="0" pivotButton="0" quotePrefix="0" xfId="0"/>
    <xf numFmtId="165" fontId="1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1 · Receipts, spending and cash on hand</a:t>
            </a:r>
          </a:p>
        </rich>
      </tx>
    </title>
    <plotArea>
      <barChart>
        <barDir val="col"/>
        <grouping val="clustered"/>
        <ser>
          <idx val="0"/>
          <order val="0"/>
          <tx>
            <strRef>
              <f>'Charts'!S3</f>
            </strRef>
          </tx>
          <spPr>
            <a:solidFill xmlns:a="http://schemas.openxmlformats.org/drawingml/2006/main">
              <a:srgbClr val="2E75B6"/>
            </a:solidFill>
            <a:ln xmlns:a="http://schemas.openxmlformats.org/drawingml/2006/main">
              <a:solidFill>
                <a:srgbClr val="2E75B6"/>
              </a:solidFill>
              <a:prstDash val="solid"/>
            </a:ln>
          </spPr>
          <cat>
            <numRef>
              <f>'Charts'!$R$4:$R$6</f>
            </numRef>
          </cat>
          <val>
            <numRef>
              <f>'Charts'!$S$4:$S$6</f>
            </numRef>
          </val>
        </ser>
        <ser>
          <idx val="1"/>
          <order val="1"/>
          <tx>
            <strRef>
              <f>'Charts'!T3</f>
            </strRef>
          </tx>
          <spPr>
            <a:solidFill xmlns:a="http://schemas.openxmlformats.org/drawingml/2006/main">
              <a:srgbClr val="C0392B"/>
            </a:solidFill>
            <a:ln xmlns:a="http://schemas.openxmlformats.org/drawingml/2006/main">
              <a:solidFill>
                <a:srgbClr val="C0392B"/>
              </a:solidFill>
              <a:prstDash val="solid"/>
            </a:ln>
          </spPr>
          <cat>
            <numRef>
              <f>'Charts'!$R$4:$R$6</f>
            </numRef>
          </cat>
          <val>
            <numRef>
              <f>'Charts'!$T$4:$T$6</f>
            </numRef>
          </val>
        </ser>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spPr>
            <a:ln xmlns:a="http://schemas.openxmlformats.org/drawingml/2006/main">
              <a:prstDash val="solid"/>
            </a:ln>
          </spPr>
        </majorGridlines>
        <title>
          <tx>
            <rich>
              <a:bodyPr xmlns:a="http://schemas.openxmlformats.org/drawingml/2006/main"/>
              <a:p xmlns:a="http://schemas.openxmlformats.org/drawingml/2006/main">
                <a:pPr>
                  <a:defRPr/>
                </a:pPr>
                <a:r>
                  <a:t>US dollars</a:t>
                </a:r>
              </a:p>
            </rich>
          </tx>
        </title>
        <numFmt formatCode="$#,##0.0,,&quot;M&quot;" sourceLinked="0"/>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2 · Where each campaign's receipts came from</a:t>
            </a:r>
          </a:p>
        </rich>
      </tx>
    </title>
    <plotArea>
      <barChart>
        <barDir val="col"/>
        <grouping val="stacked"/>
        <ser>
          <idx val="0"/>
          <order val="0"/>
          <tx>
            <strRef>
              <f>'Charts'!S9</f>
            </strRef>
          </tx>
          <spPr>
            <a:solidFill xmlns:a="http://schemas.openxmlformats.org/drawingml/2006/main">
              <a:srgbClr val="1F4E79"/>
            </a:solidFill>
            <a:ln xmlns:a="http://schemas.openxmlformats.org/drawingml/2006/main">
              <a:solidFill>
                <a:srgbClr val="1F4E79"/>
              </a:solidFill>
              <a:prstDash val="solid"/>
            </a:ln>
          </spPr>
          <cat>
            <numRef>
              <f>'Charts'!$R$10:$R$11</f>
            </numRef>
          </cat>
          <val>
            <numRef>
              <f>'Charts'!$S$10:$S$11</f>
            </numRef>
          </val>
        </ser>
        <ser>
          <idx val="1"/>
          <order val="1"/>
          <tx>
            <strRef>
              <f>'Charts'!T9</f>
            </strRef>
          </tx>
          <spPr>
            <a:solidFill xmlns:a="http://schemas.openxmlformats.org/drawingml/2006/main">
              <a:srgbClr val="2E75B6"/>
            </a:solidFill>
            <a:ln xmlns:a="http://schemas.openxmlformats.org/drawingml/2006/main">
              <a:solidFill>
                <a:srgbClr val="2E75B6"/>
              </a:solidFill>
              <a:prstDash val="solid"/>
            </a:ln>
          </spPr>
          <cat>
            <numRef>
              <f>'Charts'!$R$10:$R$11</f>
            </numRef>
          </cat>
          <val>
            <numRef>
              <f>'Charts'!$T$10:$T$11</f>
            </numRef>
          </val>
        </ser>
        <ser>
          <idx val="2"/>
          <order val="2"/>
          <tx>
            <strRef>
              <f>'Charts'!U9</f>
            </strRef>
          </tx>
          <spPr>
            <a:solidFill xmlns:a="http://schemas.openxmlformats.org/drawingml/2006/main">
              <a:srgbClr val="7EA6D9"/>
            </a:solidFill>
            <a:ln xmlns:a="http://schemas.openxmlformats.org/drawingml/2006/main">
              <a:solidFill>
                <a:srgbClr val="7EA6D9"/>
              </a:solidFill>
              <a:prstDash val="solid"/>
            </a:ln>
          </spPr>
          <cat>
            <numRef>
              <f>'Charts'!$R$10:$R$11</f>
            </numRef>
          </cat>
          <val>
            <numRef>
              <f>'Charts'!$U$10:$U$11</f>
            </numRef>
          </val>
        </ser>
        <ser>
          <idx val="3"/>
          <order val="3"/>
          <tx>
            <strRef>
              <f>'Charts'!V9</f>
            </strRef>
          </tx>
          <spPr>
            <a:solidFill xmlns:a="http://schemas.openxmlformats.org/drawingml/2006/main">
              <a:srgbClr val="A9C6E8"/>
            </a:solidFill>
            <a:ln xmlns:a="http://schemas.openxmlformats.org/drawingml/2006/main">
              <a:solidFill>
                <a:srgbClr val="A9C6E8"/>
              </a:solidFill>
              <a:prstDash val="solid"/>
            </a:ln>
          </spPr>
          <cat>
            <numRef>
              <f>'Charts'!$R$10:$R$11</f>
            </numRef>
          </cat>
          <val>
            <numRef>
              <f>'Charts'!$V$10:$V$11</f>
            </numRef>
          </val>
        </ser>
        <ser>
          <idx val="4"/>
          <order val="4"/>
          <tx>
            <strRef>
              <f>'Charts'!W9</f>
            </strRef>
          </tx>
          <spPr>
            <a:solidFill xmlns:a="http://schemas.openxmlformats.org/drawingml/2006/main">
              <a:srgbClr val="E8A33D"/>
            </a:solidFill>
            <a:ln xmlns:a="http://schemas.openxmlformats.org/drawingml/2006/main">
              <a:solidFill>
                <a:srgbClr val="E8A33D"/>
              </a:solidFill>
              <a:prstDash val="solid"/>
            </a:ln>
          </spPr>
          <cat>
            <numRef>
              <f>'Charts'!$R$10:$R$11</f>
            </numRef>
          </cat>
          <val>
            <numRef>
              <f>'Charts'!$W$10:$W$11</f>
            </numRef>
          </val>
        </ser>
        <ser>
          <idx val="5"/>
          <order val="5"/>
          <tx>
            <strRef>
              <f>'Charts'!X9</f>
            </strRef>
          </tx>
          <spPr>
            <a:solidFill xmlns:a="http://schemas.openxmlformats.org/drawingml/2006/main">
              <a:srgbClr val="7F7F7F"/>
            </a:solidFill>
            <a:ln xmlns:a="http://schemas.openxmlformats.org/drawingml/2006/main">
              <a:solidFill>
                <a:srgbClr val="7F7F7F"/>
              </a:solidFill>
              <a:prstDash val="solid"/>
            </a:ln>
          </spPr>
          <cat>
            <numRef>
              <f>'Charts'!$R$10:$R$11</f>
            </numRef>
          </cat>
          <val>
            <numRef>
              <f>'Charts'!$X$10:$X$11</f>
            </numRef>
          </val>
        </ser>
        <ser>
          <idx val="6"/>
          <order val="6"/>
          <tx>
            <strRef>
              <f>'Charts'!Y9</f>
            </strRef>
          </tx>
          <spPr>
            <a:solidFill xmlns:a="http://schemas.openxmlformats.org/drawingml/2006/main">
              <a:srgbClr val="D9D9D9"/>
            </a:solidFill>
            <a:ln xmlns:a="http://schemas.openxmlformats.org/drawingml/2006/main">
              <a:solidFill>
                <a:srgbClr val="D9D9D9"/>
              </a:solidFill>
              <a:prstDash val="solid"/>
            </a:ln>
          </spPr>
          <cat>
            <numRef>
              <f>'Charts'!$R$10:$R$11</f>
            </numRef>
          </cat>
          <val>
            <numRef>
              <f>'Charts'!$Y$10:$Y$11</f>
            </numRef>
          </val>
        </ser>
        <gapWidth val="150"/>
        <overlap val="10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spPr>
            <a:ln xmlns:a="http://schemas.openxmlformats.org/drawingml/2006/main">
              <a:prstDash val="solid"/>
            </a:ln>
          </spPr>
        </majorGridlines>
        <title>
          <tx>
            <rich>
              <a:bodyPr xmlns:a="http://schemas.openxmlformats.org/drawingml/2006/main"/>
              <a:p xmlns:a="http://schemas.openxmlformats.org/drawingml/2006/main">
                <a:pPr>
                  <a:defRPr/>
                </a:pPr>
                <a:r>
                  <a:t>US dollars</a:t>
                </a:r>
              </a:p>
            </rich>
          </tx>
        </title>
        <numFmt formatCode="$#,##0.0,,&quot;M&quot;" sourceLinked="0"/>
        <majorTickMark val="none"/>
        <minorTickMark val="none"/>
        <crossAx val="10"/>
      </valAx>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3 · The headline gap is mostly one committee transfer</a:t>
            </a:r>
          </a:p>
        </rich>
      </tx>
    </title>
    <plotArea>
      <barChart>
        <barDir val="col"/>
        <grouping val="clustered"/>
        <ser>
          <idx val="0"/>
          <order val="0"/>
          <tx>
            <strRef>
              <f>'Charts'!S14</f>
            </strRef>
          </tx>
          <spPr>
            <a:solidFill xmlns:a="http://schemas.openxmlformats.org/drawingml/2006/main">
              <a:srgbClr val="2E75B6"/>
            </a:solidFill>
            <a:ln xmlns:a="http://schemas.openxmlformats.org/drawingml/2006/main">
              <a:solidFill>
                <a:srgbClr val="2E75B6"/>
              </a:solidFill>
              <a:prstDash val="solid"/>
            </a:ln>
          </spPr>
          <cat>
            <numRef>
              <f>'Charts'!$R$15:$R$16</f>
            </numRef>
          </cat>
          <val>
            <numRef>
              <f>'Charts'!$S$15:$S$16</f>
            </numRef>
          </val>
        </ser>
        <ser>
          <idx val="1"/>
          <order val="1"/>
          <tx>
            <strRef>
              <f>'Charts'!T14</f>
            </strRef>
          </tx>
          <spPr>
            <a:solidFill xmlns:a="http://schemas.openxmlformats.org/drawingml/2006/main">
              <a:srgbClr val="C0392B"/>
            </a:solidFill>
            <a:ln xmlns:a="http://schemas.openxmlformats.org/drawingml/2006/main">
              <a:solidFill>
                <a:srgbClr val="C0392B"/>
              </a:solidFill>
              <a:prstDash val="solid"/>
            </a:ln>
          </spPr>
          <cat>
            <numRef>
              <f>'Charts'!$R$15:$R$16</f>
            </numRef>
          </cat>
          <val>
            <numRef>
              <f>'Charts'!$T$15:$T$16</f>
            </numRef>
          </val>
        </ser>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spPr>
            <a:ln xmlns:a="http://schemas.openxmlformats.org/drawingml/2006/main">
              <a:prstDash val="solid"/>
            </a:ln>
          </spPr>
        </majorGridlines>
        <title>
          <tx>
            <rich>
              <a:bodyPr xmlns:a="http://schemas.openxmlformats.org/drawingml/2006/main"/>
              <a:p xmlns:a="http://schemas.openxmlformats.org/drawingml/2006/main">
                <a:pPr>
                  <a:defRPr/>
                </a:pPr>
                <a:r>
                  <a:t>US dollars</a:t>
                </a:r>
              </a:p>
            </rich>
          </tx>
        </title>
        <numFmt formatCode="$#,##0.0,,&quot;M&quot;" sourceLinked="0"/>
        <majorTickMark val="none"/>
        <minorTickMark val="none"/>
        <crossAx val="10"/>
      </valAx>
    </plotArea>
    <legend>
      <legendPos val="r"/>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4 · The ten largest outside spenders</a:t>
            </a:r>
          </a:p>
        </rich>
      </tx>
    </title>
    <plotArea>
      <barChart>
        <barDir val="bar"/>
        <grouping val="clustered"/>
        <ser>
          <idx val="0"/>
          <order val="0"/>
          <tx>
            <strRef>
              <f>'Charts'!S19</f>
            </strRef>
          </tx>
          <spPr>
            <a:solidFill xmlns:a="http://schemas.openxmlformats.org/drawingml/2006/main">
              <a:srgbClr val="1F4E79"/>
            </a:solidFill>
            <a:ln xmlns:a="http://schemas.openxmlformats.org/drawingml/2006/main">
              <a:solidFill>
                <a:srgbClr val="1F4E79"/>
              </a:solidFill>
              <a:prstDash val="solid"/>
            </a:ln>
          </spPr>
          <dPt>
            <idx val="0"/>
            <spPr>
              <a:solidFill xmlns:a="http://schemas.openxmlformats.org/drawingml/2006/main">
                <a:srgbClr val="1F4E79"/>
              </a:solidFill>
              <a:ln xmlns:a="http://schemas.openxmlformats.org/drawingml/2006/main">
                <a:prstDash val="solid"/>
              </a:ln>
            </spPr>
          </dPt>
          <dPt>
            <idx val="1"/>
            <spPr>
              <a:solidFill xmlns:a="http://schemas.openxmlformats.org/drawingml/2006/main">
                <a:srgbClr val="C0392B"/>
              </a:solidFill>
              <a:ln xmlns:a="http://schemas.openxmlformats.org/drawingml/2006/main">
                <a:prstDash val="solid"/>
              </a:ln>
            </spPr>
          </dPt>
          <dPt>
            <idx val="2"/>
            <spPr>
              <a:solidFill xmlns:a="http://schemas.openxmlformats.org/drawingml/2006/main">
                <a:srgbClr val="1F4E79"/>
              </a:solidFill>
              <a:ln xmlns:a="http://schemas.openxmlformats.org/drawingml/2006/main">
                <a:prstDash val="solid"/>
              </a:ln>
            </spPr>
          </dPt>
          <dPt>
            <idx val="3"/>
            <spPr>
              <a:solidFill xmlns:a="http://schemas.openxmlformats.org/drawingml/2006/main">
                <a:srgbClr val="1F4E79"/>
              </a:solidFill>
              <a:ln xmlns:a="http://schemas.openxmlformats.org/drawingml/2006/main">
                <a:prstDash val="solid"/>
              </a:ln>
            </spPr>
          </dPt>
          <dPt>
            <idx val="4"/>
            <spPr>
              <a:solidFill xmlns:a="http://schemas.openxmlformats.org/drawingml/2006/main">
                <a:srgbClr val="1F4E79"/>
              </a:solidFill>
              <a:ln xmlns:a="http://schemas.openxmlformats.org/drawingml/2006/main">
                <a:prstDash val="solid"/>
              </a:ln>
            </spPr>
          </dPt>
          <dPt>
            <idx val="5"/>
            <spPr>
              <a:solidFill xmlns:a="http://schemas.openxmlformats.org/drawingml/2006/main">
                <a:srgbClr val="1F4E79"/>
              </a:solidFill>
              <a:ln xmlns:a="http://schemas.openxmlformats.org/drawingml/2006/main">
                <a:prstDash val="solid"/>
              </a:ln>
            </spPr>
          </dPt>
          <dPt>
            <idx val="6"/>
            <spPr>
              <a:solidFill xmlns:a="http://schemas.openxmlformats.org/drawingml/2006/main">
                <a:srgbClr val="1F4E79"/>
              </a:solidFill>
              <a:ln xmlns:a="http://schemas.openxmlformats.org/drawingml/2006/main">
                <a:prstDash val="solid"/>
              </a:ln>
            </spPr>
          </dPt>
          <dPt>
            <idx val="7"/>
            <spPr>
              <a:solidFill xmlns:a="http://schemas.openxmlformats.org/drawingml/2006/main">
                <a:srgbClr val="1F4E79"/>
              </a:solidFill>
              <a:ln xmlns:a="http://schemas.openxmlformats.org/drawingml/2006/main">
                <a:prstDash val="solid"/>
              </a:ln>
            </spPr>
          </dPt>
          <dPt>
            <idx val="8"/>
            <spPr>
              <a:solidFill xmlns:a="http://schemas.openxmlformats.org/drawingml/2006/main">
                <a:srgbClr val="1F4E79"/>
              </a:solidFill>
              <a:ln xmlns:a="http://schemas.openxmlformats.org/drawingml/2006/main">
                <a:prstDash val="solid"/>
              </a:ln>
            </spPr>
          </dPt>
          <dPt>
            <idx val="9"/>
            <spPr>
              <a:solidFill xmlns:a="http://schemas.openxmlformats.org/drawingml/2006/main">
                <a:srgbClr val="1F4E79"/>
              </a:solidFill>
              <a:ln xmlns:a="http://schemas.openxmlformats.org/drawingml/2006/main">
                <a:prstDash val="solid"/>
              </a:ln>
            </spPr>
          </dPt>
          <cat>
            <numRef>
              <f>'Charts'!$R$20:$R$29</f>
            </numRef>
          </cat>
          <val>
            <numRef>
              <f>'Charts'!$S$20:$S$29</f>
            </numRef>
          </val>
        </ser>
        <gapWidth val="150"/>
        <axId val="10"/>
        <axId val="100"/>
      </barChart>
      <catAx>
        <axId val="10"/>
        <scaling>
          <orientation val="minMax"/>
        </scaling>
        <delete val="0"/>
        <axPos val="l"/>
        <title>
          <tx>
            <rich>
              <a:bodyPr xmlns:a="http://schemas.openxmlformats.org/drawingml/2006/main"/>
              <a:p xmlns:a="http://schemas.openxmlformats.org/drawingml/2006/main">
                <a:pPr>
                  <a:defRPr/>
                </a:pPr>
                <a:r>
                  <a:t>US dollars</a:t>
                </a:r>
              </a:p>
            </rich>
          </tx>
        </title>
        <numFmt formatCode="$#,##0,&quot;K&quot;" sourceLinked="0"/>
        <majorTickMark val="none"/>
        <minorTickMark val="none"/>
        <crossAx val="100"/>
        <lblOffset val="100"/>
      </catAx>
      <valAx>
        <axId val="100"/>
        <scaling>
          <orientation val="minMax"/>
        </scaling>
        <delete val="0"/>
        <axPos val="l"/>
        <majorGridlines>
          <spPr>
            <a:ln xmlns:a="http://schemas.openxmlformats.org/drawingml/2006/main">
              <a:prstDash val="solid"/>
            </a:ln>
          </spPr>
        </majorGridlines>
        <majorTickMark val="none"/>
        <minorTickMark val="none"/>
        <crossAx val="10"/>
      </valAx>
    </plotArea>
    <plotVisOnly val="1"/>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5 · Outside money by target and stance</a:t>
            </a:r>
          </a:p>
        </rich>
      </tx>
    </title>
    <plotArea>
      <barChart>
        <barDir val="col"/>
        <grouping val="clustered"/>
        <ser>
          <idx val="0"/>
          <order val="0"/>
          <tx>
            <strRef>
              <f>'Charts'!S32</f>
            </strRef>
          </tx>
          <spPr>
            <a:solidFill xmlns:a="http://schemas.openxmlformats.org/drawingml/2006/main">
              <a:srgbClr val="1F4E79"/>
            </a:solidFill>
            <a:ln xmlns:a="http://schemas.openxmlformats.org/drawingml/2006/main">
              <a:solidFill>
                <a:srgbClr val="1F4E79"/>
              </a:solidFill>
              <a:prstDash val="solid"/>
            </a:ln>
          </spPr>
          <dPt>
            <idx val="0"/>
            <spPr>
              <a:solidFill xmlns:a="http://schemas.openxmlformats.org/drawingml/2006/main">
                <a:srgbClr val="2E75B6"/>
              </a:solidFill>
              <a:ln xmlns:a="http://schemas.openxmlformats.org/drawingml/2006/main">
                <a:prstDash val="solid"/>
              </a:ln>
            </spPr>
          </dPt>
          <dPt>
            <idx val="1"/>
            <spPr>
              <a:solidFill xmlns:a="http://schemas.openxmlformats.org/drawingml/2006/main">
                <a:srgbClr val="C0392B"/>
              </a:solidFill>
              <a:ln xmlns:a="http://schemas.openxmlformats.org/drawingml/2006/main">
                <a:prstDash val="solid"/>
              </a:ln>
            </spPr>
          </dPt>
          <dPt>
            <idx val="2"/>
            <spPr>
              <a:solidFill xmlns:a="http://schemas.openxmlformats.org/drawingml/2006/main">
                <a:srgbClr val="E8A33D"/>
              </a:solidFill>
              <a:ln xmlns:a="http://schemas.openxmlformats.org/drawingml/2006/main">
                <a:prstDash val="solid"/>
              </a:ln>
            </spPr>
          </dPt>
          <dPt>
            <idx val="3"/>
            <spPr>
              <a:solidFill xmlns:a="http://schemas.openxmlformats.org/drawingml/2006/main">
                <a:srgbClr val="7EA6D9"/>
              </a:solidFill>
              <a:ln xmlns:a="http://schemas.openxmlformats.org/drawingml/2006/main">
                <a:prstDash val="solid"/>
              </a:ln>
            </spPr>
          </dPt>
          <cat>
            <numRef>
              <f>'Charts'!$R$33:$R$36</f>
            </numRef>
          </cat>
          <val>
            <numRef>
              <f>'Charts'!$S$33:$S$36</f>
            </numRef>
          </val>
        </ser>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spPr>
            <a:ln xmlns:a="http://schemas.openxmlformats.org/drawingml/2006/main">
              <a:prstDash val="solid"/>
            </a:ln>
          </spPr>
        </majorGridlines>
        <title>
          <tx>
            <rich>
              <a:bodyPr xmlns:a="http://schemas.openxmlformats.org/drawingml/2006/main"/>
              <a:p xmlns:a="http://schemas.openxmlformats.org/drawingml/2006/main">
                <a:pPr>
                  <a:defRPr/>
                </a:pPr>
                <a:r>
                  <a:t>US dollars</a:t>
                </a:r>
              </a:p>
            </rich>
          </tx>
        </title>
        <numFmt formatCode="$#,##0.0,,&quot;M&quot;" sourceLinked="0"/>
        <majorTickMark val="none"/>
        <minorTickMark val="none"/>
        <crossAx val="10"/>
      </valAx>
    </plotArea>
    <plotVisOnly val="1"/>
    <dispBlanksAs val="gap"/>
  </chart>
</chartSpace>
</file>

<file path=xl/charts/chart6.xml><?xml version="1.0" encoding="utf-8"?>
<chartSpace xmlns="http://schemas.openxmlformats.org/drawingml/2006/chart">
  <chart>
    <title>
      <tx>
        <rich>
          <a:bodyPr xmlns:a="http://schemas.openxmlformats.org/drawingml/2006/main"/>
          <a:p xmlns:a="http://schemas.openxmlformats.org/drawingml/2006/main">
            <a:pPr>
              <a:defRPr/>
            </a:pPr>
            <a:r>
              <a:t>6 · Outside money is highly concentrated</a:t>
            </a:r>
          </a:p>
        </rich>
      </tx>
    </title>
    <plotArea>
      <pieChart>
        <varyColors val="1"/>
        <ser>
          <idx val="0"/>
          <order val="0"/>
          <tx>
            <strRef>
              <f>'Charts'!S39</f>
            </strRef>
          </tx>
          <spPr>
            <a:ln xmlns:a="http://schemas.openxmlformats.org/drawingml/2006/main">
              <a:prstDash val="solid"/>
            </a:ln>
          </spPr>
          <dPt>
            <idx val="0"/>
            <spPr>
              <a:solidFill xmlns:a="http://schemas.openxmlformats.org/drawingml/2006/main">
                <a:srgbClr val="1F4E79"/>
              </a:solidFill>
              <a:ln xmlns:a="http://schemas.openxmlformats.org/drawingml/2006/main">
                <a:prstDash val="solid"/>
              </a:ln>
            </spPr>
          </dPt>
          <dPt>
            <idx val="1"/>
            <spPr>
              <a:solidFill xmlns:a="http://schemas.openxmlformats.org/drawingml/2006/main">
                <a:srgbClr val="C0392B"/>
              </a:solidFill>
              <a:ln xmlns:a="http://schemas.openxmlformats.org/drawingml/2006/main">
                <a:prstDash val="solid"/>
              </a:ln>
            </spPr>
          </dPt>
          <dPt>
            <idx val="2"/>
            <spPr>
              <a:solidFill xmlns:a="http://schemas.openxmlformats.org/drawingml/2006/main">
                <a:srgbClr val="2E75B6"/>
              </a:solidFill>
              <a:ln xmlns:a="http://schemas.openxmlformats.org/drawingml/2006/main">
                <a:prstDash val="solid"/>
              </a:ln>
            </spPr>
          </dPt>
          <dPt>
            <idx val="3"/>
            <spPr>
              <a:solidFill xmlns:a="http://schemas.openxmlformats.org/drawingml/2006/main">
                <a:srgbClr val="7EA6D9"/>
              </a:solidFill>
              <a:ln xmlns:a="http://schemas.openxmlformats.org/drawingml/2006/main">
                <a:prstDash val="solid"/>
              </a:ln>
            </spPr>
          </dPt>
          <dPt>
            <idx val="4"/>
            <spPr>
              <a:solidFill xmlns:a="http://schemas.openxmlformats.org/drawingml/2006/main">
                <a:srgbClr val="5B9BD5"/>
              </a:solidFill>
              <a:ln xmlns:a="http://schemas.openxmlformats.org/drawingml/2006/main">
                <a:prstDash val="solid"/>
              </a:ln>
            </spPr>
          </dPt>
          <dPt>
            <idx val="5"/>
            <spPr>
              <a:solidFill xmlns:a="http://schemas.openxmlformats.org/drawingml/2006/main">
                <a:srgbClr val="A9C6E8"/>
              </a:solidFill>
              <a:ln xmlns:a="http://schemas.openxmlformats.org/drawingml/2006/main">
                <a:prstDash val="solid"/>
              </a:ln>
            </spPr>
          </dPt>
          <dPt>
            <idx val="6"/>
            <spPr>
              <a:solidFill xmlns:a="http://schemas.openxmlformats.org/drawingml/2006/main">
                <a:srgbClr val="D9D9D9"/>
              </a:solidFill>
              <a:ln xmlns:a="http://schemas.openxmlformats.org/drawingml/2006/main">
                <a:prstDash val="solid"/>
              </a:ln>
            </spPr>
          </dPt>
          <cat>
            <numRef>
              <f>'Charts'!$R$40:$R$46</f>
            </numRef>
          </cat>
          <val>
            <numRef>
              <f>'Charts'!$S$40:$S$46</f>
            </numRef>
          </val>
        </ser>
        <dLbls>
          <showPercent val="1"/>
        </dLbls>
        <firstSliceAng val="0"/>
      </pieChart>
    </plotArea>
    <legend>
      <legendPos val="r"/>
    </legend>
    <plotVisOnly val="1"/>
    <dispBlanksAs val="gap"/>
  </chart>
</chartSpace>
</file>

<file path=xl/charts/chart7.xml><?xml version="1.0" encoding="utf-8"?>
<chartSpace xmlns="http://schemas.openxmlformats.org/drawingml/2006/chart">
  <chart>
    <title>
      <tx>
        <rich>
          <a:bodyPr xmlns:a="http://schemas.openxmlformats.org/drawingml/2006/main"/>
          <a:p xmlns:a="http://schemas.openxmlformats.org/drawingml/2006/main">
            <a:pPr>
              <a:defRPr/>
            </a:pPr>
            <a:r>
              <a:t>1 · Total money in the PA-07 race, by cycle</a:t>
            </a:r>
          </a:p>
        </rich>
      </tx>
    </title>
    <plotArea>
      <barChart>
        <barDir val="col"/>
        <grouping val="stacked"/>
        <ser>
          <idx val="0"/>
          <order val="0"/>
          <tx>
            <strRef>
              <f>'History Charts'!S3</f>
            </strRef>
          </tx>
          <spPr>
            <a:solidFill xmlns:a="http://schemas.openxmlformats.org/drawingml/2006/main">
              <a:srgbClr val="2E75B6"/>
            </a:solidFill>
            <a:ln xmlns:a="http://schemas.openxmlformats.org/drawingml/2006/main">
              <a:solidFill>
                <a:srgbClr val="2E75B6"/>
              </a:solidFill>
              <a:prstDash val="solid"/>
            </a:ln>
          </spPr>
          <cat>
            <numRef>
              <f>'History Charts'!$R$4:$R$7</f>
            </numRef>
          </cat>
          <val>
            <numRef>
              <f>'History Charts'!$S$4:$S$7</f>
            </numRef>
          </val>
        </ser>
        <ser>
          <idx val="1"/>
          <order val="1"/>
          <tx>
            <strRef>
              <f>'History Charts'!T3</f>
            </strRef>
          </tx>
          <spPr>
            <a:solidFill xmlns:a="http://schemas.openxmlformats.org/drawingml/2006/main">
              <a:srgbClr val="C0392B"/>
            </a:solidFill>
            <a:ln xmlns:a="http://schemas.openxmlformats.org/drawingml/2006/main">
              <a:solidFill>
                <a:srgbClr val="C0392B"/>
              </a:solidFill>
              <a:prstDash val="solid"/>
            </a:ln>
          </spPr>
          <cat>
            <numRef>
              <f>'History Charts'!$R$4:$R$7</f>
            </numRef>
          </cat>
          <val>
            <numRef>
              <f>'History Charts'!$T$4:$T$7</f>
            </numRef>
          </val>
        </ser>
        <gapWidth val="150"/>
        <overlap val="100"/>
        <axId val="10"/>
        <axId val="100"/>
      </barChart>
      <catAx>
        <axId val="10"/>
        <scaling>
          <orientation val="minMax"/>
        </scaling>
        <delete val="0"/>
        <axPos val="l"/>
        <title>
          <tx>
            <rich>
              <a:bodyPr xmlns:a="http://schemas.openxmlformats.org/drawingml/2006/main"/>
              <a:p xmlns:a="http://schemas.openxmlformats.org/drawingml/2006/main">
                <a:pPr>
                  <a:defRPr/>
                </a:pPr>
                <a:r>
                  <a:t>Election cycle</a:t>
                </a:r>
              </a:p>
            </rich>
          </tx>
        </title>
        <majorTickMark val="none"/>
        <minorTickMark val="none"/>
        <crossAx val="100"/>
        <lblOffset val="100"/>
      </catAx>
      <valAx>
        <axId val="100"/>
        <scaling>
          <orientation val="minMax"/>
        </scaling>
        <delete val="0"/>
        <axPos val="l"/>
        <majorGridlines>
          <spPr>
            <a:ln xmlns:a="http://schemas.openxmlformats.org/drawingml/2006/main">
              <a:prstDash val="solid"/>
            </a:ln>
          </spPr>
        </majorGridlines>
        <title>
          <tx>
            <rich>
              <a:bodyPr xmlns:a="http://schemas.openxmlformats.org/drawingml/2006/main"/>
              <a:p xmlns:a="http://schemas.openxmlformats.org/drawingml/2006/main">
                <a:pPr>
                  <a:defRPr/>
                </a:pPr>
                <a:r>
                  <a:t>US dollars</a:t>
                </a:r>
              </a:p>
            </rich>
          </tx>
        </title>
        <numFmt formatCode="$#,##0,,&quot;M&quot;" sourceLinked="0"/>
        <majorTickMark val="none"/>
        <minorTickMark val="none"/>
        <crossAx val="10"/>
      </valAx>
    </plotArea>
    <legend>
      <legendPos val="r"/>
    </legend>
    <plotVisOnly val="1"/>
    <dispBlanksAs val="gap"/>
  </chart>
</chartSpace>
</file>

<file path=xl/charts/chart8.xml><?xml version="1.0" encoding="utf-8"?>
<chartSpace xmlns="http://schemas.openxmlformats.org/drawingml/2006/chart">
  <chart>
    <title>
      <tx>
        <rich>
          <a:bodyPr xmlns:a="http://schemas.openxmlformats.org/drawingml/2006/main"/>
          <a:p xmlns:a="http://schemas.openxmlformats.org/drawingml/2006/main">
            <a:pPr>
              <a:defRPr/>
            </a:pPr>
            <a:r>
              <a:t>2 · Candidate committee receipts, by cycle</a:t>
            </a:r>
          </a:p>
        </rich>
      </tx>
    </title>
    <plotArea>
      <barChart>
        <barDir val="col"/>
        <grouping val="clustered"/>
        <ser>
          <idx val="0"/>
          <order val="0"/>
          <tx>
            <strRef>
              <f>'History Charts'!S10</f>
            </strRef>
          </tx>
          <spPr>
            <a:solidFill xmlns:a="http://schemas.openxmlformats.org/drawingml/2006/main">
              <a:srgbClr val="2E75B6"/>
            </a:solidFill>
            <a:ln xmlns:a="http://schemas.openxmlformats.org/drawingml/2006/main">
              <a:solidFill>
                <a:srgbClr val="2E75B6"/>
              </a:solidFill>
              <a:prstDash val="solid"/>
            </a:ln>
          </spPr>
          <cat>
            <numRef>
              <f>'History Charts'!$R$11:$R$14</f>
            </numRef>
          </cat>
          <val>
            <numRef>
              <f>'History Charts'!$S$11:$S$14</f>
            </numRef>
          </val>
        </ser>
        <ser>
          <idx val="1"/>
          <order val="1"/>
          <tx>
            <strRef>
              <f>'History Charts'!T10</f>
            </strRef>
          </tx>
          <spPr>
            <a:solidFill xmlns:a="http://schemas.openxmlformats.org/drawingml/2006/main">
              <a:srgbClr val="C0392B"/>
            </a:solidFill>
            <a:ln xmlns:a="http://schemas.openxmlformats.org/drawingml/2006/main">
              <a:solidFill>
                <a:srgbClr val="C0392B"/>
              </a:solidFill>
              <a:prstDash val="solid"/>
            </a:ln>
          </spPr>
          <cat>
            <numRef>
              <f>'History Charts'!$R$11:$R$14</f>
            </numRef>
          </cat>
          <val>
            <numRef>
              <f>'History Charts'!$T$11:$T$14</f>
            </numRef>
          </val>
        </ser>
        <gapWidth val="150"/>
        <axId val="10"/>
        <axId val="100"/>
      </barChart>
      <catAx>
        <axId val="10"/>
        <scaling>
          <orientation val="minMax"/>
        </scaling>
        <delete val="0"/>
        <axPos val="l"/>
        <title>
          <tx>
            <rich>
              <a:bodyPr xmlns:a="http://schemas.openxmlformats.org/drawingml/2006/main"/>
              <a:p xmlns:a="http://schemas.openxmlformats.org/drawingml/2006/main">
                <a:pPr>
                  <a:defRPr/>
                </a:pPr>
                <a:r>
                  <a:t>Election cycle</a:t>
                </a:r>
              </a:p>
            </rich>
          </tx>
        </title>
        <majorTickMark val="none"/>
        <minorTickMark val="none"/>
        <crossAx val="100"/>
        <lblOffset val="100"/>
      </catAx>
      <valAx>
        <axId val="100"/>
        <scaling>
          <orientation val="minMax"/>
        </scaling>
        <delete val="0"/>
        <axPos val="l"/>
        <majorGridlines>
          <spPr>
            <a:ln xmlns:a="http://schemas.openxmlformats.org/drawingml/2006/main">
              <a:prstDash val="solid"/>
            </a:ln>
          </spPr>
        </majorGridlines>
        <title>
          <tx>
            <rich>
              <a:bodyPr xmlns:a="http://schemas.openxmlformats.org/drawingml/2006/main"/>
              <a:p xmlns:a="http://schemas.openxmlformats.org/drawingml/2006/main">
                <a:pPr>
                  <a:defRPr/>
                </a:pPr>
                <a:r>
                  <a:t>US dollars</a:t>
                </a:r>
              </a:p>
            </rich>
          </tx>
        </title>
        <numFmt formatCode="$#,##0,,&quot;M&quot;" sourceLinked="0"/>
        <majorTickMark val="none"/>
        <minorTickMark val="none"/>
        <crossAx val="10"/>
      </valAx>
    </plotArea>
    <legend>
      <legendPos val="r"/>
    </legend>
    <plotVisOnly val="1"/>
    <dispBlanksAs val="gap"/>
  </chart>
</chartSpace>
</file>

<file path=xl/charts/chart9.xml><?xml version="1.0" encoding="utf-8"?>
<chartSpace xmlns="http://schemas.openxmlformats.org/drawingml/2006/chart">
  <chart>
    <title>
      <tx>
        <rich>
          <a:bodyPr xmlns:a="http://schemas.openxmlformats.org/drawingml/2006/main"/>
          <a:p xmlns:a="http://schemas.openxmlformats.org/drawingml/2006/main">
            <a:pPr>
              <a:defRPr/>
            </a:pPr>
            <a:r>
              <a:t>3 · Total resources vs result (Model B): positive, but n=4</a:t>
            </a:r>
          </a:p>
        </rich>
      </tx>
    </title>
    <plotArea>
      <scatterChart>
        <ser>
          <idx val="0"/>
          <order val="0"/>
          <tx>
            <v>Elections 2018–2024</v>
          </tx>
          <spPr>
            <a:ln xmlns:a="http://schemas.openxmlformats.org/drawingml/2006/main">
              <a:noFill/>
              <a:prstDash val="solid"/>
            </a:ln>
          </spPr>
          <marker>
            <symbol val="circle"/>
            <size val="9"/>
            <spPr>
              <a:ln xmlns:a="http://schemas.openxmlformats.org/drawingml/2006/main">
                <a:prstDash val="solid"/>
              </a:ln>
            </spPr>
          </marker>
          <trendline>
            <trendlineType val="linear"/>
            <dispRSqr val="1"/>
            <dispEq val="1"/>
          </trendline>
          <xVal>
            <numRef>
              <f>'History Charts'!$S$18:$S$21</f>
            </numRef>
          </xVal>
          <yVal>
            <numRef>
              <f>'History Charts'!$T$18:$T$21</f>
            </numRef>
          </yVal>
        </ser>
        <axId val="10"/>
        <axId val="20"/>
      </scatterChart>
      <valAx>
        <axId val="10"/>
        <scaling>
          <orientation val="minMax"/>
        </scaling>
        <delete val="0"/>
        <axPos val="l"/>
        <majorGridlines/>
        <title>
          <tx>
            <rich>
              <a:bodyPr xmlns:a="http://schemas.openxmlformats.org/drawingml/2006/main"/>
              <a:p xmlns:a="http://schemas.openxmlformats.org/drawingml/2006/main">
                <a:pPr>
                  <a:defRPr/>
                </a:pPr>
                <a:r>
                  <a:t>Democratic share of TOTAL resources</a:t>
                </a:r>
              </a:p>
            </rich>
          </tx>
        </title>
        <numFmt formatCode="0%" sourceLinked="0"/>
        <majorTickMark val="none"/>
        <minorTickMark val="none"/>
        <crossAx val="20"/>
      </valAx>
      <valAx>
        <axId val="20"/>
        <scaling>
          <orientation val="minMax"/>
        </scaling>
        <delete val="0"/>
        <axPos val="l"/>
        <majorGridlines/>
        <title>
          <tx>
            <rich>
              <a:bodyPr xmlns:a="http://schemas.openxmlformats.org/drawingml/2006/main"/>
              <a:p xmlns:a="http://schemas.openxmlformats.org/drawingml/2006/main">
                <a:pPr>
                  <a:defRPr/>
                </a:pPr>
                <a:r>
                  <a:t>Democratic two-party vote share</a:t>
                </a:r>
              </a:p>
            </rich>
          </tx>
        </title>
        <numFmt formatCode="0%" sourceLinked="0"/>
        <majorTickMark val="none"/>
        <minorTickMark val="none"/>
        <crossAx val="10"/>
      </valAx>
    </plotArea>
    <legend>
      <legendPos val="r"/>
    </legend>
    <plotVisOnly val="1"/>
    <dispBlanksAs val="gap"/>
  </chart>
</chartSpace>
</file>

<file path=xl/charts/chart10.xml><?xml version="1.0" encoding="utf-8"?>
<chartSpace xmlns="http://schemas.openxmlformats.org/drawingml/2006/chart">
  <chart>
    <title>
      <tx>
        <rich>
          <a:bodyPr xmlns:a="http://schemas.openxmlformats.org/drawingml/2006/main"/>
          <a:p xmlns:a="http://schemas.openxmlformats.org/drawingml/2006/main">
            <a:pPr>
              <a:defRPr/>
            </a:pPr>
            <a:r>
              <a:t>4 · Candidate fundraising vs result (Model A): no relationship</a:t>
            </a:r>
          </a:p>
        </rich>
      </tx>
    </title>
    <plotArea>
      <scatterChart>
        <ser>
          <idx val="0"/>
          <order val="0"/>
          <tx>
            <v>Elections 2018–2024</v>
          </tx>
          <spPr>
            <a:ln xmlns:a="http://schemas.openxmlformats.org/drawingml/2006/main">
              <a:noFill/>
              <a:prstDash val="solid"/>
            </a:ln>
          </spPr>
          <marker>
            <symbol val="circle"/>
            <size val="9"/>
            <spPr>
              <a:ln xmlns:a="http://schemas.openxmlformats.org/drawingml/2006/main">
                <a:prstDash val="solid"/>
              </a:ln>
            </spPr>
          </marker>
          <trendline>
            <trendlineType val="linear"/>
            <dispRSqr val="1"/>
            <dispEq val="1"/>
          </trendline>
          <xVal>
            <numRef>
              <f>'History Charts'!$S$25:$S$28</f>
            </numRef>
          </xVal>
          <yVal>
            <numRef>
              <f>'History Charts'!$T$25:$T$28</f>
            </numRef>
          </yVal>
        </ser>
        <axId val="10"/>
        <axId val="20"/>
      </scatterChart>
      <valAx>
        <axId val="10"/>
        <scaling>
          <orientation val="minMax"/>
        </scaling>
        <delete val="0"/>
        <axPos val="l"/>
        <majorGridlines/>
        <title>
          <tx>
            <rich>
              <a:bodyPr xmlns:a="http://schemas.openxmlformats.org/drawingml/2006/main"/>
              <a:p xmlns:a="http://schemas.openxmlformats.org/drawingml/2006/main">
                <a:pPr>
                  <a:defRPr/>
                </a:pPr>
                <a:r>
                  <a:t>Democratic share of CANDIDATE receipts</a:t>
                </a:r>
              </a:p>
            </rich>
          </tx>
        </title>
        <numFmt formatCode="0%" sourceLinked="0"/>
        <majorTickMark val="none"/>
        <minorTickMark val="none"/>
        <crossAx val="20"/>
      </valAx>
      <valAx>
        <axId val="20"/>
        <scaling>
          <orientation val="minMax"/>
        </scaling>
        <delete val="0"/>
        <axPos val="l"/>
        <majorGridlines/>
        <title>
          <tx>
            <rich>
              <a:bodyPr xmlns:a="http://schemas.openxmlformats.org/drawingml/2006/main"/>
              <a:p xmlns:a="http://schemas.openxmlformats.org/drawingml/2006/main">
                <a:pPr>
                  <a:defRPr/>
                </a:pPr>
                <a:r>
                  <a:t>Democratic two-party vote share</a:t>
                </a:r>
              </a:p>
            </rich>
          </tx>
        </title>
        <numFmt formatCode="0%" sourceLinked="0"/>
        <majorTickMark val="none"/>
        <minorTickMark val="none"/>
        <crossAx val="10"/>
      </valAx>
    </plotArea>
    <legend>
      <legendPos val="r"/>
    </legend>
    <plotVisOnly val="1"/>
    <dispBlanksAs val="gap"/>
  </chart>
</chartSpace>
</file>

<file path=xl/charts/chart11.xml><?xml version="1.0" encoding="utf-8"?>
<chartSpace xmlns="http://schemas.openxmlformats.org/drawingml/2006/chart">
  <chart>
    <title>
      <tx>
        <rich>
          <a:bodyPr xmlns:a="http://schemas.openxmlformats.org/drawingml/2006/main"/>
          <a:p xmlns:a="http://schemas.openxmlformats.org/drawingml/2006/main">
            <a:pPr>
              <a:defRPr/>
            </a:pPr>
            <a:r>
              <a:t>5 · Democratic two-party vote share has fallen every cycle</a:t>
            </a:r>
          </a:p>
        </rich>
      </tx>
    </title>
    <plotArea>
      <lineChart>
        <grouping val="standard"/>
        <ser>
          <idx val="0"/>
          <order val="0"/>
          <tx>
            <strRef>
              <f>'History Charts'!S31</f>
            </strRef>
          </tx>
          <spPr>
            <a:ln xmlns:a="http://schemas.openxmlformats.org/drawingml/2006/main" w="28000">
              <a:solidFill>
                <a:srgbClr val="2E75B6"/>
              </a:solidFill>
              <a:prstDash val="solid"/>
            </a:ln>
          </spPr>
          <marker>
            <symbol val="circle"/>
            <size val="8"/>
            <spPr>
              <a:ln xmlns:a="http://schemas.openxmlformats.org/drawingml/2006/main">
                <a:prstDash val="solid"/>
              </a:ln>
            </spPr>
          </marker>
          <cat>
            <numRef>
              <f>'History Charts'!$R$32:$R$35</f>
            </numRef>
          </cat>
          <val>
            <numRef>
              <f>'History Charts'!$S$32:$S$35</f>
            </numRef>
          </val>
        </ser>
        <ser>
          <idx val="1"/>
          <order val="1"/>
          <tx>
            <strRef>
              <f>'History Charts'!T31</f>
            </strRef>
          </tx>
          <spPr>
            <a:ln xmlns:a="http://schemas.openxmlformats.org/drawingml/2006/main">
              <a:solidFill>
                <a:srgbClr val="808080"/>
              </a:solidFill>
              <a:prstDash val="dash"/>
            </a:ln>
          </spPr>
          <marker>
            <symbol val="none"/>
            <spPr>
              <a:ln xmlns:a="http://schemas.openxmlformats.org/drawingml/2006/main">
                <a:prstDash val="solid"/>
              </a:ln>
            </spPr>
          </marker>
          <cat>
            <numRef>
              <f>'History Charts'!$R$32:$R$35</f>
            </numRef>
          </cat>
          <val>
            <numRef>
              <f>'History Charts'!$T$32:$T$35</f>
            </numRef>
          </val>
        </ser>
        <axId val="10"/>
        <axId val="100"/>
      </lineChart>
      <catAx>
        <axId val="10"/>
        <scaling>
          <orientation val="minMax"/>
        </scaling>
        <delete val="0"/>
        <axPos val="l"/>
        <title>
          <tx>
            <rich>
              <a:bodyPr xmlns:a="http://schemas.openxmlformats.org/drawingml/2006/main"/>
              <a:p xmlns:a="http://schemas.openxmlformats.org/drawingml/2006/main">
                <a:pPr>
                  <a:defRPr/>
                </a:pPr>
                <a:r>
                  <a:t>Election cycle</a:t>
                </a:r>
              </a:p>
            </rich>
          </tx>
        </title>
        <majorTickMark val="none"/>
        <minorTickMark val="none"/>
        <crossAx val="100"/>
        <lblOffset val="100"/>
      </catAx>
      <valAx>
        <axId val="100"/>
        <scaling>
          <orientation val="minMax"/>
        </scaling>
        <delete val="0"/>
        <axPos val="l"/>
        <majorGridlines>
          <spPr>
            <a:ln xmlns:a="http://schemas.openxmlformats.org/drawingml/2006/main">
              <a:prstDash val="solid"/>
            </a:ln>
          </spPr>
        </majorGridlines>
        <title>
          <tx>
            <rich>
              <a:bodyPr xmlns:a="http://schemas.openxmlformats.org/drawingml/2006/main"/>
              <a:p xmlns:a="http://schemas.openxmlformats.org/drawingml/2006/main">
                <a:pPr>
                  <a:defRPr/>
                </a:pPr>
                <a:r>
                  <a:t>Two-party vote share</a:t>
                </a:r>
              </a:p>
            </rich>
          </tx>
        </title>
        <numFmt formatCode="0%" sourceLinked="0"/>
        <majorTickMark val="none"/>
        <minorTickMark val="none"/>
        <crossAx val="10"/>
      </valAx>
    </plotArea>
    <legend>
      <legendPos val="r"/>
    </legend>
    <plotVisOnly val="1"/>
    <dispBlanksAs val="gap"/>
  </chart>
</chartSpace>
</file>

<file path=xl/charts/chart12.xml><?xml version="1.0" encoding="utf-8"?>
<chartSpace xmlns="http://schemas.openxmlformats.org/drawingml/2006/chart">
  <chart>
    <title>
      <tx>
        <rich>
          <a:bodyPr xmlns:a="http://schemas.openxmlformats.org/drawingml/2006/main"/>
          <a:p xmlns:a="http://schemas.openxmlformats.org/drawingml/2006/main">
            <a:pPr>
              <a:defRPr/>
            </a:pPr>
            <a:r>
              <a:t>6 · Outside money now dwarfs the candidates' own</a:t>
            </a:r>
          </a:p>
        </rich>
      </tx>
    </title>
    <plotArea>
      <barChart>
        <barDir val="col"/>
        <grouping val="stacked"/>
        <ser>
          <idx val="0"/>
          <order val="0"/>
          <tx>
            <strRef>
              <f>'History Charts'!S38</f>
            </strRef>
          </tx>
          <spPr>
            <a:solidFill xmlns:a="http://schemas.openxmlformats.org/drawingml/2006/main">
              <a:srgbClr val="1F4E79"/>
            </a:solidFill>
            <a:ln xmlns:a="http://schemas.openxmlformats.org/drawingml/2006/main">
              <a:solidFill>
                <a:srgbClr val="1F4E79"/>
              </a:solidFill>
              <a:prstDash val="solid"/>
            </a:ln>
          </spPr>
          <cat>
            <numRef>
              <f>'History Charts'!$R$39:$R$42</f>
            </numRef>
          </cat>
          <val>
            <numRef>
              <f>'History Charts'!$S$39:$S$42</f>
            </numRef>
          </val>
        </ser>
        <ser>
          <idx val="1"/>
          <order val="1"/>
          <tx>
            <strRef>
              <f>'History Charts'!T38</f>
            </strRef>
          </tx>
          <spPr>
            <a:solidFill xmlns:a="http://schemas.openxmlformats.org/drawingml/2006/main">
              <a:srgbClr val="E8A33D"/>
            </a:solidFill>
            <a:ln xmlns:a="http://schemas.openxmlformats.org/drawingml/2006/main">
              <a:solidFill>
                <a:srgbClr val="E8A33D"/>
              </a:solidFill>
              <a:prstDash val="solid"/>
            </a:ln>
          </spPr>
          <cat>
            <numRef>
              <f>'History Charts'!$R$39:$R$42</f>
            </numRef>
          </cat>
          <val>
            <numRef>
              <f>'History Charts'!$T$39:$T$42</f>
            </numRef>
          </val>
        </ser>
        <gapWidth val="150"/>
        <overlap val="100"/>
        <axId val="10"/>
        <axId val="100"/>
      </barChart>
      <catAx>
        <axId val="10"/>
        <scaling>
          <orientation val="minMax"/>
        </scaling>
        <delete val="0"/>
        <axPos val="l"/>
        <title>
          <tx>
            <rich>
              <a:bodyPr xmlns:a="http://schemas.openxmlformats.org/drawingml/2006/main"/>
              <a:p xmlns:a="http://schemas.openxmlformats.org/drawingml/2006/main">
                <a:pPr>
                  <a:defRPr/>
                </a:pPr>
                <a:r>
                  <a:t>Election cycle</a:t>
                </a:r>
              </a:p>
            </rich>
          </tx>
        </title>
        <majorTickMark val="none"/>
        <minorTickMark val="none"/>
        <crossAx val="100"/>
        <lblOffset val="100"/>
      </catAx>
      <valAx>
        <axId val="100"/>
        <scaling>
          <orientation val="minMax"/>
        </scaling>
        <delete val="0"/>
        <axPos val="l"/>
        <majorGridlines>
          <spPr>
            <a:ln xmlns:a="http://schemas.openxmlformats.org/drawingml/2006/main">
              <a:prstDash val="solid"/>
            </a:ln>
          </spPr>
        </majorGridlines>
        <title>
          <tx>
            <rich>
              <a:bodyPr xmlns:a="http://schemas.openxmlformats.org/drawingml/2006/main"/>
              <a:p xmlns:a="http://schemas.openxmlformats.org/drawingml/2006/main">
                <a:pPr>
                  <a:defRPr/>
                </a:pPr>
                <a:r>
                  <a:t>US dollars</a:t>
                </a:r>
              </a:p>
            </rich>
          </tx>
        </title>
        <numFmt formatCode="$#,##0,,&quot;M&quot;" sourceLinked="0"/>
        <majorTickMark val="none"/>
        <minorTickMark val="none"/>
        <crossAx val="10"/>
      </valAx>
    </plotArea>
    <legend>
      <legendPos val="r"/>
    </legend>
    <plotVisOnly val="1"/>
    <dispBlanksAs val="gap"/>
  </chart>
</chartSpace>
</file>

<file path=xl/charts/chart13.xml><?xml version="1.0" encoding="utf-8"?>
<chartSpace xmlns="http://schemas.openxmlformats.org/drawingml/2006/chart">
  <chart>
    <title>
      <tx>
        <rich>
          <a:bodyPr xmlns:a="http://schemas.openxmlformats.org/drawingml/2006/main"/>
          <a:p xmlns:a="http://schemas.openxmlformats.org/drawingml/2006/main">
            <a:pPr>
              <a:defRPr/>
            </a:pPr>
            <a:r>
              <a:t>7 · Receipts per vote received</a:t>
            </a:r>
          </a:p>
        </rich>
      </tx>
    </title>
    <plotArea>
      <barChart>
        <barDir val="bar"/>
        <grouping val="clustered"/>
        <ser>
          <idx val="0"/>
          <order val="0"/>
          <tx>
            <strRef>
              <f>'History Charts'!S45</f>
            </strRef>
          </tx>
          <spPr>
            <a:solidFill xmlns:a="http://schemas.openxmlformats.org/drawingml/2006/main">
              <a:srgbClr val="1F4E79"/>
            </a:solidFill>
            <a:ln xmlns:a="http://schemas.openxmlformats.org/drawingml/2006/main">
              <a:solidFill>
                <a:srgbClr val="1F4E79"/>
              </a:solidFill>
              <a:prstDash val="solid"/>
            </a:ln>
          </spPr>
          <dPt>
            <idx val="0"/>
            <spPr>
              <a:solidFill xmlns:a="http://schemas.openxmlformats.org/drawingml/2006/main">
                <a:srgbClr val="2E75B6"/>
              </a:solidFill>
              <a:ln xmlns:a="http://schemas.openxmlformats.org/drawingml/2006/main">
                <a:prstDash val="solid"/>
              </a:ln>
            </spPr>
          </dPt>
          <dPt>
            <idx val="1"/>
            <spPr>
              <a:solidFill xmlns:a="http://schemas.openxmlformats.org/drawingml/2006/main">
                <a:srgbClr val="C0392B"/>
              </a:solidFill>
              <a:ln xmlns:a="http://schemas.openxmlformats.org/drawingml/2006/main">
                <a:prstDash val="solid"/>
              </a:ln>
            </spPr>
          </dPt>
          <dPt>
            <idx val="2"/>
            <spPr>
              <a:solidFill xmlns:a="http://schemas.openxmlformats.org/drawingml/2006/main">
                <a:srgbClr val="2E75B6"/>
              </a:solidFill>
              <a:ln xmlns:a="http://schemas.openxmlformats.org/drawingml/2006/main">
                <a:prstDash val="solid"/>
              </a:ln>
            </spPr>
          </dPt>
          <dPt>
            <idx val="3"/>
            <spPr>
              <a:solidFill xmlns:a="http://schemas.openxmlformats.org/drawingml/2006/main">
                <a:srgbClr val="C0392B"/>
              </a:solidFill>
              <a:ln xmlns:a="http://schemas.openxmlformats.org/drawingml/2006/main">
                <a:prstDash val="solid"/>
              </a:ln>
            </spPr>
          </dPt>
          <dPt>
            <idx val="4"/>
            <spPr>
              <a:solidFill xmlns:a="http://schemas.openxmlformats.org/drawingml/2006/main">
                <a:srgbClr val="2E75B6"/>
              </a:solidFill>
              <a:ln xmlns:a="http://schemas.openxmlformats.org/drawingml/2006/main">
                <a:prstDash val="solid"/>
              </a:ln>
            </spPr>
          </dPt>
          <dPt>
            <idx val="5"/>
            <spPr>
              <a:solidFill xmlns:a="http://schemas.openxmlformats.org/drawingml/2006/main">
                <a:srgbClr val="C0392B"/>
              </a:solidFill>
              <a:ln xmlns:a="http://schemas.openxmlformats.org/drawingml/2006/main">
                <a:prstDash val="solid"/>
              </a:ln>
            </spPr>
          </dPt>
          <dPt>
            <idx val="6"/>
            <spPr>
              <a:solidFill xmlns:a="http://schemas.openxmlformats.org/drawingml/2006/main">
                <a:srgbClr val="2E75B6"/>
              </a:solidFill>
              <a:ln xmlns:a="http://schemas.openxmlformats.org/drawingml/2006/main">
                <a:prstDash val="solid"/>
              </a:ln>
            </spPr>
          </dPt>
          <dPt>
            <idx val="7"/>
            <spPr>
              <a:solidFill xmlns:a="http://schemas.openxmlformats.org/drawingml/2006/main">
                <a:srgbClr val="C0392B"/>
              </a:solidFill>
              <a:ln xmlns:a="http://schemas.openxmlformats.org/drawingml/2006/main">
                <a:prstDash val="solid"/>
              </a:ln>
            </spPr>
          </dPt>
          <cat>
            <numRef>
              <f>'History Charts'!$R$46:$R$53</f>
            </numRef>
          </cat>
          <val>
            <numRef>
              <f>'History Charts'!$S$46:$S$53</f>
            </numRef>
          </val>
        </ser>
        <gapWidth val="150"/>
        <axId val="10"/>
        <axId val="100"/>
      </barChart>
      <catAx>
        <axId val="10"/>
        <scaling>
          <orientation val="minMax"/>
        </scaling>
        <delete val="0"/>
        <axPos val="l"/>
        <title>
          <tx>
            <rich>
              <a:bodyPr xmlns:a="http://schemas.openxmlformats.org/drawingml/2006/main"/>
              <a:p xmlns:a="http://schemas.openxmlformats.org/drawingml/2006/main">
                <a:pPr>
                  <a:defRPr/>
                </a:pPr>
                <a:r>
                  <a:t>US dollars per vote</a:t>
                </a:r>
              </a:p>
            </rich>
          </tx>
        </title>
        <numFmt formatCode="$#,##0" sourceLinked="0"/>
        <majorTickMark val="none"/>
        <minorTickMark val="none"/>
        <crossAx val="100"/>
        <lblOffset val="100"/>
      </catAx>
      <valAx>
        <axId val="100"/>
        <scaling>
          <orientation val="minMax"/>
        </scaling>
        <delete val="0"/>
        <axPos val="l"/>
        <majorGridlines>
          <spPr>
            <a:ln xmlns:a="http://schemas.openxmlformats.org/drawingml/2006/main">
              <a:prstDash val="solid"/>
            </a:ln>
          </spPr>
        </majorGridlines>
        <majorTickMark val="none"/>
        <minorTickMark val="none"/>
        <crossAx val="10"/>
      </valAx>
    </plotArea>
    <plotVisOnly val="1"/>
    <dispBlanksAs val="gap"/>
  </chart>
</chartSpace>
</file>

<file path=xl/comments/comment1.xml><?xml version="1.0" encoding="utf-8"?>
<comments xmlns="http://schemas.openxmlformats.org/spreadsheetml/2006/main">
  <authors>
    <author>PA-07 tracker</author>
  </authors>
  <commentList>
    <comment ref="K5" authorId="0" shapeId="0">
      <text>
        <t>Unitemized = individual contributions of $200 or less, aggregated. This is a SUBSET of 'Individual — total' in the previous column, not an additional source of funds.</t>
      </text>
    </comment>
    <comment ref="M5" authorId="0" shapeId="0">
      <text>
        <t>Party-committee contributions ($5,000 for each nominee) are stated in the candidate notes field of sources/fec.json; the FEC fixed schema used by this project has no dedicated field for them.</t>
      </text>
    </comment>
    <comment ref="N5" authorId="0" shapeId="0">
      <text>
        <t>Transfers from another authorized committee, from the candidate notes field: Brooks $26,085.00; Mackenzie $1,779,199.14 (consistent with the wind-down of the joint committee MACKENZIE FOR CONGRESS-GTM NF PA07, C00858357).</t>
      </text>
    </comment>
  </commentList>
</comments>
</file>

<file path=xl/comments/comment2.xml><?xml version="1.0" encoding="utf-8"?>
<comments xmlns="http://schemas.openxmlformats.org/spreadsheetml/2006/main">
  <authors>
    <author>PA-07 tracker</author>
  </authors>
  <commentList>
    <comment ref="L5" authorId="0" shapeId="0">
      <text>
        <t>Independent expenditures SUPPORTING this candidate, summed across all committees from OpenFEC /schedules/schedule_e/by_candidate/ with election_full=true (deduplicated aggregates, not raw itemized Schedule E lines).</t>
      </text>
    </comment>
    <comment ref="N5" authorId="0" shapeId="0">
      <text>
        <t>Total pro-candidate resources = own receipts + outside money supporting this candidate + outside money OPPOSING the opponent. Money spent attacking the opponent works in this candidate's favour, so it belongs on this side of the ledger.</t>
      </text>
    </comment>
    <comment ref="P5" authorId="0" shapeId="0">
      <text>
        <t>Two-party vote share = this candidate's votes / (Democratic + Republican votes). Third party and write-in votes are excluded so the four cycles stay comparable; 2018 had a Libertarian who took 3.0% of the total vote, the other three were effectively two-way.</t>
      </text>
    </comment>
  </commentList>
</comments>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s>
</file>

<file path=xl/drawings/_rels/drawing2.xml.rels><Relationships xmlns="http://schemas.openxmlformats.org/package/2006/relationships"><Relationship Type="http://schemas.openxmlformats.org/officeDocument/2006/relationships/chart" Target="/xl/charts/chart7.xml" Id="rId1"/><Relationship Type="http://schemas.openxmlformats.org/officeDocument/2006/relationships/chart" Target="/xl/charts/chart8.xml" Id="rId2"/><Relationship Type="http://schemas.openxmlformats.org/officeDocument/2006/relationships/chart" Target="/xl/charts/chart9.xml" Id="rId3"/><Relationship Type="http://schemas.openxmlformats.org/officeDocument/2006/relationships/chart" Target="/xl/charts/chart10.xml" Id="rId4"/><Relationship Type="http://schemas.openxmlformats.org/officeDocument/2006/relationships/chart" Target="/xl/charts/chart11.xml" Id="rId5"/><Relationship Type="http://schemas.openxmlformats.org/officeDocument/2006/relationships/chart" Target="/xl/charts/chart12.xml" Id="rId6"/><Relationship Type="http://schemas.openxmlformats.org/officeDocument/2006/relationships/chart" Target="/xl/charts/chart13.xml" Id="rId7"/></Relationships>
</file>

<file path=xl/drawings/drawing1.xml><?xml version="1.0" encoding="utf-8"?>
<wsDr xmlns="http://schemas.openxmlformats.org/drawingml/2006/spreadsheetDrawing">
  <oneCellAnchor>
    <from>
      <col>0</col>
      <colOff>0</colOff>
      <row>3</row>
      <rowOff>0</rowOff>
    </from>
    <ext cx="7920000" cy="39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26</row>
      <rowOff>0</rowOff>
    </from>
    <ext cx="7920000" cy="396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49</row>
      <rowOff>0</rowOff>
    </from>
    <ext cx="7920000" cy="396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72</row>
      <rowOff>0</rowOff>
    </from>
    <ext cx="86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98</row>
      <rowOff>0</rowOff>
    </from>
    <ext cx="7920000" cy="39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0</col>
      <colOff>0</colOff>
      <row>121</row>
      <rowOff>0</rowOff>
    </from>
    <ext cx="7200000" cy="432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wsDr>
</file>

<file path=xl/drawings/drawing2.xml><?xml version="1.0" encoding="utf-8"?>
<wsDr xmlns="http://schemas.openxmlformats.org/drawingml/2006/spreadsheetDrawing">
  <oneCellAnchor>
    <from>
      <col>0</col>
      <colOff>0</colOff>
      <row>3</row>
      <rowOff>0</rowOff>
    </from>
    <ext cx="7920000" cy="39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26</row>
      <rowOff>0</rowOff>
    </from>
    <ext cx="7920000" cy="396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49</row>
      <rowOff>0</rowOff>
    </from>
    <ext cx="7920000" cy="43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74</row>
      <rowOff>0</rowOff>
    </from>
    <ext cx="7920000" cy="432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99</row>
      <rowOff>0</rowOff>
    </from>
    <ext cx="7920000" cy="39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0</col>
      <colOff>0</colOff>
      <row>122</row>
      <rowOff>0</rowOff>
    </from>
    <ext cx="7920000" cy="396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0</col>
      <colOff>0</colOff>
      <row>145</row>
      <rowOff>0</rowOff>
    </from>
    <ext cx="7920000" cy="46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6.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7.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tabColor rgb="001F3864"/>
    <outlinePr summaryBelow="1" summaryRight="1"/>
    <pageSetUpPr/>
  </sheetPr>
  <dimension ref="A1:H56"/>
  <sheetViews>
    <sheetView workbookViewId="0">
      <selection activeCell="A1" sqref="A1"/>
    </sheetView>
  </sheetViews>
  <sheetFormatPr baseColWidth="8" defaultRowHeight="15"/>
  <cols>
    <col width="52" customWidth="1" min="1" max="1"/>
    <col width="17" customWidth="1" min="2" max="2"/>
    <col width="17" customWidth="1" min="3" max="3"/>
    <col width="17" customWidth="1" min="4" max="4"/>
    <col width="14" customWidth="1" min="5" max="5"/>
    <col width="14" customWidth="1" min="6" max="6"/>
    <col width="14" customWidth="1" min="7" max="7"/>
    <col width="14" customWidth="1" min="8" max="8"/>
  </cols>
  <sheetData>
    <row r="1">
      <c r="A1" s="1" t="inlineStr">
        <is>
          <t>PA-07 Campaign Finance — Where the Money Is</t>
        </is>
      </c>
    </row>
    <row r="2">
      <c r="A2" s="2" t="inlineStr">
        <is>
          <t>Pennsylvania's 7th congressional district · Bob Brooks (D) vs Rep. Ryan Mackenzie (R) · general election 3 November 2026. Source: FEC / OpenFEC API.</t>
        </is>
      </c>
    </row>
    <row r="4" ht="18" customHeight="1">
      <c r="A4" s="3" t="inlineStr">
        <is>
          <t>DATA VINTAGE — READ THIS FIRST</t>
        </is>
      </c>
      <c r="B4" s="4" t="n"/>
      <c r="C4" s="4" t="n"/>
      <c r="D4" s="4" t="n"/>
      <c r="E4" s="4" t="n"/>
      <c r="F4" s="4" t="n"/>
      <c r="G4" s="4" t="n"/>
      <c r="H4" s="4" t="n"/>
    </row>
    <row r="5">
      <c r="A5" s="28" t="inlineStr">
        <is>
          <t>Candidate committee totals current through</t>
        </is>
      </c>
      <c r="B5" s="29" t="inlineStr">
        <is>
          <t>2026-06-30</t>
        </is>
      </c>
      <c r="C5" s="30" t="inlineStr">
        <is>
          <t>FEC Form 3, July Quarterly, filed 2026-07-15</t>
        </is>
      </c>
    </row>
    <row r="6">
      <c r="A6" s="28" t="inlineStr">
        <is>
          <t>Independent expenditures current through</t>
        </is>
      </c>
      <c r="B6" s="31" t="inlineStr">
        <is>
          <t>2026-08-19</t>
        </is>
      </c>
      <c r="C6" s="30" t="inlineStr">
        <is>
          <t>Reported continuously — fresher than the candidate totals</t>
        </is>
      </c>
    </row>
    <row r="7">
      <c r="A7" s="28" t="inlineStr">
        <is>
          <t>Data retrieved</t>
        </is>
      </c>
      <c r="B7" s="32" t="inlineStr">
        <is>
          <t>2026-08-30T16:22:43Z</t>
        </is>
      </c>
      <c r="C7" s="30" t="inlineStr">
        <is>
          <t>Next candidate refresh: October Quarterly, ~2026-10-15</t>
        </is>
      </c>
    </row>
    <row r="9" ht="18" customHeight="1">
      <c r="A9" s="3" t="inlineStr">
        <is>
          <t>MONEY AT A GLANCE</t>
        </is>
      </c>
      <c r="B9" s="4" t="n"/>
      <c r="C9" s="4" t="n"/>
      <c r="D9" s="4" t="n"/>
      <c r="E9" s="4" t="n"/>
      <c r="F9" s="4" t="n"/>
      <c r="G9" s="4" t="n"/>
      <c r="H9" s="4" t="n"/>
    </row>
    <row r="10" ht="28" customHeight="1">
      <c r="A10" s="5" t="inlineStr"/>
      <c r="B10" s="5" t="inlineStr">
        <is>
          <t>Bob Brooks (D)</t>
        </is>
      </c>
      <c r="C10" s="5" t="inlineStr">
        <is>
          <t>Ryan Mackenzie (R)</t>
        </is>
      </c>
      <c r="D10" s="5" t="inlineStr">
        <is>
          <t>Mackenzie − Brooks</t>
        </is>
      </c>
      <c r="E10" s="5" t="inlineStr"/>
      <c r="F10" s="5" t="inlineStr"/>
      <c r="G10" s="5" t="inlineStr"/>
      <c r="H10" s="5" t="inlineStr"/>
    </row>
    <row r="11">
      <c r="A11" s="25" t="inlineStr">
        <is>
          <t>Total receipts</t>
        </is>
      </c>
      <c r="B11" s="22">
        <f>'Money Sources'!B19</f>
        <v/>
      </c>
      <c r="C11" s="22">
        <f>'Money Sources'!C19</f>
        <v/>
      </c>
      <c r="D11" s="26">
        <f>IF(AND(ISNUMBER(C11),ISNUMBER(B11)),C11-B11,"")</f>
        <v/>
      </c>
    </row>
    <row r="12">
      <c r="A12" s="6" t="inlineStr">
        <is>
          <t xml:space="preserve">  less: transfers from another committee</t>
        </is>
      </c>
      <c r="B12" s="22">
        <f>'Money Sources'!B20</f>
        <v/>
      </c>
      <c r="C12" s="22">
        <f>'Money Sources'!C20</f>
        <v/>
      </c>
      <c r="D12" s="26">
        <f>IF(AND(ISNUMBER(C12),ISNUMBER(B12)),C12-B12,"")</f>
        <v/>
      </c>
    </row>
    <row r="13">
      <c r="A13" s="11" t="inlineStr">
        <is>
          <t>Receipts excluding transfers</t>
        </is>
      </c>
      <c r="B13" s="33">
        <f>'Money Sources'!B21</f>
        <v/>
      </c>
      <c r="C13" s="33">
        <f>'Money Sources'!C21</f>
        <v/>
      </c>
      <c r="D13" s="13">
        <f>IF(AND(ISNUMBER(C13),ISNUMBER(B13)),C13-B13,"")</f>
        <v/>
      </c>
    </row>
    <row r="14">
      <c r="A14" s="25" t="inlineStr">
        <is>
          <t>Disbursements</t>
        </is>
      </c>
      <c r="B14" s="22">
        <f>'Money Sources'!B33</f>
        <v/>
      </c>
      <c r="C14" s="22">
        <f>'Money Sources'!C33</f>
        <v/>
      </c>
      <c r="D14" s="26">
        <f>IF(AND(ISNUMBER(C14),ISNUMBER(B14)),C14-B14,"")</f>
        <v/>
      </c>
    </row>
    <row r="15">
      <c r="A15" s="11" t="inlineStr">
        <is>
          <t>Cash on hand</t>
        </is>
      </c>
      <c r="B15" s="33">
        <f>'Money Sources'!B34</f>
        <v/>
      </c>
      <c r="C15" s="33">
        <f>'Money Sources'!C34</f>
        <v/>
      </c>
      <c r="D15" s="13">
        <f>IF(AND(ISNUMBER(C15),ISNUMBER(B15)),C15-B15,"")</f>
        <v/>
      </c>
    </row>
    <row r="16">
      <c r="A16" s="25" t="inlineStr">
        <is>
          <t>Debts owed</t>
        </is>
      </c>
      <c r="B16" s="22">
        <f>'Money Sources'!B35</f>
        <v/>
      </c>
      <c r="C16" s="22">
        <f>'Money Sources'!C35</f>
        <v/>
      </c>
      <c r="D16" s="26">
        <f>IF(AND(ISNUMBER(C16),ISNUMBER(B16)),C16-B16,"")</f>
        <v/>
      </c>
    </row>
    <row r="17">
      <c r="A17" s="25" t="inlineStr">
        <is>
          <t>Burn rate (disbursed ÷ raised)</t>
        </is>
      </c>
      <c r="B17" s="34">
        <f>'Money Sources'!B36</f>
        <v/>
      </c>
      <c r="C17" s="34">
        <f>'Money Sources'!C36</f>
        <v/>
      </c>
      <c r="D17" s="35">
        <f>IF(AND(ISNUMBER(C17),ISNUMBER(B17)),C17-B17,"")</f>
        <v/>
      </c>
    </row>
    <row r="19" ht="18" customHeight="1">
      <c r="A19" s="3" t="inlineStr">
        <is>
          <t>OUTSIDE MONEY (INDEPENDENT EXPENDITURES)</t>
        </is>
      </c>
      <c r="B19" s="4" t="n"/>
      <c r="C19" s="4" t="n"/>
      <c r="D19" s="4" t="n"/>
      <c r="E19" s="4" t="n"/>
      <c r="F19" s="4" t="n"/>
      <c r="G19" s="4" t="n"/>
      <c r="H19" s="4" t="n"/>
    </row>
    <row r="20" ht="28" customHeight="1">
      <c r="A20" s="5" t="inlineStr"/>
      <c r="B20" s="5" t="inlineStr">
        <is>
          <t>Amount</t>
        </is>
      </c>
      <c r="C20" s="5" t="inlineStr">
        <is>
          <t>Share of all outside money</t>
        </is>
      </c>
      <c r="D20" s="5" t="inlineStr">
        <is>
          <t>Committees</t>
        </is>
      </c>
      <c r="E20" s="5" t="inlineStr"/>
      <c r="F20" s="5" t="inlineStr"/>
      <c r="G20" s="5" t="inlineStr"/>
      <c r="H20" s="5" t="inlineStr"/>
    </row>
    <row r="21">
      <c r="A21" s="11" t="inlineStr">
        <is>
          <t>Total independent expenditures, all committees</t>
        </is>
      </c>
      <c r="B21" s="33">
        <f>'Outside Money'!D35</f>
        <v/>
      </c>
      <c r="C21" s="36">
        <f>IFERROR(B21/$B$21,"")</f>
        <v/>
      </c>
      <c r="D21" s="37">
        <f>'Outside Money'!E43</f>
        <v/>
      </c>
    </row>
    <row r="22">
      <c r="A22" s="6" t="inlineStr">
        <is>
          <t>Supporting Bob Brooks (D)</t>
        </is>
      </c>
      <c r="B22" s="22">
        <f>'Outside Money'!D39</f>
        <v/>
      </c>
      <c r="C22" s="18">
        <f>IFERROR(B22/$B$21,"")</f>
        <v/>
      </c>
      <c r="D22" s="38">
        <f>'Outside Money'!E39</f>
        <v/>
      </c>
    </row>
    <row r="23">
      <c r="A23" s="6" t="inlineStr">
        <is>
          <t>Opposing Bob Brooks (D)</t>
        </is>
      </c>
      <c r="B23" s="22">
        <f>'Outside Money'!D40</f>
        <v/>
      </c>
      <c r="C23" s="18">
        <f>IFERROR(B23/$B$21,"")</f>
        <v/>
      </c>
      <c r="D23" s="38">
        <f>'Outside Money'!E40</f>
        <v/>
      </c>
    </row>
    <row r="24">
      <c r="A24" s="6" t="inlineStr">
        <is>
          <t>Supporting Ryan Mackenzie (R)</t>
        </is>
      </c>
      <c r="B24" s="22">
        <f>'Outside Money'!D41</f>
        <v/>
      </c>
      <c r="C24" s="18">
        <f>IFERROR(B24/$B$21,"")</f>
        <v/>
      </c>
      <c r="D24" s="38">
        <f>'Outside Money'!E41</f>
        <v/>
      </c>
    </row>
    <row r="25">
      <c r="A25" s="6" t="inlineStr">
        <is>
          <t>Opposing Ryan Mackenzie (R)</t>
        </is>
      </c>
      <c r="B25" s="22">
        <f>'Outside Money'!D42</f>
        <v/>
      </c>
      <c r="C25" s="18">
        <f>IFERROR(B25/$B$21,"")</f>
        <v/>
      </c>
      <c r="D25" s="38">
        <f>'Outside Money'!E42</f>
        <v/>
      </c>
    </row>
    <row r="27" ht="18" customHeight="1">
      <c r="A27" s="3" t="inlineStr">
        <is>
          <t>WHAT THE NUMBERS SAY</t>
        </is>
      </c>
      <c r="B27" s="4" t="n"/>
      <c r="C27" s="4" t="n"/>
      <c r="D27" s="4" t="n"/>
      <c r="E27" s="4" t="n"/>
      <c r="F27" s="4" t="n"/>
      <c r="G27" s="4" t="n"/>
      <c r="H27" s="4" t="n"/>
    </row>
    <row r="28" ht="28" customHeight="1">
      <c r="A28" s="5" t="inlineStr">
        <is>
          <t>Finding</t>
        </is>
      </c>
      <c r="B28" s="5" t="inlineStr">
        <is>
          <t>Figure</t>
        </is>
      </c>
      <c r="C28" s="5" t="inlineStr"/>
      <c r="D28" s="5" t="inlineStr"/>
      <c r="E28" s="5" t="inlineStr"/>
      <c r="F28" s="5" t="inlineStr"/>
      <c r="G28" s="5" t="inlineStr"/>
      <c r="H28" s="5" t="inlineStr"/>
    </row>
    <row r="29" ht="26" customHeight="1">
      <c r="A29" s="39" t="inlineStr">
        <is>
          <t>Mackenzie's cash-on-hand advantage over Brooks</t>
        </is>
      </c>
      <c r="B29" s="40">
        <f>IF(AND(ISNUMBER(C15),ISNUMBER(B15)),C15-B15,"")</f>
        <v/>
      </c>
    </row>
    <row r="30" ht="26" customHeight="1">
      <c r="A30" s="39" t="inlineStr">
        <is>
          <t>Headline receipts gap (Mackenzie − Brooks)</t>
        </is>
      </c>
      <c r="B30" s="40">
        <f>IF(AND(ISNUMBER(C11),ISNUMBER(B11)),C11-B11,"")</f>
        <v/>
      </c>
    </row>
    <row r="31" ht="26" customHeight="1">
      <c r="A31" s="39" t="inlineStr">
        <is>
          <t>…but the gap in money actually raised this cycle, once the wound-down joint committee's transfer is set aside</t>
        </is>
      </c>
      <c r="B31" s="40">
        <f>IF(AND(ISNUMBER(C13),ISNUMBER(B13)),C13-B13,"")</f>
        <v/>
      </c>
    </row>
    <row r="32" ht="26" customHeight="1">
      <c r="A32" s="39" t="inlineStr">
        <is>
          <t>Share of Mackenzie's receipts that is that single transfer</t>
        </is>
      </c>
      <c r="B32" s="41">
        <f>IFERROR('Money Sources'!C20/'Money Sources'!C19,"")</f>
        <v/>
      </c>
    </row>
    <row r="33" ht="26" customHeight="1">
      <c r="A33" s="39" t="inlineStr">
        <is>
          <t>Total outside money in the race</t>
        </is>
      </c>
      <c r="B33" s="40">
        <f>'Outside Money'!D35</f>
        <v/>
      </c>
    </row>
    <row r="34" ht="26" customHeight="1">
      <c r="A34" s="39" t="inlineStr">
        <is>
          <t>…of which the single largest committee (STRONGER TOGETHER PA) accounts for</t>
        </is>
      </c>
      <c r="B34" s="41">
        <f>IFERROR('Outside Money'!D6/'Outside Money'!D35,"")</f>
        <v/>
      </c>
    </row>
    <row r="35" ht="26" customHeight="1">
      <c r="A35" s="39" t="inlineStr">
        <is>
          <t>Independent expenditure SUPPORTING Ryan Mackenzie — a reported absence, not missing data</t>
        </is>
      </c>
      <c r="B35" s="40">
        <f>'Outside Money'!D41</f>
        <v/>
      </c>
    </row>
    <row r="36" ht="26" customHeight="1">
      <c r="A36" s="39" t="inlineStr">
        <is>
          <t>Brooks's small-dollar (≤$200) contributions as a share of his receipts</t>
        </is>
      </c>
      <c r="B36" s="41">
        <f>'Money Sources'!B27</f>
        <v/>
      </c>
    </row>
    <row r="37" ht="26" customHeight="1">
      <c r="A37" s="39" t="inlineStr">
        <is>
          <t>Mackenzie's small-dollar (≤$200) contributions as a share of his receipts</t>
        </is>
      </c>
      <c r="B37" s="41">
        <f>'Money Sources'!C27</f>
        <v/>
      </c>
    </row>
    <row r="39" ht="18" customHeight="1">
      <c r="A39" s="3" t="inlineStr">
        <is>
          <t>TWO FACTS THE MONEY MUST BE READ WITH</t>
        </is>
      </c>
      <c r="B39" s="4" t="n"/>
      <c r="C39" s="4" t="n"/>
      <c r="D39" s="4" t="n"/>
      <c r="E39" s="4" t="n"/>
      <c r="F39" s="4" t="n"/>
      <c r="G39" s="4" t="n"/>
      <c r="H39" s="4" t="n"/>
    </row>
    <row r="40" ht="58" customHeight="1">
      <c r="A40" s="42" t="inlineStr">
        <is>
          <t>1. THE TWO HALVES ARE NOT AS-OF THE SAME DATE. Candidate totals come from the July Quarterly and stop at 2026-06-30 — already about two months stale when retrieved, and widening until the October Quarterly (~15 Oct, covering through 30 Sep). Independent expenditures report continuously and are fresher. Do not compare a candidate figure and an outside-money figure as though they were measured on the same day.</t>
        </is>
      </c>
    </row>
    <row r="41" ht="58" customHeight="1">
      <c r="A41" s="42" t="inlineStr">
        <is>
          <t>2. MOST OF THIS MONEY WAS NOT SPENT ON THIS FIGHT. Of the ~$2.78M in outside spending, the two largest committees spent between 6 and 18 May 2026, inside the contested five-way DEMOCRATIC PRIMARY — not against Mackenzie. And ~$1.78M of Mackenzie's receipts is a transfer from a wound-down joint fundraising committee, not fresh donor money. The naive reading — 'Mackenzie raised $4.36M to Brooks's $2.39M' — is wrong in a way that changes the conclusion.</t>
        </is>
      </c>
    </row>
    <row r="43" ht="36" customHeight="1">
      <c r="A43" s="15" t="inlineStr">
        <is>
          <t>Green figures are links to other sheets in this workbook; navy figures are computed here. Nothing on this sheet is typed in by hand — every number traces back to sources/fec.json through the Candidate Totals and Outside Money sheets.</t>
        </is>
      </c>
    </row>
    <row r="45" ht="18" customHeight="1">
      <c r="A45" s="3" t="inlineStr">
        <is>
          <t>THE LAST FOUR ELECTIONS — DOES MONEY PREDICT THE RESULT?</t>
        </is>
      </c>
      <c r="B45" s="4" t="n"/>
      <c r="C45" s="4" t="n"/>
      <c r="D45" s="4" t="n"/>
      <c r="E45" s="4" t="n"/>
      <c r="F45" s="4" t="n"/>
      <c r="G45" s="4" t="n"/>
      <c r="H45" s="4" t="n"/>
    </row>
    <row r="46">
      <c r="A46" s="82" t="inlineStr"/>
      <c r="B46" s="82" t="inlineStr">
        <is>
          <t>2018</t>
        </is>
      </c>
      <c r="C46" s="82" t="inlineStr">
        <is>
          <t>2020</t>
        </is>
      </c>
      <c r="D46" s="82" t="inlineStr">
        <is>
          <t>2022</t>
        </is>
      </c>
      <c r="E46" s="82" t="inlineStr">
        <is>
          <t>2024</t>
        </is>
      </c>
    </row>
    <row r="47">
      <c r="A47" s="6" t="inlineStr">
        <is>
          <t>Democratic share of candidate receipts</t>
        </is>
      </c>
      <c r="B47" s="74">
        <f>'Money vs Results'!D6</f>
        <v/>
      </c>
      <c r="C47" s="74">
        <f>'Money vs Results'!D7</f>
        <v/>
      </c>
      <c r="D47" s="74">
        <f>'Money vs Results'!D8</f>
        <v/>
      </c>
      <c r="E47" s="74">
        <f>'Money vs Results'!D9</f>
        <v/>
      </c>
    </row>
    <row r="48">
      <c r="A48" s="6" t="inlineStr">
        <is>
          <t>Democratic share of total resources (incl. outside)</t>
        </is>
      </c>
      <c r="B48" s="74">
        <f>'Money vs Results'!G6</f>
        <v/>
      </c>
      <c r="C48" s="74">
        <f>'Money vs Results'!G7</f>
        <v/>
      </c>
      <c r="D48" s="74">
        <f>'Money vs Results'!G8</f>
        <v/>
      </c>
      <c r="E48" s="74">
        <f>'Money vs Results'!G9</f>
        <v/>
      </c>
    </row>
    <row r="49">
      <c r="A49" s="6" t="inlineStr">
        <is>
          <t>Democratic two-party vote share</t>
        </is>
      </c>
      <c r="B49" s="74">
        <f>'Money vs Results'!H6</f>
        <v/>
      </c>
      <c r="C49" s="74">
        <f>'Money vs Results'!H7</f>
        <v/>
      </c>
      <c r="D49" s="74">
        <f>'Money vs Results'!H8</f>
        <v/>
      </c>
      <c r="E49" s="74">
        <f>'Money vs Results'!H9</f>
        <v/>
      </c>
    </row>
    <row r="50">
      <c r="A50" s="25" t="inlineStr">
        <is>
          <t>Democratic result</t>
        </is>
      </c>
      <c r="B50" s="83" t="inlineStr">
        <is>
          <t>WON</t>
        </is>
      </c>
      <c r="C50" s="83" t="inlineStr">
        <is>
          <t>WON</t>
        </is>
      </c>
      <c r="D50" s="83" t="inlineStr">
        <is>
          <t>WON</t>
        </is>
      </c>
      <c r="E50" s="84" t="inlineStr">
        <is>
          <t>LOST</t>
        </is>
      </c>
    </row>
    <row r="52">
      <c r="A52" s="6" t="inlineStr">
        <is>
          <t>Correlation r — candidate receipts share vs vote share (Model A)</t>
        </is>
      </c>
      <c r="B52" s="85">
        <f>'Money vs Results'!B14</f>
        <v/>
      </c>
      <c r="C52" s="86">
        <f>'Money vs Results'!B20</f>
        <v/>
      </c>
    </row>
    <row r="53">
      <c r="A53" s="6" t="inlineStr">
        <is>
          <t>Correlation r — total resources share vs vote share (Model B)</t>
        </is>
      </c>
      <c r="B53" s="85">
        <f>'Money vs Results'!C14</f>
        <v/>
      </c>
      <c r="C53" s="86">
        <f>'Money vs Results'!C20</f>
        <v/>
      </c>
    </row>
    <row r="55" ht="64" customHeight="1">
      <c r="A55" s="42" t="inlineStr">
        <is>
          <t>MONEY HAS NOT PREDICTED THIS SEAT. Across the last four elections the Democratic share of candidate fundraising is essentially uncorrelated with the Democratic share of the vote. 2024 settles it on its own: Susan Wild raised 83% of all candidate money in the race and lost. Counting outside money as well (Model B) produces a positive relationship, but at n = 4 it is not statistically distinguishable from chance, and it is driven by 2018 — a Democratic wave year against a barely funded Republican.</t>
        </is>
      </c>
      <c r="B55" s="43" t="n"/>
      <c r="C55" s="43" t="n"/>
      <c r="D55" s="43" t="n"/>
      <c r="E55" s="43" t="n"/>
      <c r="F55" s="43" t="n"/>
      <c r="G55" s="43" t="n"/>
      <c r="H55" s="43" t="n"/>
    </row>
    <row r="56" ht="64" customHeight="1">
      <c r="A56" s="42" t="inlineStr">
        <is>
          <t>WHAT DID MOVE WITH THE RESULT was the national environment and the district's rightward drift: the Democratic two-party vote share fell in every one of the four cycles, from 55.2% to 49.5%, while Democratic money rose. See the History Charts and Money vs Results sheets.</t>
        </is>
      </c>
      <c r="B56" s="43" t="n"/>
      <c r="C56" s="43" t="n"/>
      <c r="D56" s="43" t="n"/>
      <c r="E56" s="43" t="n"/>
      <c r="F56" s="43" t="n"/>
      <c r="G56" s="43" t="n"/>
      <c r="H56" s="43" t="n"/>
    </row>
  </sheetData>
  <mergeCells count="5">
    <mergeCell ref="A56:H56"/>
    <mergeCell ref="A55:H55"/>
    <mergeCell ref="A43:H43"/>
    <mergeCell ref="A41:H41"/>
    <mergeCell ref="A40:H40"/>
  </mergeCells>
  <pageMargins left="0.75" right="0.75" top="1" bottom="1" header="0.5" footer="0.5"/>
</worksheet>
</file>

<file path=xl/worksheets/sheet2.xml><?xml version="1.0" encoding="utf-8"?>
<worksheet xmlns="http://schemas.openxmlformats.org/spreadsheetml/2006/main">
  <sheetPr>
    <tabColor rgb="001F3864"/>
    <outlinePr summaryBelow="1" summaryRight="1"/>
    <pageSetUpPr/>
  </sheetPr>
  <dimension ref="A1:Y148"/>
  <sheetViews>
    <sheetView showGridLines="0" workbookViewId="0">
      <selection activeCell="A1" sqref="A1"/>
    </sheetView>
  </sheetViews>
  <sheetFormatPr baseColWidth="8" defaultRowHeight="15"/>
  <cols>
    <col width="3" customWidth="1" min="1" max="1"/>
    <col width="21" customWidth="1" min="18" max="18"/>
    <col width="21" customWidth="1" min="19" max="19"/>
    <col width="21" customWidth="1" min="20" max="20"/>
    <col width="21" customWidth="1" min="21" max="21"/>
    <col width="21" customWidth="1" min="22" max="22"/>
    <col width="21" customWidth="1" min="23" max="23"/>
    <col width="21" customWidth="1" min="24" max="24"/>
    <col width="21" customWidth="1" min="25" max="25"/>
    <col width="21" customWidth="1" min="26" max="26"/>
  </cols>
  <sheetData>
    <row r="1">
      <c r="A1" s="1" t="inlineStr">
        <is>
          <t>Where the Money Is — charts</t>
        </is>
      </c>
    </row>
    <row r="2">
      <c r="A2" s="2" t="inlineStr">
        <is>
          <t>Every series below is linked to the data sheets. Chart source data sits in columns R–Z of this sheet.</t>
        </is>
      </c>
      <c r="R2" s="44" t="inlineStr">
        <is>
          <t>CHART 1 SOURCE — war chest</t>
        </is>
      </c>
    </row>
    <row r="3">
      <c r="R3" s="45" t="inlineStr">
        <is>
          <t>Metric</t>
        </is>
      </c>
      <c r="S3" s="45" t="inlineStr">
        <is>
          <t>Bob Brooks (D)</t>
        </is>
      </c>
      <c r="T3" s="45" t="inlineStr">
        <is>
          <t>Ryan Mackenzie (R)</t>
        </is>
      </c>
    </row>
    <row r="4">
      <c r="R4" s="28" t="inlineStr">
        <is>
          <t>Receipts</t>
        </is>
      </c>
      <c r="S4" s="46">
        <f>'Money Sources'!B32</f>
        <v/>
      </c>
      <c r="T4" s="46">
        <f>'Money Sources'!C32</f>
        <v/>
      </c>
    </row>
    <row r="5">
      <c r="R5" s="28" t="inlineStr">
        <is>
          <t>Disbursements</t>
        </is>
      </c>
      <c r="S5" s="46">
        <f>'Money Sources'!B33</f>
        <v/>
      </c>
      <c r="T5" s="46">
        <f>'Money Sources'!C33</f>
        <v/>
      </c>
    </row>
    <row r="6">
      <c r="R6" s="28" t="inlineStr">
        <is>
          <t>Cash on hand</t>
        </is>
      </c>
      <c r="S6" s="46">
        <f>'Money Sources'!B34</f>
        <v/>
      </c>
      <c r="T6" s="46">
        <f>'Money Sources'!C34</f>
        <v/>
      </c>
    </row>
    <row r="8">
      <c r="R8" s="44" t="inlineStr">
        <is>
          <t>CHART 2 SOURCE — receipts composition</t>
        </is>
      </c>
    </row>
    <row r="9">
      <c r="R9" s="45" t="inlineStr">
        <is>
          <t>Candidate</t>
        </is>
      </c>
      <c r="S9" s="45" t="inlineStr">
        <is>
          <t>Individual — itemized</t>
        </is>
      </c>
      <c r="T9" s="45" t="inlineStr">
        <is>
          <t>Individual — unitemized (≤$200)</t>
        </is>
      </c>
      <c r="U9" s="45" t="inlineStr">
        <is>
          <t>PAC / other pol. cmte</t>
        </is>
      </c>
      <c r="V9" s="45" t="inlineStr">
        <is>
          <t>Party committee</t>
        </is>
      </c>
      <c r="W9" s="45" t="inlineStr">
        <is>
          <t>Transfer from other cmte</t>
        </is>
      </c>
      <c r="X9" s="45" t="inlineStr">
        <is>
          <t>Self-funding</t>
        </is>
      </c>
      <c r="Y9" s="45" t="inlineStr">
        <is>
          <t>Other / unclassified</t>
        </is>
      </c>
    </row>
    <row r="10">
      <c r="R10" s="28" t="inlineStr">
        <is>
          <t>Bob Brooks (D)</t>
        </is>
      </c>
      <c r="S10" s="46">
        <f>'Money Sources'!B6</f>
        <v/>
      </c>
      <c r="T10" s="46">
        <f>'Money Sources'!B7</f>
        <v/>
      </c>
      <c r="U10" s="46">
        <f>'Money Sources'!B8</f>
        <v/>
      </c>
      <c r="V10" s="46">
        <f>'Money Sources'!B9</f>
        <v/>
      </c>
      <c r="W10" s="46">
        <f>'Money Sources'!B10</f>
        <v/>
      </c>
      <c r="X10" s="46">
        <f>'Money Sources'!B11</f>
        <v/>
      </c>
      <c r="Y10" s="46">
        <f>'Money Sources'!B12</f>
        <v/>
      </c>
    </row>
    <row r="11">
      <c r="R11" s="28" t="inlineStr">
        <is>
          <t>Ryan Mackenzie (R)</t>
        </is>
      </c>
      <c r="S11" s="46">
        <f>'Money Sources'!C6</f>
        <v/>
      </c>
      <c r="T11" s="46">
        <f>'Money Sources'!C7</f>
        <v/>
      </c>
      <c r="U11" s="46">
        <f>'Money Sources'!C8</f>
        <v/>
      </c>
      <c r="V11" s="46">
        <f>'Money Sources'!C9</f>
        <v/>
      </c>
      <c r="W11" s="46">
        <f>'Money Sources'!C10</f>
        <v/>
      </c>
      <c r="X11" s="46">
        <f>'Money Sources'!C11</f>
        <v/>
      </c>
      <c r="Y11" s="46">
        <f>'Money Sources'!C12</f>
        <v/>
      </c>
    </row>
    <row r="13">
      <c r="R13" s="44" t="inlineStr">
        <is>
          <t>CHART 3 SOURCE — headline gap vs money actually raised</t>
        </is>
      </c>
    </row>
    <row r="14">
      <c r="R14" s="45" t="inlineStr">
        <is>
          <t>Measure</t>
        </is>
      </c>
      <c r="S14" s="45" t="inlineStr">
        <is>
          <t>Bob Brooks (D)</t>
        </is>
      </c>
      <c r="T14" s="45" t="inlineStr">
        <is>
          <t>Ryan Mackenzie (R)</t>
        </is>
      </c>
    </row>
    <row r="15">
      <c r="R15" s="28" t="inlineStr">
        <is>
          <t>Receipts as reported</t>
        </is>
      </c>
      <c r="S15" s="46">
        <f>'Money Sources'!B19</f>
        <v/>
      </c>
      <c r="T15" s="46">
        <f>'Money Sources'!C19</f>
        <v/>
      </c>
    </row>
    <row r="16">
      <c r="R16" s="28" t="inlineStr">
        <is>
          <t>Receipts excluding transfers</t>
        </is>
      </c>
      <c r="S16" s="46">
        <f>'Money Sources'!B21</f>
        <v/>
      </c>
      <c r="T16" s="46">
        <f>'Money Sources'!C21</f>
        <v/>
      </c>
    </row>
    <row r="18">
      <c r="R18" s="44" t="inlineStr">
        <is>
          <t>CHART 4 SOURCE — ten largest outside spenders</t>
        </is>
      </c>
    </row>
    <row r="19">
      <c r="R19" s="45" t="inlineStr">
        <is>
          <t>Committee</t>
        </is>
      </c>
      <c r="S19" s="45" t="inlineStr">
        <is>
          <t>Independent expenditure</t>
        </is>
      </c>
    </row>
    <row r="20">
      <c r="R20" s="28" t="inlineStr">
        <is>
          <t>Stronger Together PA (supporting Brooks)</t>
        </is>
      </c>
      <c r="S20" s="46">
        <f>'Outside Money'!D6</f>
        <v/>
      </c>
    </row>
    <row r="21">
      <c r="R21" s="28" t="inlineStr">
        <is>
          <t>Lead Left PAC (opposing Brooks)</t>
        </is>
      </c>
      <c r="S21" s="46">
        <f>'Outside Money'!D7</f>
        <v/>
      </c>
    </row>
    <row r="22">
      <c r="R22" s="28" t="inlineStr">
        <is>
          <t>Jobs and Democracy PAC (supporting Brooks)</t>
        </is>
      </c>
      <c r="S22" s="46">
        <f>'Outside Money'!D8</f>
        <v/>
      </c>
    </row>
    <row r="23">
      <c r="R23" s="28" t="inlineStr">
        <is>
          <t>Congressional Progressive Caucus PAC (supporting Brooks)</t>
        </is>
      </c>
      <c r="S23" s="46">
        <f>'Outside Money'!D9</f>
        <v/>
      </c>
    </row>
    <row r="24">
      <c r="R24" s="28" t="inlineStr">
        <is>
          <t>Medicare for All (supporting Brooks)</t>
        </is>
      </c>
      <c r="S24" s="46">
        <f>'Outside Money'!D10</f>
        <v/>
      </c>
    </row>
    <row r="25">
      <c r="R25" s="28" t="inlineStr">
        <is>
          <t>DLP PAC (supporting Brooks)</t>
        </is>
      </c>
      <c r="S25" s="46">
        <f>'Outside Money'!D11</f>
        <v/>
      </c>
    </row>
    <row r="26">
      <c r="R26" s="28" t="inlineStr">
        <is>
          <t>Make the Road Action Political Committee (supporting Brooks)</t>
        </is>
      </c>
      <c r="S26" s="46">
        <f>'Outside Money'!D12</f>
        <v/>
      </c>
    </row>
    <row r="27">
      <c r="R27" s="28" t="inlineStr">
        <is>
          <t>Blue Majority Project (supporting Brooks)</t>
        </is>
      </c>
      <c r="S27" s="46">
        <f>'Outside Money'!D13</f>
        <v/>
      </c>
    </row>
    <row r="28">
      <c r="R28" s="28" t="inlineStr">
        <is>
          <t>Seniors Empowering an Effective Democracy (SEED-PAC) (supporting Brooks)</t>
        </is>
      </c>
      <c r="S28" s="46">
        <f>'Outside Money'!D14</f>
        <v/>
      </c>
    </row>
    <row r="29">
      <c r="R29" s="28" t="inlineStr">
        <is>
          <t>Blue Battleground Project (supporting Brooks)</t>
        </is>
      </c>
      <c r="S29" s="46">
        <f>'Outside Money'!D15</f>
        <v/>
      </c>
    </row>
    <row r="31">
      <c r="R31" s="44" t="inlineStr">
        <is>
          <t>CHART 5 SOURCE — outside money by target and stance</t>
        </is>
      </c>
    </row>
    <row r="32">
      <c r="R32" s="45" t="inlineStr">
        <is>
          <t>Bucket</t>
        </is>
      </c>
      <c r="S32" s="45" t="inlineStr">
        <is>
          <t>Amount</t>
        </is>
      </c>
    </row>
    <row r="33">
      <c r="R33" s="28" t="inlineStr">
        <is>
          <t>Supporting Brooks (D)</t>
        </is>
      </c>
      <c r="S33" s="46">
        <f>'Outside Money'!D39</f>
        <v/>
      </c>
    </row>
    <row r="34">
      <c r="R34" s="28" t="inlineStr">
        <is>
          <t>Opposing Brooks (D)</t>
        </is>
      </c>
      <c r="S34" s="46">
        <f>'Outside Money'!D40</f>
        <v/>
      </c>
    </row>
    <row r="35">
      <c r="R35" s="28" t="inlineStr">
        <is>
          <t>Supporting Mackenzie (R)</t>
        </is>
      </c>
      <c r="S35" s="46">
        <f>'Outside Money'!D41</f>
        <v/>
      </c>
    </row>
    <row r="36">
      <c r="R36" s="28" t="inlineStr">
        <is>
          <t>Opposing Mackenzie (R)</t>
        </is>
      </c>
      <c r="S36" s="46">
        <f>'Outside Money'!D42</f>
        <v/>
      </c>
    </row>
    <row r="38">
      <c r="R38" s="44" t="inlineStr">
        <is>
          <t>CHART 6 SOURCE — concentration of outside money</t>
        </is>
      </c>
    </row>
    <row r="39">
      <c r="R39" s="45" t="inlineStr">
        <is>
          <t>Committee</t>
        </is>
      </c>
      <c r="S39" s="45" t="inlineStr">
        <is>
          <t>Outside spending</t>
        </is>
      </c>
    </row>
    <row r="40">
      <c r="R40" s="28" t="inlineStr">
        <is>
          <t>Stronger Together PA</t>
        </is>
      </c>
      <c r="S40" s="46">
        <f>'Outside Money'!D6</f>
        <v/>
      </c>
    </row>
    <row r="41">
      <c r="R41" s="28" t="inlineStr">
        <is>
          <t>Lead Left PAC</t>
        </is>
      </c>
      <c r="S41" s="46">
        <f>'Outside Money'!D7</f>
        <v/>
      </c>
    </row>
    <row r="42">
      <c r="R42" s="28" t="inlineStr">
        <is>
          <t>Jobs and Democracy PAC</t>
        </is>
      </c>
      <c r="S42" s="46">
        <f>'Outside Money'!D8</f>
        <v/>
      </c>
    </row>
    <row r="43">
      <c r="R43" s="28" t="inlineStr">
        <is>
          <t>Congressional Progressive Caucus PAC</t>
        </is>
      </c>
      <c r="S43" s="46">
        <f>'Outside Money'!D9</f>
        <v/>
      </c>
    </row>
    <row r="44">
      <c r="R44" s="28" t="inlineStr">
        <is>
          <t>Medicare for All</t>
        </is>
      </c>
      <c r="S44" s="46">
        <f>'Outside Money'!D10</f>
        <v/>
      </c>
    </row>
    <row r="45">
      <c r="R45" s="28" t="inlineStr">
        <is>
          <t>DLP PAC</t>
        </is>
      </c>
      <c r="S45" s="46">
        <f>'Outside Money'!D11</f>
        <v/>
      </c>
    </row>
    <row r="46">
      <c r="R46" s="28" t="inlineStr">
        <is>
          <t>All other (23 committees)</t>
        </is>
      </c>
      <c r="S46" s="46">
        <f>'Outside Money'!D35-SUM('Outside Money'!D6:D11)</f>
        <v/>
      </c>
    </row>
    <row r="145">
      <c r="A145" s="15" t="inlineStr">
        <is>
          <t>Chart 2: the orange band is the transfer from the wound-down joint fundraising committee — money moved between committees, not raised from donors this cycle.</t>
        </is>
      </c>
    </row>
    <row r="146">
      <c r="A146" s="15" t="inlineStr">
        <is>
          <t>Chart 4: red bars are spending AGAINST a candidate. The largest of them opposed Brooks during the Democratic primary, when his opponents were other Democrats — it is not Republican outside support.</t>
        </is>
      </c>
    </row>
    <row r="147">
      <c r="A147" s="15" t="inlineStr">
        <is>
          <t>Chart 5: the $0 supporting Mackenzie is a reported absence in FEC records as of retrieval, not a gap in this data.</t>
        </is>
      </c>
    </row>
    <row r="148">
      <c r="A148" s="15" t="inlineStr">
        <is>
          <t>Charts 4–6 mix spending from the primary and general-election periods; see the timing caveat on the Summary sheet.</t>
        </is>
      </c>
    </row>
  </sheetData>
  <mergeCells count="4">
    <mergeCell ref="A145:N145"/>
    <mergeCell ref="A146:N146"/>
    <mergeCell ref="A147:N147"/>
    <mergeCell ref="A148:N148"/>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tabColor rgb="001F3864"/>
    <outlinePr summaryBelow="1" summaryRight="1"/>
    <pageSetUpPr/>
  </sheetPr>
  <dimension ref="A1:E40"/>
  <sheetViews>
    <sheetView workbookViewId="0">
      <selection activeCell="A1" sqref="A1"/>
    </sheetView>
  </sheetViews>
  <sheetFormatPr baseColWidth="8" defaultRowHeight="15"/>
  <cols>
    <col width="42" customWidth="1" min="1" max="1"/>
    <col width="16" customWidth="1" min="2" max="2"/>
    <col width="16" customWidth="1" min="3" max="3"/>
    <col width="15" customWidth="1" min="4" max="4"/>
    <col width="15" customWidth="1" min="5" max="5"/>
  </cols>
  <sheetData>
    <row r="1">
      <c r="A1" s="1" t="inlineStr">
        <is>
          <t>Where the Money Came From</t>
        </is>
      </c>
    </row>
    <row r="2">
      <c r="A2" s="2" t="inlineStr">
        <is>
          <t>Composition of each nominee's receipts, and what changes when the committee transfer is set aside.</t>
        </is>
      </c>
    </row>
    <row r="4" ht="18" customHeight="1">
      <c r="A4" s="3" t="inlineStr">
        <is>
          <t>SOURCE OF FUNDS</t>
        </is>
      </c>
      <c r="B4" s="4" t="n"/>
      <c r="C4" s="4" t="n"/>
      <c r="D4" s="4" t="n"/>
      <c r="E4" s="4" t="n"/>
    </row>
    <row r="5" ht="30" customHeight="1">
      <c r="A5" s="5" t="inlineStr">
        <is>
          <t>Source of funds</t>
        </is>
      </c>
      <c r="B5" s="5" t="inlineStr">
        <is>
          <t>Bob Brooks (D)</t>
        </is>
      </c>
      <c r="C5" s="5" t="inlineStr">
        <is>
          <t>Ryan Mackenzie (R)</t>
        </is>
      </c>
      <c r="D5" s="5" t="inlineStr">
        <is>
          <t>Brooks — share of receipts</t>
        </is>
      </c>
      <c r="E5" s="5" t="inlineStr">
        <is>
          <t>Mackenzie — share of receipts</t>
        </is>
      </c>
    </row>
    <row r="6">
      <c r="A6" s="6" t="inlineStr">
        <is>
          <t>Individual — itemized (over $200)</t>
        </is>
      </c>
      <c r="B6" s="22">
        <f>IFERROR(IF(INDEX('Candidate Totals'!$J$6:$J$11,MATCH("Bob Brooks",'Candidate Totals'!$A$6:$A$11,0))=0,"",INDEX('Candidate Totals'!$J$6:$J$11,MATCH("Bob Brooks",'Candidate Totals'!$A$6:$A$11,0))-INDEX('Candidate Totals'!$K$6:$K$11,MATCH("Bob Brooks",'Candidate Totals'!$A$6:$A$11,0))),"")</f>
        <v/>
      </c>
      <c r="C6" s="22">
        <f>IFERROR(IF(INDEX('Candidate Totals'!$J$6:$J$11,MATCH("Ryan Mackenzie",'Candidate Totals'!$A$6:$A$11,0))=0,"",INDEX('Candidate Totals'!$J$6:$J$11,MATCH("Ryan Mackenzie",'Candidate Totals'!$A$6:$A$11,0))-INDEX('Candidate Totals'!$K$6:$K$11,MATCH("Ryan Mackenzie",'Candidate Totals'!$A$6:$A$11,0))),"")</f>
        <v/>
      </c>
      <c r="D6" s="18">
        <f>IF(AND(ISNUMBER(B6),ISNUMBER(B13)),B6/B13,"")</f>
        <v/>
      </c>
      <c r="E6" s="18">
        <f>IF(AND(ISNUMBER(C6),ISNUMBER(C13)),C6/C13,"")</f>
        <v/>
      </c>
    </row>
    <row r="7">
      <c r="A7" s="6" t="inlineStr">
        <is>
          <t>Individual — unitemized ($200 or less)</t>
        </is>
      </c>
      <c r="B7" s="22">
        <f>IFERROR(IF(INDEX('Candidate Totals'!$K$6:$K$11,MATCH("Bob Brooks",'Candidate Totals'!$A$6:$A$11,0))=0,"",INDEX('Candidate Totals'!$K$6:$K$11,MATCH("Bob Brooks",'Candidate Totals'!$A$6:$A$11,0))),"")</f>
        <v/>
      </c>
      <c r="C7" s="22">
        <f>IFERROR(IF(INDEX('Candidate Totals'!$K$6:$K$11,MATCH("Ryan Mackenzie",'Candidate Totals'!$A$6:$A$11,0))=0,"",INDEX('Candidate Totals'!$K$6:$K$11,MATCH("Ryan Mackenzie",'Candidate Totals'!$A$6:$A$11,0))),"")</f>
        <v/>
      </c>
      <c r="D7" s="18">
        <f>IF(AND(ISNUMBER(B7),ISNUMBER(B13)),B7/B13,"")</f>
        <v/>
      </c>
      <c r="E7" s="18">
        <f>IF(AND(ISNUMBER(C7),ISNUMBER(C13)),C7/C13,"")</f>
        <v/>
      </c>
    </row>
    <row r="8">
      <c r="A8" s="6" t="inlineStr">
        <is>
          <t>PAC / other political committee</t>
        </is>
      </c>
      <c r="B8" s="22">
        <f>IFERROR(IF(INDEX('Candidate Totals'!$L$6:$L$11,MATCH("Bob Brooks",'Candidate Totals'!$A$6:$A$11,0))=0,"",INDEX('Candidate Totals'!$L$6:$L$11,MATCH("Bob Brooks",'Candidate Totals'!$A$6:$A$11,0))),"")</f>
        <v/>
      </c>
      <c r="C8" s="22">
        <f>IFERROR(IF(INDEX('Candidate Totals'!$L$6:$L$11,MATCH("Ryan Mackenzie",'Candidate Totals'!$A$6:$A$11,0))=0,"",INDEX('Candidate Totals'!$L$6:$L$11,MATCH("Ryan Mackenzie",'Candidate Totals'!$A$6:$A$11,0))),"")</f>
        <v/>
      </c>
      <c r="D8" s="18">
        <f>IF(AND(ISNUMBER(B8),ISNUMBER(B13)),B8/B13,"")</f>
        <v/>
      </c>
      <c r="E8" s="18">
        <f>IF(AND(ISNUMBER(C8),ISNUMBER(C13)),C8/C13,"")</f>
        <v/>
      </c>
    </row>
    <row r="9">
      <c r="A9" s="6" t="inlineStr">
        <is>
          <t>Party committee</t>
        </is>
      </c>
      <c r="B9" s="22">
        <f>IFERROR(IF(INDEX('Candidate Totals'!$M$6:$M$11,MATCH("Bob Brooks",'Candidate Totals'!$A$6:$A$11,0))=0,"",INDEX('Candidate Totals'!$M$6:$M$11,MATCH("Bob Brooks",'Candidate Totals'!$A$6:$A$11,0))),"")</f>
        <v/>
      </c>
      <c r="C9" s="22">
        <f>IFERROR(IF(INDEX('Candidate Totals'!$M$6:$M$11,MATCH("Ryan Mackenzie",'Candidate Totals'!$A$6:$A$11,0))=0,"",INDEX('Candidate Totals'!$M$6:$M$11,MATCH("Ryan Mackenzie",'Candidate Totals'!$A$6:$A$11,0))),"")</f>
        <v/>
      </c>
      <c r="D9" s="18">
        <f>IF(AND(ISNUMBER(B9),ISNUMBER(B13)),B9/B13,"")</f>
        <v/>
      </c>
      <c r="E9" s="18">
        <f>IF(AND(ISNUMBER(C9),ISNUMBER(C13)),C9/C13,"")</f>
        <v/>
      </c>
    </row>
    <row r="10">
      <c r="A10" s="6" t="inlineStr">
        <is>
          <t>Transfers from another authorized committee</t>
        </is>
      </c>
      <c r="B10" s="22">
        <f>IFERROR(IF(INDEX('Candidate Totals'!$N$6:$N$11,MATCH("Bob Brooks",'Candidate Totals'!$A$6:$A$11,0))=0,"",INDEX('Candidate Totals'!$N$6:$N$11,MATCH("Bob Brooks",'Candidate Totals'!$A$6:$A$11,0))),"")</f>
        <v/>
      </c>
      <c r="C10" s="22">
        <f>IFERROR(IF(INDEX('Candidate Totals'!$N$6:$N$11,MATCH("Ryan Mackenzie",'Candidate Totals'!$A$6:$A$11,0))=0,"",INDEX('Candidate Totals'!$N$6:$N$11,MATCH("Ryan Mackenzie",'Candidate Totals'!$A$6:$A$11,0))),"")</f>
        <v/>
      </c>
      <c r="D10" s="18">
        <f>IF(AND(ISNUMBER(B10),ISNUMBER(B13)),B10/B13,"")</f>
        <v/>
      </c>
      <c r="E10" s="18">
        <f>IF(AND(ISNUMBER(C10),ISNUMBER(C13)),C10/C13,"")</f>
        <v/>
      </c>
    </row>
    <row r="11">
      <c r="A11" s="6" t="inlineStr">
        <is>
          <t>Candidate self-funding</t>
        </is>
      </c>
      <c r="B11" s="22">
        <f>IFERROR(INDEX('Candidate Totals'!$O$6:$O$11,MATCH("Bob Brooks",'Candidate Totals'!$A$6:$A$11,0)),"")</f>
        <v/>
      </c>
      <c r="C11" s="22">
        <f>IFERROR(INDEX('Candidate Totals'!$O$6:$O$11,MATCH("Ryan Mackenzie",'Candidate Totals'!$A$6:$A$11,0)),"")</f>
        <v/>
      </c>
      <c r="D11" s="18">
        <f>IF(AND(ISNUMBER(B11),ISNUMBER(B13)),B11/B13,"")</f>
        <v/>
      </c>
      <c r="E11" s="18">
        <f>IF(AND(ISNUMBER(C11),ISNUMBER(C13)),C11/C13,"")</f>
        <v/>
      </c>
    </row>
    <row r="12">
      <c r="A12" s="6" t="inlineStr">
        <is>
          <t>Other / unclassified</t>
        </is>
      </c>
      <c r="B12" s="22">
        <f>IFERROR(IF(INDEX('Candidate Totals'!$P$6:$P$11,MATCH("Bob Brooks",'Candidate Totals'!$A$6:$A$11,0))=0,"",INDEX('Candidate Totals'!$P$6:$P$11,MATCH("Bob Brooks",'Candidate Totals'!$A$6:$A$11,0))),"")</f>
        <v/>
      </c>
      <c r="C12" s="22">
        <f>IFERROR(IF(INDEX('Candidate Totals'!$P$6:$P$11,MATCH("Ryan Mackenzie",'Candidate Totals'!$A$6:$A$11,0))=0,"",INDEX('Candidate Totals'!$P$6:$P$11,MATCH("Ryan Mackenzie",'Candidate Totals'!$A$6:$A$11,0))),"")</f>
        <v/>
      </c>
      <c r="D12" s="18">
        <f>IF(AND(ISNUMBER(B12),ISNUMBER(B13)),B12/B13,"")</f>
        <v/>
      </c>
      <c r="E12" s="18">
        <f>IF(AND(ISNUMBER(C12),ISNUMBER(C13)),C12/C13,"")</f>
        <v/>
      </c>
    </row>
    <row r="13">
      <c r="A13" s="11" t="inlineStr">
        <is>
          <t>TOTAL RECEIPTS</t>
        </is>
      </c>
      <c r="B13" s="13">
        <f>SUM(B6:B12)</f>
        <v/>
      </c>
      <c r="C13" s="13">
        <f>SUM(C6:C12)</f>
        <v/>
      </c>
      <c r="D13" s="21">
        <f>IFERROR(SUM(D6:D12),"")</f>
        <v/>
      </c>
      <c r="E13" s="21">
        <f>IFERROR(SUM(E6:E12),"")</f>
        <v/>
      </c>
    </row>
    <row r="14" ht="39" customHeight="1">
      <c r="A14" s="15" t="inlineStr">
        <is>
          <t>Reconciliation check: TOTAL RECEIPTS above is built from the components and must equal the receipts the FEC reports. The check row below recomputes the difference independently.</t>
        </is>
      </c>
    </row>
    <row r="15">
      <c r="A15" s="23" t="inlineStr">
        <is>
          <t>Check: components − reported receipts (must be $0)</t>
        </is>
      </c>
      <c r="B15" s="24">
        <f>IFERROR(B13-INDEX('Candidate Totals'!$F$6:$F$11,MATCH("Bob Brooks",'Candidate Totals'!$A$6:$A$11,0)),"")</f>
        <v/>
      </c>
      <c r="C15" s="24">
        <f>IFERROR(C13-INDEX('Candidate Totals'!$F$6:$F$11,MATCH("Ryan Mackenzie",'Candidate Totals'!$A$6:$A$11,0)),"")</f>
        <v/>
      </c>
    </row>
    <row r="17" ht="18" customHeight="1">
      <c r="A17" s="3" t="inlineStr">
        <is>
          <t>THE HEADLINE GAP, AND WHAT IS ACTUALLY IN IT</t>
        </is>
      </c>
      <c r="B17" s="4" t="n"/>
      <c r="C17" s="4" t="n"/>
      <c r="D17" s="4" t="n"/>
      <c r="E17" s="4" t="n"/>
    </row>
    <row r="18" ht="30" customHeight="1">
      <c r="A18" s="5" t="inlineStr">
        <is>
          <t>Measure</t>
        </is>
      </c>
      <c r="B18" s="5" t="inlineStr">
        <is>
          <t>Bob Brooks (D)</t>
        </is>
      </c>
      <c r="C18" s="5" t="inlineStr">
        <is>
          <t>Ryan Mackenzie (R)</t>
        </is>
      </c>
      <c r="D18" s="5" t="inlineStr">
        <is>
          <t>Mackenzie − Brooks</t>
        </is>
      </c>
      <c r="E18" s="5" t="inlineStr"/>
    </row>
    <row r="19">
      <c r="A19" s="6" t="inlineStr">
        <is>
          <t>Headline receipts (as reported)</t>
        </is>
      </c>
      <c r="B19" s="22">
        <f>IFERROR(IF(INDEX('Candidate Totals'!$F$6:$F$11,MATCH("Bob Brooks",'Candidate Totals'!$A$6:$A$11,0))=0,"",INDEX('Candidate Totals'!$F$6:$F$11,MATCH("Bob Brooks",'Candidate Totals'!$A$6:$A$11,0))),"")</f>
        <v/>
      </c>
      <c r="C19" s="22">
        <f>IFERROR(IF(INDEX('Candidate Totals'!$F$6:$F$11,MATCH("Ryan Mackenzie",'Candidate Totals'!$A$6:$A$11,0))=0,"",INDEX('Candidate Totals'!$F$6:$F$11,MATCH("Ryan Mackenzie",'Candidate Totals'!$A$6:$A$11,0))),"")</f>
        <v/>
      </c>
      <c r="D19" s="8">
        <f>IF(AND(ISNUMBER(C19),ISNUMBER(B19)),C19-B19,"")</f>
        <v/>
      </c>
    </row>
    <row r="20">
      <c r="A20" s="6" t="inlineStr">
        <is>
          <t>less: transfers from another authorized committee</t>
        </is>
      </c>
      <c r="B20" s="22">
        <f>IFERROR(IF(INDEX('Candidate Totals'!$N$6:$N$11,MATCH("Bob Brooks",'Candidate Totals'!$A$6:$A$11,0))=0,"",INDEX('Candidate Totals'!$N$6:$N$11,MATCH("Bob Brooks",'Candidate Totals'!$A$6:$A$11,0))),"")</f>
        <v/>
      </c>
      <c r="C20" s="22">
        <f>IFERROR(IF(INDEX('Candidate Totals'!$N$6:$N$11,MATCH("Ryan Mackenzie",'Candidate Totals'!$A$6:$A$11,0))=0,"",INDEX('Candidate Totals'!$N$6:$N$11,MATCH("Ryan Mackenzie",'Candidate Totals'!$A$6:$A$11,0))),"")</f>
        <v/>
      </c>
      <c r="D20" s="8">
        <f>IF(AND(ISNUMBER(C20),ISNUMBER(B20)),C20-B20,"")</f>
        <v/>
      </c>
    </row>
    <row r="21">
      <c r="A21" s="25" t="inlineStr">
        <is>
          <t>Receipts excluding committee transfers</t>
        </is>
      </c>
      <c r="B21" s="13">
        <f>IF(AND(ISNUMBER(B19),ISNUMBER(B20)),B19-B20,"")</f>
        <v/>
      </c>
      <c r="C21" s="13">
        <f>IF(AND(ISNUMBER(C19),ISNUMBER(C20)),C19-C20,"")</f>
        <v/>
      </c>
      <c r="D21" s="26">
        <f>IF(AND(ISNUMBER(C21),ISNUMBER(B21)),C21-B21,"")</f>
        <v/>
      </c>
    </row>
    <row r="22" ht="52" customHeight="1">
      <c r="A22" s="15" t="inlineStr">
        <is>
          <t>Mackenzie's reported receipts lead Brooks by the amount in D19. Once the transfer from the wound-down joint fundraising committee is set aside, the gap in genuinely new money raised this cycle is the figure in D21 — a different race entirely.</t>
        </is>
      </c>
    </row>
    <row r="24" ht="18" customHeight="1">
      <c r="A24" s="3" t="inlineStr">
        <is>
          <t>SMALL-DOLLAR RELIANCE</t>
        </is>
      </c>
      <c r="B24" s="4" t="n"/>
      <c r="C24" s="4" t="n"/>
      <c r="D24" s="4" t="n"/>
      <c r="E24" s="4" t="n"/>
    </row>
    <row r="25" ht="30" customHeight="1">
      <c r="A25" s="5" t="inlineStr">
        <is>
          <t>Measure</t>
        </is>
      </c>
      <c r="B25" s="5" t="inlineStr">
        <is>
          <t>Bob Brooks (D)</t>
        </is>
      </c>
      <c r="C25" s="5" t="inlineStr">
        <is>
          <t>Ryan Mackenzie (R)</t>
        </is>
      </c>
      <c r="D25" s="5" t="inlineStr"/>
      <c r="E25" s="5" t="inlineStr"/>
    </row>
    <row r="26">
      <c r="A26" s="6" t="inlineStr">
        <is>
          <t>Unitemized contributions ($200 or less)</t>
        </is>
      </c>
      <c r="B26" s="22">
        <f>IFERROR(IF(INDEX('Candidate Totals'!$K$6:$K$11,MATCH("Bob Brooks",'Candidate Totals'!$A$6:$A$11,0))=0,"",INDEX('Candidate Totals'!$K$6:$K$11,MATCH("Bob Brooks",'Candidate Totals'!$A$6:$A$11,0))),"")</f>
        <v/>
      </c>
      <c r="C26" s="22">
        <f>IFERROR(IF(INDEX('Candidate Totals'!$K$6:$K$11,MATCH("Ryan Mackenzie",'Candidate Totals'!$A$6:$A$11,0))=0,"",INDEX('Candidate Totals'!$K$6:$K$11,MATCH("Ryan Mackenzie",'Candidate Totals'!$A$6:$A$11,0))),"")</f>
        <v/>
      </c>
    </row>
    <row r="27">
      <c r="A27" s="6" t="inlineStr">
        <is>
          <t>as % of total receipts</t>
        </is>
      </c>
      <c r="B27" s="18">
        <f>IFERROR(B26/(IFERROR(IF(INDEX('Candidate Totals'!$F$6:$F$11,MATCH("Bob Brooks",'Candidate Totals'!$A$6:$A$11,0))=0,"",INDEX('Candidate Totals'!$F$6:$F$11,MATCH("Bob Brooks",'Candidate Totals'!$A$6:$A$11,0))),"")),"")</f>
        <v/>
      </c>
      <c r="C27" s="18">
        <f>IFERROR(C26/(IFERROR(IF(INDEX('Candidate Totals'!$F$6:$F$11,MATCH("Ryan Mackenzie",'Candidate Totals'!$A$6:$A$11,0))=0,"",INDEX('Candidate Totals'!$F$6:$F$11,MATCH("Ryan Mackenzie",'Candidate Totals'!$A$6:$A$11,0))),"")),"")</f>
        <v/>
      </c>
    </row>
    <row r="28">
      <c r="A28" s="6" t="inlineStr">
        <is>
          <t>as % of individual contributions</t>
        </is>
      </c>
      <c r="B28" s="18">
        <f>IFERROR(B26/(IFERROR(IF(INDEX('Candidate Totals'!$J$6:$J$11,MATCH("Bob Brooks",'Candidate Totals'!$A$6:$A$11,0))=0,"",INDEX('Candidate Totals'!$J$6:$J$11,MATCH("Bob Brooks",'Candidate Totals'!$A$6:$A$11,0))),"")),"")</f>
        <v/>
      </c>
      <c r="C28" s="18">
        <f>IFERROR(C26/(IFERROR(IF(INDEX('Candidate Totals'!$J$6:$J$11,MATCH("Ryan Mackenzie",'Candidate Totals'!$A$6:$A$11,0))=0,"",INDEX('Candidate Totals'!$J$6:$J$11,MATCH("Ryan Mackenzie",'Candidate Totals'!$A$6:$A$11,0))),"")),"")</f>
        <v/>
      </c>
    </row>
    <row r="30" ht="18" customHeight="1">
      <c r="A30" s="3" t="inlineStr">
        <is>
          <t>SPENDING PACE AND WAR CHEST</t>
        </is>
      </c>
      <c r="B30" s="4" t="n"/>
      <c r="C30" s="4" t="n"/>
      <c r="D30" s="4" t="n"/>
      <c r="E30" s="4" t="n"/>
    </row>
    <row r="31" ht="30" customHeight="1">
      <c r="A31" s="5" t="inlineStr">
        <is>
          <t>Measure</t>
        </is>
      </c>
      <c r="B31" s="5" t="inlineStr">
        <is>
          <t>Bob Brooks (D)</t>
        </is>
      </c>
      <c r="C31" s="5" t="inlineStr">
        <is>
          <t>Ryan Mackenzie (R)</t>
        </is>
      </c>
      <c r="D31" s="5" t="inlineStr">
        <is>
          <t>Mackenzie − Brooks</t>
        </is>
      </c>
      <c r="E31" s="5" t="inlineStr"/>
    </row>
    <row r="32">
      <c r="A32" s="6" t="inlineStr">
        <is>
          <t>Receipts</t>
        </is>
      </c>
      <c r="B32" s="22">
        <f>IFERROR(IF(INDEX('Candidate Totals'!$F$6:$F$11,MATCH("Bob Brooks",'Candidate Totals'!$A$6:$A$11,0))=0,"",INDEX('Candidate Totals'!$F$6:$F$11,MATCH("Bob Brooks",'Candidate Totals'!$A$6:$A$11,0))),"")</f>
        <v/>
      </c>
      <c r="C32" s="22">
        <f>IFERROR(IF(INDEX('Candidate Totals'!$F$6:$F$11,MATCH("Ryan Mackenzie",'Candidate Totals'!$A$6:$A$11,0))=0,"",INDEX('Candidate Totals'!$F$6:$F$11,MATCH("Ryan Mackenzie",'Candidate Totals'!$A$6:$A$11,0))),"")</f>
        <v/>
      </c>
      <c r="D32" s="8">
        <f>IF(AND(ISNUMBER(C32),ISNUMBER(B32)),C32-B32,"")</f>
        <v/>
      </c>
    </row>
    <row r="33">
      <c r="A33" s="6" t="inlineStr">
        <is>
          <t>Disbursements</t>
        </is>
      </c>
      <c r="B33" s="22">
        <f>IFERROR(IF(INDEX('Candidate Totals'!$G$6:$G$11,MATCH("Bob Brooks",'Candidate Totals'!$A$6:$A$11,0))=0,"",INDEX('Candidate Totals'!$G$6:$G$11,MATCH("Bob Brooks",'Candidate Totals'!$A$6:$A$11,0))),"")</f>
        <v/>
      </c>
      <c r="C33" s="22">
        <f>IFERROR(IF(INDEX('Candidate Totals'!$G$6:$G$11,MATCH("Ryan Mackenzie",'Candidate Totals'!$A$6:$A$11,0))=0,"",INDEX('Candidate Totals'!$G$6:$G$11,MATCH("Ryan Mackenzie",'Candidate Totals'!$A$6:$A$11,0))),"")</f>
        <v/>
      </c>
      <c r="D33" s="8">
        <f>IF(AND(ISNUMBER(C33),ISNUMBER(B33)),C33-B33,"")</f>
        <v/>
      </c>
    </row>
    <row r="34">
      <c r="A34" s="6" t="inlineStr">
        <is>
          <t>Cash on hand</t>
        </is>
      </c>
      <c r="B34" s="22">
        <f>IFERROR(IF(INDEX('Candidate Totals'!$H$6:$H$11,MATCH("Bob Brooks",'Candidate Totals'!$A$6:$A$11,0))=0,"",INDEX('Candidate Totals'!$H$6:$H$11,MATCH("Bob Brooks",'Candidate Totals'!$A$6:$A$11,0))),"")</f>
        <v/>
      </c>
      <c r="C34" s="22">
        <f>IFERROR(IF(INDEX('Candidate Totals'!$H$6:$H$11,MATCH("Ryan Mackenzie",'Candidate Totals'!$A$6:$A$11,0))=0,"",INDEX('Candidate Totals'!$H$6:$H$11,MATCH("Ryan Mackenzie",'Candidate Totals'!$A$6:$A$11,0))),"")</f>
        <v/>
      </c>
      <c r="D34" s="8">
        <f>IF(AND(ISNUMBER(C34),ISNUMBER(B34)),C34-B34,"")</f>
        <v/>
      </c>
    </row>
    <row r="35">
      <c r="A35" s="6" t="inlineStr">
        <is>
          <t>Debts owed</t>
        </is>
      </c>
      <c r="B35" s="22">
        <f>IFERROR(IF(INDEX('Candidate Totals'!$I$6:$I$11,MATCH("Bob Brooks",'Candidate Totals'!$A$6:$A$11,0))=0,"",INDEX('Candidate Totals'!$I$6:$I$11,MATCH("Bob Brooks",'Candidate Totals'!$A$6:$A$11,0))),"")</f>
        <v/>
      </c>
      <c r="C35" s="22">
        <f>IFERROR(IF(INDEX('Candidate Totals'!$I$6:$I$11,MATCH("Ryan Mackenzie",'Candidate Totals'!$A$6:$A$11,0))=0,"",INDEX('Candidate Totals'!$I$6:$I$11,MATCH("Ryan Mackenzie",'Candidate Totals'!$A$6:$A$11,0))),"")</f>
        <v/>
      </c>
      <c r="D35" s="8">
        <f>IF(AND(ISNUMBER(C35),ISNUMBER(B35)),C35-B35,"")</f>
        <v/>
      </c>
    </row>
    <row r="36">
      <c r="A36" s="6" t="inlineStr">
        <is>
          <t>Burn rate (disbursed ÷ raised)</t>
        </is>
      </c>
      <c r="B36" s="18">
        <f>IF(AND(ISNUMBER(B33),ISNUMBER(B32)),B33/B32,"")</f>
        <v/>
      </c>
      <c r="C36" s="18">
        <f>IF(AND(ISNUMBER(C33),ISNUMBER(C32)),C33/C32,"")</f>
        <v/>
      </c>
      <c r="D36" s="27">
        <f>IF(AND(ISNUMBER(C36),ISNUMBER(B36)),C36-B36,"")</f>
        <v/>
      </c>
    </row>
    <row r="37">
      <c r="A37" s="6" t="inlineStr">
        <is>
          <t>Cash on hand ÷ receipts</t>
        </is>
      </c>
      <c r="B37" s="18">
        <f>IF(AND(ISNUMBER(B34),ISNUMBER(B32)),B34/B32,"")</f>
        <v/>
      </c>
      <c r="C37" s="18">
        <f>IF(AND(ISNUMBER(C34),ISNUMBER(C32)),C34/C32,"")</f>
        <v/>
      </c>
      <c r="D37" s="27">
        <f>IF(AND(ISNUMBER(C37),ISNUMBER(B37)),C37-B37,"")</f>
        <v/>
      </c>
    </row>
    <row r="39" ht="26" customHeight="1">
      <c r="A39" s="15" t="inlineStr">
        <is>
          <t>Green figures are links to the Candidate Totals sheet. Black figures are computed here.</t>
        </is>
      </c>
    </row>
    <row r="40" ht="26" customHeight="1">
      <c r="A40" s="15" t="inlineStr">
        <is>
          <t>Debts are amounts the committee owes; they are not netted out of cash on hand.</t>
        </is>
      </c>
    </row>
  </sheetData>
  <mergeCells count="4">
    <mergeCell ref="A39:E39"/>
    <mergeCell ref="A22:E22"/>
    <mergeCell ref="A40:E40"/>
    <mergeCell ref="A14:E14"/>
  </mergeCells>
  <pageMargins left="0.75" right="0.75" top="1" bottom="1" header="0.5" footer="0.5"/>
</worksheet>
</file>

<file path=xl/worksheets/sheet4.xml><?xml version="1.0" encoding="utf-8"?>
<worksheet xmlns="http://schemas.openxmlformats.org/spreadsheetml/2006/main">
  <sheetPr>
    <tabColor rgb="001F3864"/>
    <outlinePr summaryBelow="1" summaryRight="1"/>
    <pageSetUpPr/>
  </sheetPr>
  <dimension ref="A1:P19"/>
  <sheetViews>
    <sheetView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7" customWidth="1" min="2" max="2"/>
    <col width="10" customWidth="1" min="3" max="3"/>
    <col width="12" customWidth="1" min="4" max="4"/>
    <col width="13" customWidth="1" min="5" max="5"/>
    <col width="14" customWidth="1" min="6" max="6"/>
    <col width="14" customWidth="1" min="7" max="7"/>
    <col width="14" customWidth="1" min="8" max="8"/>
    <col width="11" customWidth="1" min="9" max="9"/>
    <col width="15" customWidth="1" min="10" max="10"/>
    <col width="16" customWidth="1" min="11" max="11"/>
    <col width="15" customWidth="1" min="12" max="12"/>
    <col width="13" customWidth="1" min="13" max="13"/>
    <col width="16" customWidth="1" min="14" max="14"/>
    <col width="15" customWidth="1" min="15" max="15"/>
    <col width="16" customWidth="1" min="16" max="16"/>
  </cols>
  <sheetData>
    <row r="1">
      <c r="A1" s="1" t="inlineStr">
        <is>
          <t>Candidate Committee Totals — PA-07, 2026 cycle</t>
        </is>
      </c>
    </row>
    <row r="2">
      <c r="A2" s="2" t="inlineStr">
        <is>
          <t>FEC Form 3 'JULY QUARTERLY 2026' (filed 2026-07-15), cycle-to-date. Coverage through 2026-06-30. Retrieved 2026-08-30T16:22:43Z.</t>
        </is>
      </c>
    </row>
    <row r="4" ht="18" customHeight="1">
      <c r="A4" s="3" t="inlineStr">
        <is>
          <t>CANDIDATE TOTALS — 2026 CYCLE</t>
        </is>
      </c>
      <c r="B4" s="4" t="n"/>
      <c r="C4" s="4" t="n"/>
      <c r="D4" s="4" t="n"/>
      <c r="E4" s="4" t="n"/>
      <c r="F4" s="4" t="n"/>
      <c r="G4" s="4" t="n"/>
      <c r="H4" s="4" t="n"/>
      <c r="I4" s="4" t="n"/>
      <c r="J4" s="4" t="n"/>
      <c r="K4" s="4" t="n"/>
      <c r="L4" s="4" t="n"/>
      <c r="M4" s="4" t="n"/>
      <c r="N4" s="4" t="n"/>
      <c r="O4" s="4" t="n"/>
      <c r="P4" s="4" t="n"/>
    </row>
    <row r="5" ht="30" customHeight="1">
      <c r="A5" s="5" t="inlineStr">
        <is>
          <t>Candidate</t>
        </is>
      </c>
      <c r="B5" s="5" t="inlineStr">
        <is>
          <t>Party</t>
        </is>
      </c>
      <c r="C5" s="5" t="inlineStr">
        <is>
          <t>Incumbent</t>
        </is>
      </c>
      <c r="D5" s="5" t="inlineStr">
        <is>
          <t>Filed?</t>
        </is>
      </c>
      <c r="E5" s="5" t="inlineStr">
        <is>
          <t>Coverage through</t>
        </is>
      </c>
      <c r="F5" s="5" t="inlineStr">
        <is>
          <t>Receipts</t>
        </is>
      </c>
      <c r="G5" s="5" t="inlineStr">
        <is>
          <t>Disbursements</t>
        </is>
      </c>
      <c r="H5" s="5" t="inlineStr">
        <is>
          <t>Cash on hand</t>
        </is>
      </c>
      <c r="I5" s="5" t="inlineStr">
        <is>
          <t>Debts</t>
        </is>
      </c>
      <c r="J5" s="5" t="inlineStr">
        <is>
          <t>Individual — total</t>
        </is>
      </c>
      <c r="K5" s="5" t="inlineStr">
        <is>
          <t xml:space="preserve">  of which: unitemized (≤$200)</t>
        </is>
      </c>
      <c r="L5" s="5" t="inlineStr">
        <is>
          <t>PAC / other pol. cmte</t>
        </is>
      </c>
      <c r="M5" s="5" t="inlineStr">
        <is>
          <t>Party committee</t>
        </is>
      </c>
      <c r="N5" s="5" t="inlineStr">
        <is>
          <t>Transfers from other auth. cmte</t>
        </is>
      </c>
      <c r="O5" s="5" t="inlineStr">
        <is>
          <t>Candidate self-funding</t>
        </is>
      </c>
      <c r="P5" s="5" t="inlineStr">
        <is>
          <t>Other / unclassified (derived)</t>
        </is>
      </c>
    </row>
    <row r="6">
      <c r="A6" s="6" t="inlineStr">
        <is>
          <t>Bob Brooks</t>
        </is>
      </c>
      <c r="B6" s="6" t="inlineStr">
        <is>
          <t>DEM</t>
        </is>
      </c>
      <c r="C6" s="6" t="inlineStr">
        <is>
          <t>no</t>
        </is>
      </c>
      <c r="D6" s="6" t="inlineStr">
        <is>
          <t>yes</t>
        </is>
      </c>
      <c r="E6" s="6" t="inlineStr">
        <is>
          <t>2026-06-30</t>
        </is>
      </c>
      <c r="F6" s="7" t="n">
        <v>2392215.23</v>
      </c>
      <c r="G6" s="7" t="n">
        <v>1373792.39</v>
      </c>
      <c r="H6" s="7" t="n">
        <v>1018422.84</v>
      </c>
      <c r="I6" s="7" t="n">
        <v>15000</v>
      </c>
      <c r="J6" s="7" t="n">
        <v>1942165.53</v>
      </c>
      <c r="K6" s="7" t="n">
        <v>599386.78</v>
      </c>
      <c r="L6" s="7" t="n">
        <v>403000.03</v>
      </c>
      <c r="M6" s="7" t="n">
        <v>5000</v>
      </c>
      <c r="N6" s="7" t="n">
        <v>26085</v>
      </c>
      <c r="O6" s="7" t="n">
        <v>3500</v>
      </c>
      <c r="P6" s="8">
        <f>IF(ISNUMBER(F6),F6-(J6+L6+M6+N6+O6),"")</f>
        <v/>
      </c>
    </row>
    <row r="7">
      <c r="A7" s="6" t="inlineStr">
        <is>
          <t>Ryan Mackenzie</t>
        </is>
      </c>
      <c r="B7" s="6" t="inlineStr">
        <is>
          <t>REP</t>
        </is>
      </c>
      <c r="C7" s="6" t="inlineStr">
        <is>
          <t>yes</t>
        </is>
      </c>
      <c r="D7" s="6" t="inlineStr">
        <is>
          <t>yes</t>
        </is>
      </c>
      <c r="E7" s="6" t="inlineStr">
        <is>
          <t>2026-06-30</t>
        </is>
      </c>
      <c r="F7" s="7" t="n">
        <v>4357405.11</v>
      </c>
      <c r="G7" s="7" t="n">
        <v>1521927.85</v>
      </c>
      <c r="H7" s="7" t="n">
        <v>2938717.17</v>
      </c>
      <c r="I7" s="7" t="n">
        <v>22583.23</v>
      </c>
      <c r="J7" s="7" t="n">
        <v>1493241.01</v>
      </c>
      <c r="K7" s="7" t="n">
        <v>554133.97</v>
      </c>
      <c r="L7" s="7" t="n">
        <v>1042912.78</v>
      </c>
      <c r="M7" s="7" t="n">
        <v>5000</v>
      </c>
      <c r="N7" s="7" t="n">
        <v>1779199.14</v>
      </c>
      <c r="O7" s="7" t="n">
        <v>0</v>
      </c>
      <c r="P7" s="8">
        <f>IF(ISNUMBER(F7),F7-(J7+L7+M7+N7+O7),"")</f>
        <v/>
      </c>
    </row>
    <row r="8">
      <c r="A8" s="6" t="inlineStr">
        <is>
          <t>Frank Golden</t>
        </is>
      </c>
      <c r="B8" s="6" t="inlineStr">
        <is>
          <t>UN</t>
        </is>
      </c>
      <c r="C8" s="6" t="inlineStr">
        <is>
          <t>no</t>
        </is>
      </c>
      <c r="D8" s="9" t="inlineStr">
        <is>
          <t>never filed</t>
        </is>
      </c>
      <c r="E8" s="6" t="inlineStr">
        <is>
          <t>—</t>
        </is>
      </c>
      <c r="F8" s="10" t="n"/>
      <c r="G8" s="10" t="n"/>
      <c r="H8" s="10" t="n"/>
      <c r="I8" s="10" t="n"/>
      <c r="J8" s="10" t="n"/>
      <c r="K8" s="10" t="n"/>
      <c r="L8" s="10" t="n"/>
      <c r="M8" s="10" t="n"/>
      <c r="N8" s="10" t="n"/>
      <c r="O8" s="10" t="n"/>
      <c r="P8" s="10" t="n"/>
    </row>
    <row r="9">
      <c r="A9" s="6" t="inlineStr">
        <is>
          <t>Aiden Alexander Gonzalez</t>
        </is>
      </c>
      <c r="B9" s="6" t="inlineStr">
        <is>
          <t>DEM</t>
        </is>
      </c>
      <c r="C9" s="6" t="inlineStr">
        <is>
          <t>no</t>
        </is>
      </c>
      <c r="D9" s="9" t="inlineStr">
        <is>
          <t>never filed</t>
        </is>
      </c>
      <c r="E9" s="6" t="inlineStr">
        <is>
          <t>—</t>
        </is>
      </c>
      <c r="F9" s="10" t="n"/>
      <c r="G9" s="10" t="n"/>
      <c r="H9" s="10" t="n"/>
      <c r="I9" s="10" t="n"/>
      <c r="J9" s="10" t="n"/>
      <c r="K9" s="10" t="n"/>
      <c r="L9" s="10" t="n"/>
      <c r="M9" s="10" t="n"/>
      <c r="N9" s="10" t="n"/>
      <c r="O9" s="10" t="n"/>
      <c r="P9" s="10" t="n"/>
    </row>
    <row r="10">
      <c r="A10" s="6" t="inlineStr">
        <is>
          <t>Michael Ramon Granados Jr.</t>
        </is>
      </c>
      <c r="B10" s="6" t="inlineStr">
        <is>
          <t>IND</t>
        </is>
      </c>
      <c r="C10" s="6" t="inlineStr">
        <is>
          <t>no</t>
        </is>
      </c>
      <c r="D10" s="9" t="inlineStr">
        <is>
          <t>never filed</t>
        </is>
      </c>
      <c r="E10" s="6" t="inlineStr">
        <is>
          <t>—</t>
        </is>
      </c>
      <c r="F10" s="10" t="n"/>
      <c r="G10" s="10" t="n"/>
      <c r="H10" s="10" t="n"/>
      <c r="I10" s="10" t="n"/>
      <c r="J10" s="10" t="n"/>
      <c r="K10" s="10" t="n"/>
      <c r="L10" s="10" t="n"/>
      <c r="M10" s="10" t="n"/>
      <c r="N10" s="10" t="n"/>
      <c r="O10" s="10" t="n"/>
      <c r="P10" s="10" t="n"/>
    </row>
    <row r="11">
      <c r="A11" s="6" t="inlineStr">
        <is>
          <t>Lewis Shupe</t>
        </is>
      </c>
      <c r="B11" s="6" t="inlineStr">
        <is>
          <t>IND</t>
        </is>
      </c>
      <c r="C11" s="6" t="inlineStr">
        <is>
          <t>no</t>
        </is>
      </c>
      <c r="D11" s="9" t="inlineStr">
        <is>
          <t>never filed</t>
        </is>
      </c>
      <c r="E11" s="6" t="inlineStr">
        <is>
          <t>—</t>
        </is>
      </c>
      <c r="F11" s="10" t="n"/>
      <c r="G11" s="10" t="n"/>
      <c r="H11" s="10" t="n"/>
      <c r="I11" s="10" t="n"/>
      <c r="J11" s="10" t="n"/>
      <c r="K11" s="10" t="n"/>
      <c r="L11" s="10" t="n"/>
      <c r="M11" s="10" t="n"/>
      <c r="N11" s="10" t="n"/>
      <c r="O11" s="10" t="n"/>
      <c r="P11" s="10" t="n"/>
    </row>
    <row r="12">
      <c r="A12" s="11" t="inlineStr">
        <is>
          <t>TOTAL</t>
        </is>
      </c>
      <c r="B12" s="12" t="n"/>
      <c r="C12" s="12" t="n"/>
      <c r="D12" s="12" t="n"/>
      <c r="E12" s="12" t="n"/>
      <c r="F12" s="13">
        <f>SUM(F6:F11)</f>
        <v/>
      </c>
      <c r="G12" s="13">
        <f>SUM(G6:G11)</f>
        <v/>
      </c>
      <c r="H12" s="13">
        <f>SUM(H6:H11)</f>
        <v/>
      </c>
      <c r="I12" s="13">
        <f>SUM(I6:I11)</f>
        <v/>
      </c>
      <c r="J12" s="13">
        <f>SUM(J6:J11)</f>
        <v/>
      </c>
      <c r="K12" s="13">
        <f>SUM(K6:K11)</f>
        <v/>
      </c>
      <c r="L12" s="13">
        <f>SUM(L6:L11)</f>
        <v/>
      </c>
      <c r="M12" s="13">
        <f>SUM(M6:M11)</f>
        <v/>
      </c>
      <c r="N12" s="13">
        <f>SUM(N6:N11)</f>
        <v/>
      </c>
      <c r="O12" s="13">
        <f>SUM(O6:O11)</f>
        <v/>
      </c>
      <c r="P12" s="13">
        <f>SUM(P6:P11)</f>
        <v/>
      </c>
    </row>
    <row r="14" ht="13" customHeight="1">
      <c r="A14" s="14" t="inlineStr">
        <is>
          <t>HOW TO READ THIS TABLE</t>
        </is>
      </c>
    </row>
    <row r="15" ht="26" customHeight="1">
      <c r="A15" s="15" t="inlineStr">
        <is>
          <t>• Four of the six declared candidates have never filed a periodic financial report. Their cells are BLANK, not $0 — the FEC reports no data, which is not the same as a confirmed zero. SUM() ignores blanks, so the TOTAL row is the two nominees only.</t>
        </is>
      </c>
    </row>
    <row r="16" ht="13" customHeight="1">
      <c r="A16" s="15" t="inlineStr">
        <is>
          <t>• 'of which: unitemized' is a subset of 'Individual — total'. Do not add it to the other source columns; doing so double-counts.</t>
        </is>
      </c>
    </row>
    <row r="17" ht="13" customHeight="1">
      <c r="A17" s="15" t="inlineStr">
        <is>
          <t>• 'Other / unclassified' is the residual: Receipts − (Individual + PAC + Party committee + Transfers + Self-funding). It is a formula, not a reported FEC field.</t>
        </is>
      </c>
    </row>
    <row r="18" ht="13" customHeight="1">
      <c r="A18" s="15" t="inlineStr">
        <is>
          <t>• Mackenzie's $0 self-funding is a reported zero (rendered '—'); the blank rows above are absent data. The 'Filed?' column tells the two apart.</t>
        </is>
      </c>
    </row>
    <row r="19" ht="13" customHeight="1">
      <c r="A19" s="15" t="inlineStr">
        <is>
          <t>• Blue figures are values taken directly from the FEC extraction. Black figures are computed by formula.</t>
        </is>
      </c>
    </row>
  </sheetData>
  <mergeCells count="6">
    <mergeCell ref="A14:P14"/>
    <mergeCell ref="A17:P17"/>
    <mergeCell ref="A18:P18"/>
    <mergeCell ref="A16:P16"/>
    <mergeCell ref="A15:P15"/>
    <mergeCell ref="A19:P19"/>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tabColor rgb="001F3864"/>
    <outlinePr summaryBelow="1" summaryRight="1"/>
    <pageSetUpPr/>
  </sheetPr>
  <dimension ref="A1:F51"/>
  <sheetViews>
    <sheetView workbookViewId="0">
      <pane ySplit="5" topLeftCell="A6" activePane="bottomLeft" state="frozen"/>
      <selection pane="bottomLeft" activeCell="A1" sqref="A1"/>
    </sheetView>
  </sheetViews>
  <sheetFormatPr baseColWidth="8" defaultRowHeight="15"/>
  <cols>
    <col width="46" customWidth="1" min="1" max="1"/>
    <col width="18" customWidth="1" min="2" max="2"/>
    <col width="10" customWidth="1" min="3" max="3"/>
    <col width="15" customWidth="1" min="4" max="4"/>
    <col width="12" customWidth="1" min="5" max="5"/>
    <col width="14" customWidth="1" min="6" max="6"/>
  </cols>
  <sheetData>
    <row r="1">
      <c r="A1" s="1" t="inlineStr">
        <is>
          <t>Outside Money — independent expenditures, PA-07 2026</t>
        </is>
      </c>
    </row>
    <row r="2">
      <c r="A2" s="2" t="inlineStr">
        <is>
          <t>OpenFEC schedules/schedule_e/by_candidate deduplicated aggregate (cycle 2026), plus one manually added 24-hour notice. Sorted largest first.</t>
        </is>
      </c>
    </row>
    <row r="4" ht="18" customHeight="1">
      <c r="A4" s="3" t="inlineStr">
        <is>
          <t>INDEPENDENT EXPENDITURES</t>
        </is>
      </c>
      <c r="B4" s="4" t="n"/>
      <c r="C4" s="4" t="n"/>
      <c r="D4" s="4" t="n"/>
      <c r="E4" s="4" t="n"/>
      <c r="F4" s="4" t="n"/>
    </row>
    <row r="5" ht="30" customHeight="1">
      <c r="A5" s="5" t="inlineStr">
        <is>
          <t>Committee</t>
        </is>
      </c>
      <c r="B5" s="5" t="inlineStr">
        <is>
          <t>Target candidate</t>
        </is>
      </c>
      <c r="C5" s="5" t="inlineStr">
        <is>
          <t>Stance</t>
        </is>
      </c>
      <c r="D5" s="5" t="inlineStr">
        <is>
          <t>Amount</t>
        </is>
      </c>
      <c r="E5" s="5" t="inlineStr">
        <is>
          <t>As of</t>
        </is>
      </c>
      <c r="F5" s="5" t="inlineStr">
        <is>
          <t>Share of all outside money</t>
        </is>
      </c>
    </row>
    <row r="6">
      <c r="A6" s="6" t="inlineStr">
        <is>
          <t>STRONGER TOGETHER PA</t>
        </is>
      </c>
      <c r="B6" s="6" t="inlineStr">
        <is>
          <t>Bob Brooks</t>
        </is>
      </c>
      <c r="C6" s="16" t="inlineStr">
        <is>
          <t>Support</t>
        </is>
      </c>
      <c r="D6" s="17" t="n">
        <v>1781524</v>
      </c>
      <c r="E6" s="6" t="inlineStr">
        <is>
          <t>2026-06-30</t>
        </is>
      </c>
      <c r="F6" s="18">
        <f>IFERROR(D6/$D$35,"")</f>
        <v/>
      </c>
    </row>
    <row r="7">
      <c r="A7" s="6" t="inlineStr">
        <is>
          <t>LEAD LEFT PAC</t>
        </is>
      </c>
      <c r="B7" s="6" t="inlineStr">
        <is>
          <t>Bob Brooks</t>
        </is>
      </c>
      <c r="C7" s="19" t="inlineStr">
        <is>
          <t>Oppose</t>
        </is>
      </c>
      <c r="D7" s="17" t="n">
        <v>312371.76</v>
      </c>
      <c r="E7" s="6" t="inlineStr">
        <is>
          <t>2026-06-30</t>
        </is>
      </c>
      <c r="F7" s="18">
        <f>IFERROR(D7/$D$35,"")</f>
        <v/>
      </c>
    </row>
    <row r="8">
      <c r="A8" s="6" t="inlineStr">
        <is>
          <t>JOBS AND DEMOCRACY PAC</t>
        </is>
      </c>
      <c r="B8" s="6" t="inlineStr">
        <is>
          <t>Bob Brooks</t>
        </is>
      </c>
      <c r="C8" s="16" t="inlineStr">
        <is>
          <t>Support</t>
        </is>
      </c>
      <c r="D8" s="17" t="n">
        <v>249750</v>
      </c>
      <c r="E8" s="6" t="inlineStr">
        <is>
          <t>2026-06-30</t>
        </is>
      </c>
      <c r="F8" s="18">
        <f>IFERROR(D8/$D$35,"")</f>
        <v/>
      </c>
    </row>
    <row r="9">
      <c r="A9" s="6" t="inlineStr">
        <is>
          <t>CONGRESSIONAL PROGRESSIVE CAUCUS PAC</t>
        </is>
      </c>
      <c r="B9" s="6" t="inlineStr">
        <is>
          <t>Bob Brooks</t>
        </is>
      </c>
      <c r="C9" s="16" t="inlineStr">
        <is>
          <t>Support</t>
        </is>
      </c>
      <c r="D9" s="17" t="n">
        <v>140300</v>
      </c>
      <c r="E9" s="6" t="inlineStr">
        <is>
          <t>2026-06-30</t>
        </is>
      </c>
      <c r="F9" s="18">
        <f>IFERROR(D9/$D$35,"")</f>
        <v/>
      </c>
    </row>
    <row r="10">
      <c r="A10" s="6" t="inlineStr">
        <is>
          <t>MEDICARE FOR ALL</t>
        </is>
      </c>
      <c r="B10" s="6" t="inlineStr">
        <is>
          <t>Bob Brooks</t>
        </is>
      </c>
      <c r="C10" s="16" t="inlineStr">
        <is>
          <t>Support</t>
        </is>
      </c>
      <c r="D10" s="17" t="n">
        <v>99625</v>
      </c>
      <c r="E10" s="6" t="inlineStr">
        <is>
          <t>2026-06-30</t>
        </is>
      </c>
      <c r="F10" s="18">
        <f>IFERROR(D10/$D$35,"")</f>
        <v/>
      </c>
    </row>
    <row r="11">
      <c r="A11" s="6" t="inlineStr">
        <is>
          <t>DLP PAC</t>
        </is>
      </c>
      <c r="B11" s="6" t="inlineStr">
        <is>
          <t>Bob Brooks</t>
        </is>
      </c>
      <c r="C11" s="16" t="inlineStr">
        <is>
          <t>Support</t>
        </is>
      </c>
      <c r="D11" s="17" t="n">
        <v>88321.5</v>
      </c>
      <c r="E11" s="6" t="inlineStr">
        <is>
          <t>2026-06-30</t>
        </is>
      </c>
      <c r="F11" s="18">
        <f>IFERROR(D11/$D$35,"")</f>
        <v/>
      </c>
    </row>
    <row r="12">
      <c r="A12" s="6" t="inlineStr">
        <is>
          <t>MAKE THE ROAD ACTION POLITICAL COMMITTEE</t>
        </is>
      </c>
      <c r="B12" s="6" t="inlineStr">
        <is>
          <t>Bob Brooks</t>
        </is>
      </c>
      <c r="C12" s="16" t="inlineStr">
        <is>
          <t>Support</t>
        </is>
      </c>
      <c r="D12" s="17" t="n">
        <v>30559.95</v>
      </c>
      <c r="E12" s="6" t="inlineStr">
        <is>
          <t>2026-06-30</t>
        </is>
      </c>
      <c r="F12" s="18">
        <f>IFERROR(D12/$D$35,"")</f>
        <v/>
      </c>
    </row>
    <row r="13">
      <c r="A13" s="6" t="inlineStr">
        <is>
          <t>BLUE MAJORITY PROJECT</t>
        </is>
      </c>
      <c r="B13" s="6" t="inlineStr">
        <is>
          <t>Bob Brooks</t>
        </is>
      </c>
      <c r="C13" s="16" t="inlineStr">
        <is>
          <t>Support</t>
        </is>
      </c>
      <c r="D13" s="17" t="n">
        <v>16643.34</v>
      </c>
      <c r="E13" s="6" t="inlineStr">
        <is>
          <t>2026-06-30</t>
        </is>
      </c>
      <c r="F13" s="18">
        <f>IFERROR(D13/$D$35,"")</f>
        <v/>
      </c>
    </row>
    <row r="14">
      <c r="A14" s="6" t="inlineStr">
        <is>
          <t>SENIORS EMPOWERING AN EFFECTIVE DEMOCRACY (SEED-PAC)</t>
        </is>
      </c>
      <c r="B14" s="6" t="inlineStr">
        <is>
          <t>Bob Brooks</t>
        </is>
      </c>
      <c r="C14" s="16" t="inlineStr">
        <is>
          <t>Support</t>
        </is>
      </c>
      <c r="D14" s="17" t="n">
        <v>11000</v>
      </c>
      <c r="E14" s="6" t="inlineStr">
        <is>
          <t>2026-08-19</t>
        </is>
      </c>
      <c r="F14" s="18">
        <f>IFERROR(D14/$D$35,"")</f>
        <v/>
      </c>
    </row>
    <row r="15">
      <c r="A15" s="6" t="inlineStr">
        <is>
          <t>BLUE BATTLEGROUND PROJECT</t>
        </is>
      </c>
      <c r="B15" s="6" t="inlineStr">
        <is>
          <t>Bob Brooks</t>
        </is>
      </c>
      <c r="C15" s="16" t="inlineStr">
        <is>
          <t>Support</t>
        </is>
      </c>
      <c r="D15" s="17" t="n">
        <v>9116.67</v>
      </c>
      <c r="E15" s="6" t="inlineStr">
        <is>
          <t>2026-06-30</t>
        </is>
      </c>
      <c r="F15" s="18">
        <f>IFERROR(D15/$D$35,"")</f>
        <v/>
      </c>
    </row>
    <row r="16">
      <c r="A16" s="6" t="inlineStr">
        <is>
          <t>KITCHEN TABLE VALUES PAC</t>
        </is>
      </c>
      <c r="B16" s="6" t="inlineStr">
        <is>
          <t>Bob Brooks</t>
        </is>
      </c>
      <c r="C16" s="19" t="inlineStr">
        <is>
          <t>Oppose</t>
        </is>
      </c>
      <c r="D16" s="17" t="n">
        <v>8840</v>
      </c>
      <c r="E16" s="6" t="inlineStr">
        <is>
          <t>2026-06-30</t>
        </is>
      </c>
      <c r="F16" s="18">
        <f>IFERROR(D16/$D$35,"")</f>
        <v/>
      </c>
    </row>
    <row r="17">
      <c r="A17" s="6" t="inlineStr">
        <is>
          <t>YOUTH SAVE DEMOCRACY PAC</t>
        </is>
      </c>
      <c r="B17" s="6" t="inlineStr">
        <is>
          <t>Ryan Mackenzie</t>
        </is>
      </c>
      <c r="C17" s="19" t="inlineStr">
        <is>
          <t>Oppose</t>
        </is>
      </c>
      <c r="D17" s="17" t="n">
        <v>6044</v>
      </c>
      <c r="E17" s="6" t="inlineStr">
        <is>
          <t>2026-06-30</t>
        </is>
      </c>
      <c r="F17" s="18">
        <f>IFERROR(D17/$D$35,"")</f>
        <v/>
      </c>
    </row>
    <row r="18">
      <c r="A18" s="6" t="inlineStr">
        <is>
          <t>MAJORITY BLUE PAC</t>
        </is>
      </c>
      <c r="B18" s="6" t="inlineStr">
        <is>
          <t>Bob Brooks</t>
        </is>
      </c>
      <c r="C18" s="16" t="inlineStr">
        <is>
          <t>Support</t>
        </is>
      </c>
      <c r="D18" s="17" t="n">
        <v>4941.66</v>
      </c>
      <c r="E18" s="6" t="inlineStr">
        <is>
          <t>2026-06-30</t>
        </is>
      </c>
      <c r="F18" s="18">
        <f>IFERROR(D18/$D$35,"")</f>
        <v/>
      </c>
    </row>
    <row r="19">
      <c r="A19" s="6" t="inlineStr">
        <is>
          <t>BLUE SHIFT PAC</t>
        </is>
      </c>
      <c r="B19" s="6" t="inlineStr">
        <is>
          <t>Bob Brooks</t>
        </is>
      </c>
      <c r="C19" s="16" t="inlineStr">
        <is>
          <t>Support</t>
        </is>
      </c>
      <c r="D19" s="17" t="n">
        <v>4708.33</v>
      </c>
      <c r="E19" s="6" t="inlineStr">
        <is>
          <t>2026-06-30</t>
        </is>
      </c>
      <c r="F19" s="18">
        <f>IFERROR(D19/$D$35,"")</f>
        <v/>
      </c>
    </row>
    <row r="20">
      <c r="A20" s="6" t="inlineStr">
        <is>
          <t>FF PAC</t>
        </is>
      </c>
      <c r="B20" s="6" t="inlineStr">
        <is>
          <t>Bob Brooks</t>
        </is>
      </c>
      <c r="C20" s="16" t="inlineStr">
        <is>
          <t>Support</t>
        </is>
      </c>
      <c r="D20" s="17" t="n">
        <v>4500</v>
      </c>
      <c r="E20" s="6" t="inlineStr">
        <is>
          <t>2026-06-30</t>
        </is>
      </c>
      <c r="F20" s="18">
        <f>IFERROR(D20/$D$35,"")</f>
        <v/>
      </c>
    </row>
    <row r="21">
      <c r="A21" s="6" t="inlineStr">
        <is>
          <t>WORKING FAMILIES PARTY PAC</t>
        </is>
      </c>
      <c r="B21" s="6" t="inlineStr">
        <is>
          <t>Bob Brooks</t>
        </is>
      </c>
      <c r="C21" s="16" t="inlineStr">
        <is>
          <t>Support</t>
        </is>
      </c>
      <c r="D21" s="17" t="n">
        <v>3556.19</v>
      </c>
      <c r="E21" s="6" t="inlineStr">
        <is>
          <t>2026-06-30</t>
        </is>
      </c>
      <c r="F21" s="18">
        <f>IFERROR(D21/$D$35,"")</f>
        <v/>
      </c>
    </row>
    <row r="22">
      <c r="A22" s="6" t="inlineStr">
        <is>
          <t>DEMOCRATIC FUTURE PAC</t>
        </is>
      </c>
      <c r="B22" s="6" t="inlineStr">
        <is>
          <t>Bob Brooks</t>
        </is>
      </c>
      <c r="C22" s="16" t="inlineStr">
        <is>
          <t>Support</t>
        </is>
      </c>
      <c r="D22" s="17" t="n">
        <v>2600</v>
      </c>
      <c r="E22" s="6" t="inlineStr">
        <is>
          <t>2026-06-30</t>
        </is>
      </c>
      <c r="F22" s="18">
        <f>IFERROR(D22/$D$35,"")</f>
        <v/>
      </c>
    </row>
    <row r="23">
      <c r="A23" s="6" t="inlineStr">
        <is>
          <t>INDIGO PAC</t>
        </is>
      </c>
      <c r="B23" s="6" t="inlineStr">
        <is>
          <t>Ryan Mackenzie</t>
        </is>
      </c>
      <c r="C23" s="19" t="inlineStr">
        <is>
          <t>Oppose</t>
        </is>
      </c>
      <c r="D23" s="17" t="n">
        <v>1835.77</v>
      </c>
      <c r="E23" s="6" t="inlineStr">
        <is>
          <t>2026-06-30</t>
        </is>
      </c>
      <c r="F23" s="18">
        <f>IFERROR(D23/$D$35,"")</f>
        <v/>
      </c>
    </row>
    <row r="24">
      <c r="A24" s="6" t="inlineStr">
        <is>
          <t>ACTIVATE AMERICA</t>
        </is>
      </c>
      <c r="B24" s="6" t="inlineStr">
        <is>
          <t>Ryan Mackenzie</t>
        </is>
      </c>
      <c r="C24" s="19" t="inlineStr">
        <is>
          <t>Oppose</t>
        </is>
      </c>
      <c r="D24" s="17" t="n">
        <v>1702.29</v>
      </c>
      <c r="E24" s="6" t="inlineStr">
        <is>
          <t>2026-06-30</t>
        </is>
      </c>
      <c r="F24" s="18">
        <f>IFERROR(D24/$D$35,"")</f>
        <v/>
      </c>
    </row>
    <row r="25">
      <c r="A25" s="6" t="inlineStr">
        <is>
          <t>RURAL FREEDOM NETWORK</t>
        </is>
      </c>
      <c r="B25" s="6" t="inlineStr">
        <is>
          <t>Ryan Mackenzie</t>
        </is>
      </c>
      <c r="C25" s="19" t="inlineStr">
        <is>
          <t>Oppose</t>
        </is>
      </c>
      <c r="D25" s="17" t="n">
        <v>1517.06</v>
      </c>
      <c r="E25" s="6" t="inlineStr">
        <is>
          <t>2026-06-30</t>
        </is>
      </c>
      <c r="F25" s="18">
        <f>IFERROR(D25/$D$35,"")</f>
        <v/>
      </c>
    </row>
    <row r="26">
      <c r="A26" s="6" t="inlineStr">
        <is>
          <t>FIELD TEAM 6, INC.</t>
        </is>
      </c>
      <c r="B26" s="6" t="inlineStr">
        <is>
          <t>Ryan Mackenzie</t>
        </is>
      </c>
      <c r="C26" s="19" t="inlineStr">
        <is>
          <t>Oppose</t>
        </is>
      </c>
      <c r="D26" s="17" t="n">
        <v>1096.69</v>
      </c>
      <c r="E26" s="6" t="inlineStr">
        <is>
          <t>2026-06-30</t>
        </is>
      </c>
      <c r="F26" s="18">
        <f>IFERROR(D26/$D$35,"")</f>
        <v/>
      </c>
    </row>
    <row r="27">
      <c r="A27" s="6" t="inlineStr">
        <is>
          <t>BLUE DEMOCRACY NETWORK</t>
        </is>
      </c>
      <c r="B27" s="6" t="inlineStr">
        <is>
          <t>Bob Brooks</t>
        </is>
      </c>
      <c r="C27" s="16" t="inlineStr">
        <is>
          <t>Support</t>
        </is>
      </c>
      <c r="D27" s="17" t="n">
        <v>1075</v>
      </c>
      <c r="E27" s="6" t="inlineStr">
        <is>
          <t>2026-06-30</t>
        </is>
      </c>
      <c r="F27" s="18">
        <f>IFERROR(D27/$D$35,"")</f>
        <v/>
      </c>
    </row>
    <row r="28">
      <c r="A28" s="6" t="inlineStr">
        <is>
          <t>BLUE MAJORITY MAKERS PAC</t>
        </is>
      </c>
      <c r="B28" s="6" t="inlineStr">
        <is>
          <t>Bob Brooks</t>
        </is>
      </c>
      <c r="C28" s="16" t="inlineStr">
        <is>
          <t>Support</t>
        </is>
      </c>
      <c r="D28" s="17" t="n">
        <v>766.66</v>
      </c>
      <c r="E28" s="6" t="inlineStr">
        <is>
          <t>2026-06-30</t>
        </is>
      </c>
      <c r="F28" s="18">
        <f>IFERROR(D28/$D$35,"")</f>
        <v/>
      </c>
    </row>
    <row r="29">
      <c r="A29" s="6" t="inlineStr">
        <is>
          <t>FIELD TEAM 6, INC.</t>
        </is>
      </c>
      <c r="B29" s="6" t="inlineStr">
        <is>
          <t>Bob Brooks</t>
        </is>
      </c>
      <c r="C29" s="16" t="inlineStr">
        <is>
          <t>Support</t>
        </is>
      </c>
      <c r="D29" s="17" t="n">
        <v>638.3</v>
      </c>
      <c r="E29" s="6" t="inlineStr">
        <is>
          <t>2026-06-30</t>
        </is>
      </c>
      <c r="F29" s="18">
        <f>IFERROR(D29/$D$35,"")</f>
        <v/>
      </c>
    </row>
    <row r="30">
      <c r="A30" s="6" t="inlineStr">
        <is>
          <t>SURJ PAC</t>
        </is>
      </c>
      <c r="B30" s="6" t="inlineStr">
        <is>
          <t>Bob Brooks</t>
        </is>
      </c>
      <c r="C30" s="16" t="inlineStr">
        <is>
          <t>Support</t>
        </is>
      </c>
      <c r="D30" s="17" t="n">
        <v>187.51</v>
      </c>
      <c r="E30" s="6" t="inlineStr">
        <is>
          <t>2026-06-30</t>
        </is>
      </c>
      <c r="F30" s="18">
        <f>IFERROR(D30/$D$35,"")</f>
        <v/>
      </c>
    </row>
    <row r="31">
      <c r="A31" s="6" t="inlineStr">
        <is>
          <t>RURAL FREEDOM NETWORK</t>
        </is>
      </c>
      <c r="B31" s="6" t="inlineStr">
        <is>
          <t>Bob Brooks</t>
        </is>
      </c>
      <c r="C31" s="16" t="inlineStr">
        <is>
          <t>Support</t>
        </is>
      </c>
      <c r="D31" s="17" t="n">
        <v>157.07</v>
      </c>
      <c r="E31" s="6" t="inlineStr">
        <is>
          <t>2026-06-30</t>
        </is>
      </c>
      <c r="F31" s="18">
        <f>IFERROR(D31/$D$35,"")</f>
        <v/>
      </c>
    </row>
    <row r="32">
      <c r="A32" s="6" t="inlineStr">
        <is>
          <t>PLANNED PARENTHOOD VOTES</t>
        </is>
      </c>
      <c r="B32" s="6" t="inlineStr">
        <is>
          <t>Ryan Mackenzie</t>
        </is>
      </c>
      <c r="C32" s="19" t="inlineStr">
        <is>
          <t>Oppose</t>
        </is>
      </c>
      <c r="D32" s="17" t="n">
        <v>156.81</v>
      </c>
      <c r="E32" s="6" t="inlineStr">
        <is>
          <t>2026-06-30</t>
        </is>
      </c>
      <c r="F32" s="18">
        <f>IFERROR(D32/$D$35,"")</f>
        <v/>
      </c>
    </row>
    <row r="33">
      <c r="A33" s="6" t="inlineStr">
        <is>
          <t>THE PEOPLE UNITED PAC</t>
        </is>
      </c>
      <c r="B33" s="6" t="inlineStr">
        <is>
          <t>Bob Brooks</t>
        </is>
      </c>
      <c r="C33" s="16" t="inlineStr">
        <is>
          <t>Support</t>
        </is>
      </c>
      <c r="D33" s="17" t="n">
        <v>50</v>
      </c>
      <c r="E33" s="6" t="inlineStr">
        <is>
          <t>2026-06-30</t>
        </is>
      </c>
      <c r="F33" s="18">
        <f>IFERROR(D33/$D$35,"")</f>
        <v/>
      </c>
    </row>
    <row r="34">
      <c r="A34" s="6" t="inlineStr">
        <is>
          <t>GIVEGREEN UNITED ACTION</t>
        </is>
      </c>
      <c r="B34" s="6" t="inlineStr">
        <is>
          <t>Bob Brooks</t>
        </is>
      </c>
      <c r="C34" s="16" t="inlineStr">
        <is>
          <t>Support</t>
        </is>
      </c>
      <c r="D34" s="17" t="n">
        <v>36.54</v>
      </c>
      <c r="E34" s="6" t="inlineStr">
        <is>
          <t>2026-06-30</t>
        </is>
      </c>
      <c r="F34" s="18">
        <f>IFERROR(D34/$D$35,"")</f>
        <v/>
      </c>
    </row>
    <row r="35">
      <c r="A35" s="11" t="inlineStr">
        <is>
          <t>TOTAL</t>
        </is>
      </c>
      <c r="B35" s="12" t="n"/>
      <c r="C35" s="12" t="n"/>
      <c r="D35" s="20">
        <f>SUM(D6:D34)</f>
        <v/>
      </c>
      <c r="E35" s="12" t="n"/>
      <c r="F35" s="21">
        <f>IFERROR(SUM(F6:F34),"")</f>
        <v/>
      </c>
    </row>
    <row r="37" ht="18" customHeight="1">
      <c r="A37" s="3" t="inlineStr">
        <is>
          <t>BY TARGET AND STANCE</t>
        </is>
      </c>
      <c r="B37" s="4" t="n"/>
      <c r="C37" s="4" t="n"/>
      <c r="D37" s="4" t="n"/>
      <c r="E37" s="4" t="n"/>
      <c r="F37" s="4" t="n"/>
    </row>
    <row r="38" ht="30" customHeight="1">
      <c r="A38" s="5" t="inlineStr">
        <is>
          <t>Bucket</t>
        </is>
      </c>
      <c r="B38" s="5" t="inlineStr">
        <is>
          <t>Target</t>
        </is>
      </c>
      <c r="C38" s="5" t="inlineStr">
        <is>
          <t>Stance</t>
        </is>
      </c>
      <c r="D38" s="5" t="inlineStr">
        <is>
          <t>Amount</t>
        </is>
      </c>
      <c r="E38" s="5" t="inlineStr">
        <is>
          <t>Committees</t>
        </is>
      </c>
      <c r="F38" s="5" t="inlineStr">
        <is>
          <t>Share</t>
        </is>
      </c>
    </row>
    <row r="39">
      <c r="A39" s="6" t="inlineStr">
        <is>
          <t>Supporting Bob Brooks (D)</t>
        </is>
      </c>
      <c r="B39" s="6" t="inlineStr">
        <is>
          <t>Bob Brooks</t>
        </is>
      </c>
      <c r="C39" s="6" t="inlineStr">
        <is>
          <t>Support</t>
        </is>
      </c>
      <c r="D39" s="8">
        <f>SUMIFS($D$6:$D$34,$B$6:$B$34,B39,$C$6:$C$34,C39)</f>
        <v/>
      </c>
      <c r="E39" s="6">
        <f>COUNTIFS($B$6:$B$34,B39,$C$6:$C$34,C39)</f>
        <v/>
      </c>
      <c r="F39" s="18">
        <f>IFERROR(D39/$D$35,"")</f>
        <v/>
      </c>
    </row>
    <row r="40">
      <c r="A40" s="6" t="inlineStr">
        <is>
          <t>Opposing Bob Brooks (D)</t>
        </is>
      </c>
      <c r="B40" s="6" t="inlineStr">
        <is>
          <t>Bob Brooks</t>
        </is>
      </c>
      <c r="C40" s="6" t="inlineStr">
        <is>
          <t>Oppose</t>
        </is>
      </c>
      <c r="D40" s="8">
        <f>SUMIFS($D$6:$D$34,$B$6:$B$34,B40,$C$6:$C$34,C40)</f>
        <v/>
      </c>
      <c r="E40" s="6">
        <f>COUNTIFS($B$6:$B$34,B40,$C$6:$C$34,C40)</f>
        <v/>
      </c>
      <c r="F40" s="18">
        <f>IFERROR(D40/$D$35,"")</f>
        <v/>
      </c>
    </row>
    <row r="41">
      <c r="A41" s="6" t="inlineStr">
        <is>
          <t>Supporting Ryan Mackenzie (R)</t>
        </is>
      </c>
      <c r="B41" s="6" t="inlineStr">
        <is>
          <t>Ryan Mackenzie</t>
        </is>
      </c>
      <c r="C41" s="6" t="inlineStr">
        <is>
          <t>Support</t>
        </is>
      </c>
      <c r="D41" s="8">
        <f>SUMIFS($D$6:$D$34,$B$6:$B$34,B41,$C$6:$C$34,C41)</f>
        <v/>
      </c>
      <c r="E41" s="6">
        <f>COUNTIFS($B$6:$B$34,B41,$C$6:$C$34,C41)</f>
        <v/>
      </c>
      <c r="F41" s="18">
        <f>IFERROR(D41/$D$35,"")</f>
        <v/>
      </c>
    </row>
    <row r="42">
      <c r="A42" s="6" t="inlineStr">
        <is>
          <t>Opposing Ryan Mackenzie (R)</t>
        </is>
      </c>
      <c r="B42" s="6" t="inlineStr">
        <is>
          <t>Ryan Mackenzie</t>
        </is>
      </c>
      <c r="C42" s="6" t="inlineStr">
        <is>
          <t>Oppose</t>
        </is>
      </c>
      <c r="D42" s="8">
        <f>SUMIFS($D$6:$D$34,$B$6:$B$34,B42,$C$6:$C$34,C42)</f>
        <v/>
      </c>
      <c r="E42" s="6">
        <f>COUNTIFS($B$6:$B$34,B42,$C$6:$C$34,C42)</f>
        <v/>
      </c>
      <c r="F42" s="18">
        <f>IFERROR(D42/$D$35,"")</f>
        <v/>
      </c>
    </row>
    <row r="43">
      <c r="A43" s="11" t="inlineStr">
        <is>
          <t>TOTAL</t>
        </is>
      </c>
      <c r="B43" s="12" t="n"/>
      <c r="C43" s="12" t="n"/>
      <c r="D43" s="13">
        <f>SUM(D39:D42)</f>
        <v/>
      </c>
      <c r="E43" s="11">
        <f>SUM(E39:E42)</f>
        <v/>
      </c>
      <c r="F43" s="21">
        <f>IFERROR(D43/$D$35,"")</f>
        <v/>
      </c>
    </row>
    <row r="45" ht="13" customHeight="1">
      <c r="A45" s="14" t="inlineStr">
        <is>
          <t>HOW TO READ OUTSIDE MONEY</t>
        </is>
      </c>
    </row>
    <row r="46" ht="39" customHeight="1">
      <c r="A46" s="15" t="inlineStr">
        <is>
          <t>• TIMING. Independent expenditures report continuously, so this table is FRESHER than the candidate totals, which stop at 2026-06-30. The two halves of this workbook are not as-of the same date.</t>
        </is>
      </c>
    </row>
    <row r="47" ht="65" customHeight="1">
      <c r="A47" s="15" t="inlineStr">
        <is>
          <t>• WHAT THE MONEY WAS FOR. Spot-checks of the itemized Schedule E records for the largest committees (STRONGER TOGETHER PA, LEAD LEFT PAC) show expenditure dates clustered 2026-05-06 to 2026-05-18 — immediately before Pennsylvania's mid-May primary. Most of the money on this sheet was therefore spent inside the contested five-way DEMOCRATIC PRIMARY, not against Mackenzie in the general election.</t>
        </is>
      </c>
    </row>
    <row r="48" ht="52" customHeight="1">
      <c r="A48" s="15" t="inlineStr">
        <is>
          <t>• 'Opposing Bob Brooks' is NOT the same as 'helping Ryan Mackenzie'. The largest opposing-Brooks committee (LEAD LEFT PAC, $312,371.76) spent during the Democratic primary, when Brooks's opponents were other Democrats. Do not read this bucket as Republican outside support.</t>
        </is>
      </c>
    </row>
    <row r="49" ht="39" customHeight="1">
      <c r="A49" s="15" t="inlineStr">
        <is>
          <t>• Not one dollar of independent expenditure SUPPORTING Ryan Mackenzie appears in FEC records as of retrieval. The $0 in that bucket is a real, reported absence, not missing data.</t>
        </is>
      </c>
    </row>
    <row r="50" ht="39" customHeight="1">
      <c r="A50" s="15" t="inlineStr">
        <is>
          <t>• DEDUPLICATION. These are OpenFEC's by_candidate aggregates, which reconcile amendments and superseding filings. A naive sum of raw itemized Schedule E line items totals roughly $5.9M — materially higher, and wrong.</t>
        </is>
      </c>
    </row>
    <row r="51" ht="39" customHeight="1">
      <c r="A51" s="15" t="inlineStr">
        <is>
          <t>• The $11,000 SEED-PAC row (as of 2026-08-19) was added by hand from an itemized 24-hour notice that the aggregate endpoint had not yet absorbed. Re-check it on the next extraction to avoid double-counting.</t>
        </is>
      </c>
    </row>
  </sheetData>
  <mergeCells count="7">
    <mergeCell ref="A49:F49"/>
    <mergeCell ref="A51:F51"/>
    <mergeCell ref="A47:F47"/>
    <mergeCell ref="A46:F46"/>
    <mergeCell ref="A45:F45"/>
    <mergeCell ref="A50:F50"/>
    <mergeCell ref="A48:F48"/>
  </mergeCells>
  <pageMargins left="0.75" right="0.75" top="1" bottom="1" header="0.5" footer="0.5"/>
</worksheet>
</file>

<file path=xl/worksheets/sheet6.xml><?xml version="1.0" encoding="utf-8"?>
<worksheet xmlns="http://schemas.openxmlformats.org/spreadsheetml/2006/main">
  <sheetPr>
    <tabColor rgb="001F3864"/>
    <outlinePr summaryBelow="1" summaryRight="1"/>
    <pageSetUpPr/>
  </sheetPr>
  <dimension ref="A1:S29"/>
  <sheetViews>
    <sheetView workbookViewId="0">
      <pane xSplit="3" ySplit="5" topLeftCell="D6"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12" customWidth="1" min="2" max="2"/>
    <col width="30" customWidth="1" min="3" max="3"/>
    <col width="17" customWidth="1" min="4" max="4"/>
    <col width="7" customWidth="1" min="5" max="5"/>
    <col width="10"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5" customWidth="1" min="14" max="14"/>
    <col width="12" customWidth="1" min="15" max="15"/>
    <col width="11" customWidth="1" min="16" max="16"/>
    <col width="9" customWidth="1" min="17" max="17"/>
    <col width="11" customWidth="1" min="18" max="18"/>
    <col width="12" customWidth="1" min="19" max="19"/>
  </cols>
  <sheetData>
    <row r="1">
      <c r="A1" s="1" t="inlineStr">
        <is>
          <t>PA-07 General Elections, 2018–2024 — Finance and Results</t>
        </is>
      </c>
    </row>
    <row r="2">
      <c r="A2" s="2" t="inlineStr">
        <is>
          <t>Final full-cycle FEC committee totals and official certified vote totals. Retrieved 2026-09-07T17:37:40Z. One row per candidate per election.</t>
        </is>
      </c>
    </row>
    <row r="4" ht="18" customHeight="1">
      <c r="A4" s="3" t="inlineStr">
        <is>
          <t>GENERAL-ELECTION NOMINEES — FINANCE AND RESULTS</t>
        </is>
      </c>
      <c r="B4" s="4" t="n"/>
      <c r="C4" s="4" t="n"/>
      <c r="D4" s="4" t="n"/>
      <c r="E4" s="4" t="n"/>
      <c r="F4" s="4" t="n"/>
      <c r="G4" s="4" t="n"/>
      <c r="H4" s="4" t="n"/>
      <c r="I4" s="4" t="n"/>
      <c r="J4" s="4" t="n"/>
      <c r="K4" s="4" t="n"/>
      <c r="L4" s="4" t="n"/>
      <c r="M4" s="4" t="n"/>
      <c r="N4" s="4" t="n"/>
      <c r="O4" s="4" t="n"/>
      <c r="P4" s="4" t="n"/>
      <c r="Q4" s="4" t="n"/>
      <c r="R4" s="4" t="n"/>
      <c r="S4" s="4" t="n"/>
    </row>
    <row r="5" ht="34" customHeight="1">
      <c r="A5" s="5" t="inlineStr">
        <is>
          <t>Cycle</t>
        </is>
      </c>
      <c r="B5" s="5" t="inlineStr">
        <is>
          <t>Election date</t>
        </is>
      </c>
      <c r="C5" s="5" t="inlineStr">
        <is>
          <t>District map era</t>
        </is>
      </c>
      <c r="D5" s="5" t="inlineStr">
        <is>
          <t>Candidate</t>
        </is>
      </c>
      <c r="E5" s="5" t="inlineStr">
        <is>
          <t>Party</t>
        </is>
      </c>
      <c r="F5" s="5" t="inlineStr">
        <is>
          <t>Incumbent?</t>
        </is>
      </c>
      <c r="G5" s="5" t="inlineStr">
        <is>
          <t>Receipts</t>
        </is>
      </c>
      <c r="H5" s="5" t="inlineStr">
        <is>
          <t>Disbursements</t>
        </is>
      </c>
      <c r="I5" s="5" t="inlineStr">
        <is>
          <t>Cash on hand (end of cycle)</t>
        </is>
      </c>
      <c r="J5" s="5" t="inlineStr">
        <is>
          <t>Individual contributions</t>
        </is>
      </c>
      <c r="K5" s="5" t="inlineStr">
        <is>
          <t>PAC contributions</t>
        </is>
      </c>
      <c r="L5" s="5" t="inlineStr">
        <is>
          <t>Outside $ SUPPORTING</t>
        </is>
      </c>
      <c r="M5" s="5" t="inlineStr">
        <is>
          <t>Outside $ OPPOSING</t>
        </is>
      </c>
      <c r="N5" s="5" t="inlineStr">
        <is>
          <t>Total pro-candidate resources</t>
        </is>
      </c>
      <c r="O5" s="5" t="inlineStr">
        <is>
          <t>General votes</t>
        </is>
      </c>
      <c r="P5" s="5" t="inlineStr">
        <is>
          <t>Two-party vote share</t>
        </is>
      </c>
      <c r="Q5" s="5" t="inlineStr">
        <is>
          <t>Winner</t>
        </is>
      </c>
      <c r="R5" s="5" t="inlineStr">
        <is>
          <t>Receipts per vote</t>
        </is>
      </c>
      <c r="S5" s="5" t="inlineStr">
        <is>
          <t>Total resources per vote</t>
        </is>
      </c>
    </row>
    <row r="6">
      <c r="A6" s="50" t="n">
        <v>2018</v>
      </c>
      <c r="B6" s="50" t="inlineStr">
        <is>
          <t>2018-11-06</t>
        </is>
      </c>
      <c r="C6" s="51" t="inlineStr">
        <is>
          <t>2018 PA Supreme Court remap (Lehigh Valley: Lehigh, Northampton, s. Monroe)</t>
        </is>
      </c>
      <c r="D6" s="50" t="inlineStr">
        <is>
          <t>Susan Wild</t>
        </is>
      </c>
      <c r="E6" s="52" t="inlineStr">
        <is>
          <t>DEM</t>
        </is>
      </c>
      <c r="F6" s="53" t="inlineStr">
        <is>
          <t>no</t>
        </is>
      </c>
      <c r="G6" s="54" t="n">
        <v>3320188.01</v>
      </c>
      <c r="H6" s="54" t="n">
        <v>3294280.32</v>
      </c>
      <c r="I6" s="54" t="n">
        <v>25907.69</v>
      </c>
      <c r="J6" s="54" t="n">
        <v>2216364.61</v>
      </c>
      <c r="K6" s="54" t="n">
        <v>535757.8199999999</v>
      </c>
      <c r="L6" s="54" t="n">
        <v>558727.21</v>
      </c>
      <c r="M6" s="54" t="n">
        <v>221405.25</v>
      </c>
      <c r="N6" s="55">
        <f>IF(ISNUMBER(G6),G6+L6+SUMIFS($M$6:$M$13,$A$6:$A$13,$A6,$E$6:$E$13,"&lt;&gt;"&amp;$E6),"")</f>
        <v/>
      </c>
      <c r="O6" s="56" t="n">
        <v>140813</v>
      </c>
      <c r="P6" s="57">
        <f>IF(AND(ISNUMBER(O6),SUMIFS($O$6:$O$13,$A$6:$A$13,$A6)&lt;&gt;0),O6/SUMIFS($O$6:$O$13,$A$6:$A$13,$A6),"")</f>
        <v/>
      </c>
      <c r="Q6" s="58" t="inlineStr">
        <is>
          <t>WON</t>
        </is>
      </c>
      <c r="R6" s="59">
        <f>IF(AND(ISNUMBER(G6),ISNUMBER(O6),O6&lt;&gt;0),G6/O6,"")</f>
        <v/>
      </c>
      <c r="S6" s="59">
        <f>IF(AND(ISNUMBER(N6),ISNUMBER(O6),O6&lt;&gt;0),N6/O6,"")</f>
        <v/>
      </c>
    </row>
    <row r="7">
      <c r="A7" s="60" t="n">
        <v>2018</v>
      </c>
      <c r="B7" s="60" t="inlineStr">
        <is>
          <t>2018-11-06</t>
        </is>
      </c>
      <c r="C7" s="61" t="inlineStr">
        <is>
          <t>2018 PA Supreme Court remap (Lehigh Valley: Lehigh, Northampton, s. Monroe)</t>
        </is>
      </c>
      <c r="D7" s="60" t="inlineStr">
        <is>
          <t>Marty Nothstein</t>
        </is>
      </c>
      <c r="E7" s="62" t="inlineStr">
        <is>
          <t>REP</t>
        </is>
      </c>
      <c r="F7" s="6" t="inlineStr">
        <is>
          <t>no</t>
        </is>
      </c>
      <c r="G7" s="7" t="n">
        <v>985643.72</v>
      </c>
      <c r="H7" s="7" t="n">
        <v>958873.74</v>
      </c>
      <c r="I7" s="7" t="n">
        <v>26769.98</v>
      </c>
      <c r="J7" s="7" t="n">
        <v>611185.92</v>
      </c>
      <c r="K7" s="7" t="n">
        <v>223856.6</v>
      </c>
      <c r="L7" s="7" t="n">
        <v>132142.37</v>
      </c>
      <c r="M7" s="7" t="n">
        <v>1722119.87</v>
      </c>
      <c r="N7" s="8">
        <f>IF(ISNUMBER(G7),G7+L7+SUMIFS($M$6:$M$13,$A$6:$A$13,$A7,$E$6:$E$13,"&lt;&gt;"&amp;$E7),"")</f>
        <v/>
      </c>
      <c r="O7" s="63" t="n">
        <v>114437</v>
      </c>
      <c r="P7" s="64">
        <f>IF(AND(ISNUMBER(O7),SUMIFS($O$6:$O$13,$A$6:$A$13,$A7)&lt;&gt;0),O7/SUMIFS($O$6:$O$13,$A$6:$A$13,$A7),"")</f>
        <v/>
      </c>
      <c r="Q7" s="65" t="inlineStr">
        <is>
          <t>lost</t>
        </is>
      </c>
      <c r="R7" s="66">
        <f>IF(AND(ISNUMBER(G7),ISNUMBER(O7),O7&lt;&gt;0),G7/O7,"")</f>
        <v/>
      </c>
      <c r="S7" s="66">
        <f>IF(AND(ISNUMBER(N7),ISNUMBER(O7),O7&lt;&gt;0),N7/O7,"")</f>
        <v/>
      </c>
    </row>
    <row r="8">
      <c r="A8" s="50" t="n">
        <v>2020</v>
      </c>
      <c r="B8" s="50" t="inlineStr">
        <is>
          <t>2020-11-03</t>
        </is>
      </c>
      <c r="C8" s="51" t="inlineStr">
        <is>
          <t>2018 PA Supreme Court remap (Lehigh Valley: Lehigh, Northampton, s. Monroe)</t>
        </is>
      </c>
      <c r="D8" s="50" t="inlineStr">
        <is>
          <t>Susan Wild</t>
        </is>
      </c>
      <c r="E8" s="52" t="inlineStr">
        <is>
          <t>DEM</t>
        </is>
      </c>
      <c r="F8" s="53" t="inlineStr">
        <is>
          <t>yes</t>
        </is>
      </c>
      <c r="G8" s="54" t="n">
        <v>4644289.9</v>
      </c>
      <c r="H8" s="54" t="n">
        <v>4591501.23</v>
      </c>
      <c r="I8" s="54" t="n">
        <v>78696.36</v>
      </c>
      <c r="J8" s="54" t="n">
        <v>3417373.86</v>
      </c>
      <c r="K8" s="54" t="n">
        <v>1027681.99</v>
      </c>
      <c r="L8" s="54" t="n">
        <v>50133.76</v>
      </c>
      <c r="M8" s="54" t="n">
        <v>127595.71</v>
      </c>
      <c r="N8" s="55">
        <f>IF(ISNUMBER(G8),G8+L8+SUMIFS($M$6:$M$13,$A$6:$A$13,$A8,$E$6:$E$13,"&lt;&gt;"&amp;$E8),"")</f>
        <v/>
      </c>
      <c r="O8" s="56" t="n">
        <v>195475</v>
      </c>
      <c r="P8" s="57">
        <f>IF(AND(ISNUMBER(O8),SUMIFS($O$6:$O$13,$A$6:$A$13,$A8)&lt;&gt;0),O8/SUMIFS($O$6:$O$13,$A$6:$A$13,$A8),"")</f>
        <v/>
      </c>
      <c r="Q8" s="58" t="inlineStr">
        <is>
          <t>WON</t>
        </is>
      </c>
      <c r="R8" s="59">
        <f>IF(AND(ISNUMBER(G8),ISNUMBER(O8),O8&lt;&gt;0),G8/O8,"")</f>
        <v/>
      </c>
      <c r="S8" s="59">
        <f>IF(AND(ISNUMBER(N8),ISNUMBER(O8),O8&lt;&gt;0),N8/O8,"")</f>
        <v/>
      </c>
    </row>
    <row r="9">
      <c r="A9" s="60" t="n">
        <v>2020</v>
      </c>
      <c r="B9" s="60" t="inlineStr">
        <is>
          <t>2020-11-03</t>
        </is>
      </c>
      <c r="C9" s="61" t="inlineStr">
        <is>
          <t>2018 PA Supreme Court remap (Lehigh Valley: Lehigh, Northampton, s. Monroe)</t>
        </is>
      </c>
      <c r="D9" s="60" t="inlineStr">
        <is>
          <t>Lisa Scheller</t>
        </is>
      </c>
      <c r="E9" s="62" t="inlineStr">
        <is>
          <t>REP</t>
        </is>
      </c>
      <c r="F9" s="6" t="inlineStr">
        <is>
          <t>no</t>
        </is>
      </c>
      <c r="G9" s="7" t="n">
        <v>3740779.05</v>
      </c>
      <c r="H9" s="7" t="n">
        <v>3661738.3</v>
      </c>
      <c r="I9" s="7" t="n">
        <v>79040.75</v>
      </c>
      <c r="J9" s="7" t="n">
        <v>998798.1899999999</v>
      </c>
      <c r="K9" s="7" t="n">
        <v>231174.7</v>
      </c>
      <c r="L9" s="7" t="n">
        <v>600145.5600000001</v>
      </c>
      <c r="M9" s="7" t="n">
        <v>1165.62</v>
      </c>
      <c r="N9" s="8">
        <f>IF(ISNUMBER(G9),G9+L9+SUMIFS($M$6:$M$13,$A$6:$A$13,$A9,$E$6:$E$13,"&lt;&gt;"&amp;$E9),"")</f>
        <v/>
      </c>
      <c r="O9" s="63" t="n">
        <v>181407</v>
      </c>
      <c r="P9" s="64">
        <f>IF(AND(ISNUMBER(O9),SUMIFS($O$6:$O$13,$A$6:$A$13,$A9)&lt;&gt;0),O9/SUMIFS($O$6:$O$13,$A$6:$A$13,$A9),"")</f>
        <v/>
      </c>
      <c r="Q9" s="65" t="inlineStr">
        <is>
          <t>lost</t>
        </is>
      </c>
      <c r="R9" s="66">
        <f>IF(AND(ISNUMBER(G9),ISNUMBER(O9),O9&lt;&gt;0),G9/O9,"")</f>
        <v/>
      </c>
      <c r="S9" s="66">
        <f>IF(AND(ISNUMBER(N9),ISNUMBER(O9),O9&lt;&gt;0),N9/O9,"")</f>
        <v/>
      </c>
    </row>
    <row r="10">
      <c r="A10" s="50" t="n">
        <v>2022</v>
      </c>
      <c r="B10" s="50" t="inlineStr">
        <is>
          <t>2022-11-08</t>
        </is>
      </c>
      <c r="C10" s="51" t="inlineStr">
        <is>
          <t>2022 post-census remap (Lehigh, Northampton, Carbon, part of Monroe)</t>
        </is>
      </c>
      <c r="D10" s="50" t="inlineStr">
        <is>
          <t>Susan Wild</t>
        </is>
      </c>
      <c r="E10" s="52" t="inlineStr">
        <is>
          <t>DEM</t>
        </is>
      </c>
      <c r="F10" s="53" t="inlineStr">
        <is>
          <t>yes</t>
        </is>
      </c>
      <c r="G10" s="54" t="n">
        <v>7002291.19</v>
      </c>
      <c r="H10" s="54" t="n">
        <v>7027026.2</v>
      </c>
      <c r="I10" s="54" t="n">
        <v>53961.35</v>
      </c>
      <c r="J10" s="54" t="n">
        <v>5366116.25</v>
      </c>
      <c r="K10" s="54" t="n">
        <v>1279735.82</v>
      </c>
      <c r="L10" s="54" t="n">
        <v>654900.95</v>
      </c>
      <c r="M10" s="54" t="n">
        <v>10853652.49</v>
      </c>
      <c r="N10" s="55">
        <f>IF(ISNUMBER(G10),G10+L10+SUMIFS($M$6:$M$13,$A$6:$A$13,$A10,$E$6:$E$13,"&lt;&gt;"&amp;$E10),"")</f>
        <v/>
      </c>
      <c r="O10" s="56" t="n">
        <v>151364</v>
      </c>
      <c r="P10" s="57">
        <f>IF(AND(ISNUMBER(O10),SUMIFS($O$6:$O$13,$A$6:$A$13,$A10)&lt;&gt;0),O10/SUMIFS($O$6:$O$13,$A$6:$A$13,$A10),"")</f>
        <v/>
      </c>
      <c r="Q10" s="58" t="inlineStr">
        <is>
          <t>WON</t>
        </is>
      </c>
      <c r="R10" s="59">
        <f>IF(AND(ISNUMBER(G10),ISNUMBER(O10),O10&lt;&gt;0),G10/O10,"")</f>
        <v/>
      </c>
      <c r="S10" s="59">
        <f>IF(AND(ISNUMBER(N10),ISNUMBER(O10),O10&lt;&gt;0),N10/O10,"")</f>
        <v/>
      </c>
    </row>
    <row r="11">
      <c r="A11" s="60" t="n">
        <v>2022</v>
      </c>
      <c r="B11" s="60" t="inlineStr">
        <is>
          <t>2022-11-08</t>
        </is>
      </c>
      <c r="C11" s="61" t="inlineStr">
        <is>
          <t>2022 post-census remap (Lehigh, Northampton, Carbon, part of Monroe)</t>
        </is>
      </c>
      <c r="D11" s="60" t="inlineStr">
        <is>
          <t>Lisa Scheller</t>
        </is>
      </c>
      <c r="E11" s="62" t="inlineStr">
        <is>
          <t>REP</t>
        </is>
      </c>
      <c r="F11" s="6" t="inlineStr">
        <is>
          <t>no</t>
        </is>
      </c>
      <c r="G11" s="7" t="n">
        <v>6354578.69</v>
      </c>
      <c r="H11" s="7" t="n">
        <v>6432421.56</v>
      </c>
      <c r="I11" s="7" t="n">
        <v>2737.49</v>
      </c>
      <c r="J11" s="7" t="n">
        <v>2381481.34</v>
      </c>
      <c r="K11" s="7" t="n">
        <v>514762</v>
      </c>
      <c r="L11" s="7" t="n">
        <v>23268.88</v>
      </c>
      <c r="M11" s="7" t="n">
        <v>8764085.75</v>
      </c>
      <c r="N11" s="8">
        <f>IF(ISNUMBER(G11),G11+L11+SUMIFS($M$6:$M$13,$A$6:$A$13,$A11,$E$6:$E$13,"&lt;&gt;"&amp;$E11),"")</f>
        <v/>
      </c>
      <c r="O11" s="63" t="n">
        <v>145527</v>
      </c>
      <c r="P11" s="64">
        <f>IF(AND(ISNUMBER(O11),SUMIFS($O$6:$O$13,$A$6:$A$13,$A11)&lt;&gt;0),O11/SUMIFS($O$6:$O$13,$A$6:$A$13,$A11),"")</f>
        <v/>
      </c>
      <c r="Q11" s="65" t="inlineStr">
        <is>
          <t>lost</t>
        </is>
      </c>
      <c r="R11" s="66">
        <f>IF(AND(ISNUMBER(G11),ISNUMBER(O11),O11&lt;&gt;0),G11/O11,"")</f>
        <v/>
      </c>
      <c r="S11" s="66">
        <f>IF(AND(ISNUMBER(N11),ISNUMBER(O11),O11&lt;&gt;0),N11/O11,"")</f>
        <v/>
      </c>
    </row>
    <row r="12">
      <c r="A12" s="60" t="n">
        <v>2024</v>
      </c>
      <c r="B12" s="60" t="inlineStr">
        <is>
          <t>2024-11-05</t>
        </is>
      </c>
      <c r="C12" s="61" t="inlineStr">
        <is>
          <t>2022 post-census remap (Lehigh, Northampton, Carbon, part of Monroe)</t>
        </is>
      </c>
      <c r="D12" s="60" t="inlineStr">
        <is>
          <t>Susan Wild</t>
        </is>
      </c>
      <c r="E12" s="67" t="inlineStr">
        <is>
          <t>DEM</t>
        </is>
      </c>
      <c r="F12" s="6" t="inlineStr">
        <is>
          <t>yes</t>
        </is>
      </c>
      <c r="G12" s="7" t="n">
        <v>8960927.65</v>
      </c>
      <c r="H12" s="7" t="n">
        <v>8946230</v>
      </c>
      <c r="I12" s="7" t="n">
        <v>68659</v>
      </c>
      <c r="J12" s="7" t="n">
        <v>6604896.42</v>
      </c>
      <c r="K12" s="7" t="n">
        <v>1393265.46</v>
      </c>
      <c r="L12" s="7" t="n">
        <v>4568368.78</v>
      </c>
      <c r="M12" s="7" t="n">
        <v>10424863.22</v>
      </c>
      <c r="N12" s="8">
        <f>IF(ISNUMBER(G12),G12+L12+SUMIFS($M$6:$M$13,$A$6:$A$13,$A12,$E$6:$E$13,"&lt;&gt;"&amp;$E12),"")</f>
        <v/>
      </c>
      <c r="O12" s="63" t="n">
        <v>199626</v>
      </c>
      <c r="P12" s="64">
        <f>IF(AND(ISNUMBER(O12),SUMIFS($O$6:$O$13,$A$6:$A$13,$A12)&lt;&gt;0),O12/SUMIFS($O$6:$O$13,$A$6:$A$13,$A12),"")</f>
        <v/>
      </c>
      <c r="Q12" s="65" t="inlineStr">
        <is>
          <t>lost</t>
        </is>
      </c>
      <c r="R12" s="66">
        <f>IF(AND(ISNUMBER(G12),ISNUMBER(O12),O12&lt;&gt;0),G12/O12,"")</f>
        <v/>
      </c>
      <c r="S12" s="66">
        <f>IF(AND(ISNUMBER(N12),ISNUMBER(O12),O12&lt;&gt;0),N12/O12,"")</f>
        <v/>
      </c>
    </row>
    <row r="13">
      <c r="A13" s="50" t="n">
        <v>2024</v>
      </c>
      <c r="B13" s="50" t="inlineStr">
        <is>
          <t>2024-11-05</t>
        </is>
      </c>
      <c r="C13" s="51" t="inlineStr">
        <is>
          <t>2022 post-census remap (Lehigh, Northampton, Carbon, part of Monroe)</t>
        </is>
      </c>
      <c r="D13" s="50" t="inlineStr">
        <is>
          <t>Ryan Mackenzie</t>
        </is>
      </c>
      <c r="E13" s="68" t="inlineStr">
        <is>
          <t>REP</t>
        </is>
      </c>
      <c r="F13" s="53" t="inlineStr">
        <is>
          <t>no</t>
        </is>
      </c>
      <c r="G13" s="54" t="n">
        <v>1818407.11</v>
      </c>
      <c r="H13" s="54" t="n">
        <v>1715167.2</v>
      </c>
      <c r="I13" s="54" t="n">
        <v>103239.91</v>
      </c>
      <c r="J13" s="54" t="n">
        <v>886645.14</v>
      </c>
      <c r="K13" s="54" t="n">
        <v>419249.05</v>
      </c>
      <c r="L13" s="54" t="n">
        <v>1333061.79</v>
      </c>
      <c r="M13" s="54" t="n">
        <v>9962854.130000001</v>
      </c>
      <c r="N13" s="55">
        <f>IF(ISNUMBER(G13),G13+L13+SUMIFS($M$6:$M$13,$A$6:$A$13,$A13,$E$6:$E$13,"&lt;&gt;"&amp;$E13),"")</f>
        <v/>
      </c>
      <c r="O13" s="56" t="n">
        <v>203688</v>
      </c>
      <c r="P13" s="57">
        <f>IF(AND(ISNUMBER(O13),SUMIFS($O$6:$O$13,$A$6:$A$13,$A13)&lt;&gt;0),O13/SUMIFS($O$6:$O$13,$A$6:$A$13,$A13),"")</f>
        <v/>
      </c>
      <c r="Q13" s="58" t="inlineStr">
        <is>
          <t>WON</t>
        </is>
      </c>
      <c r="R13" s="59">
        <f>IF(AND(ISNUMBER(G13),ISNUMBER(O13),O13&lt;&gt;0),G13/O13,"")</f>
        <v/>
      </c>
      <c r="S13" s="59">
        <f>IF(AND(ISNUMBER(N13),ISNUMBER(O13),O13&lt;&gt;0),N13/O13,"")</f>
        <v/>
      </c>
    </row>
    <row r="15" ht="13" customHeight="1">
      <c r="A15" s="14" t="inlineStr">
        <is>
          <t>TOTAL VOTES CAST, AND WHAT IS EXCLUDED FROM TWO-PARTY SHARE</t>
        </is>
      </c>
    </row>
    <row r="16" ht="34" customHeight="1">
      <c r="A16" s="5" t="inlineStr">
        <is>
          <t>Cycle</t>
        </is>
      </c>
      <c r="B16" s="5" t="inlineStr"/>
      <c r="C16" s="5" t="inlineStr"/>
      <c r="D16" s="5" t="inlineStr"/>
      <c r="E16" s="5" t="inlineStr"/>
      <c r="F16" s="5" t="inlineStr"/>
      <c r="G16" s="5" t="inlineStr"/>
      <c r="H16" s="5" t="inlineStr"/>
      <c r="I16" s="5" t="inlineStr"/>
      <c r="J16" s="5" t="inlineStr"/>
      <c r="K16" s="5" t="inlineStr"/>
      <c r="L16" s="5" t="inlineStr"/>
      <c r="M16" s="5" t="inlineStr"/>
      <c r="N16" s="5" t="inlineStr"/>
      <c r="O16" s="5" t="inlineStr">
        <is>
          <t>Total votes cast</t>
        </is>
      </c>
      <c r="P16" s="5" t="inlineStr">
        <is>
          <t>Third-party / scattered</t>
        </is>
      </c>
      <c r="Q16" s="5" t="inlineStr">
        <is>
          <t>Third-party share</t>
        </is>
      </c>
      <c r="R16" s="5" t="inlineStr">
        <is>
          <t>Vote reconciliation</t>
        </is>
      </c>
      <c r="S16" s="5" t="inlineStr"/>
    </row>
    <row r="17">
      <c r="A17" s="60" t="n">
        <v>2018</v>
      </c>
      <c r="B17" s="69" t="n"/>
      <c r="C17" s="69" t="n"/>
      <c r="D17" s="6" t="inlineStr">
        <is>
          <t>All candidates on the ballot</t>
        </is>
      </c>
      <c r="E17" s="69" t="n"/>
      <c r="F17" s="69" t="n"/>
      <c r="G17" s="69" t="n"/>
      <c r="H17" s="69" t="n"/>
      <c r="I17" s="69" t="n"/>
      <c r="J17" s="69" t="n"/>
      <c r="K17" s="69" t="n"/>
      <c r="L17" s="69" t="n"/>
      <c r="M17" s="69" t="n"/>
      <c r="N17" s="69" t="n"/>
      <c r="O17" s="63" t="n">
        <v>263360</v>
      </c>
      <c r="P17" s="63" t="n">
        <v>8110</v>
      </c>
      <c r="Q17" s="64">
        <f>IF(AND(ISNUMBER(O17),ISNUMBER(P17),O17&lt;&gt;0),P17/O17,"")</f>
        <v/>
      </c>
      <c r="R17" s="70">
        <f>IF(NOT(ISNUMBER(O17)),"not reported",IF(ABS(SUMIF($A$6:$A$13,$A17,$O$6:$O$13)+IF(ISNUMBER(P17),P17,0)-O17)&lt;0.5,"ok","MISMATCH"))</f>
        <v/>
      </c>
    </row>
    <row r="18">
      <c r="A18" s="60" t="n">
        <v>2020</v>
      </c>
      <c r="B18" s="69" t="n"/>
      <c r="C18" s="69" t="n"/>
      <c r="D18" s="6" t="inlineStr">
        <is>
          <t>All candidates on the ballot</t>
        </is>
      </c>
      <c r="E18" s="69" t="n"/>
      <c r="F18" s="69" t="n"/>
      <c r="G18" s="69" t="n"/>
      <c r="H18" s="69" t="n"/>
      <c r="I18" s="69" t="n"/>
      <c r="J18" s="69" t="n"/>
      <c r="K18" s="69" t="n"/>
      <c r="L18" s="69" t="n"/>
      <c r="M18" s="69" t="n"/>
      <c r="N18" s="69" t="n"/>
      <c r="O18" s="63" t="n">
        <v>377404</v>
      </c>
      <c r="P18" s="63" t="n">
        <v>522</v>
      </c>
      <c r="Q18" s="64">
        <f>IF(AND(ISNUMBER(O18),ISNUMBER(P18),O18&lt;&gt;0),P18/O18,"")</f>
        <v/>
      </c>
      <c r="R18" s="70">
        <f>IF(NOT(ISNUMBER(O18)),"not reported",IF(ABS(SUMIF($A$6:$A$13,$A18,$O$6:$O$13)+IF(ISNUMBER(P18),P18,0)-O18)&lt;0.5,"ok","MISMATCH"))</f>
        <v/>
      </c>
    </row>
    <row r="19">
      <c r="A19" s="60" t="n">
        <v>2022</v>
      </c>
      <c r="B19" s="69" t="n"/>
      <c r="C19" s="69" t="n"/>
      <c r="D19" s="6" t="inlineStr">
        <is>
          <t>All candidates on the ballot</t>
        </is>
      </c>
      <c r="E19" s="69" t="n"/>
      <c r="F19" s="69" t="n"/>
      <c r="G19" s="69" t="n"/>
      <c r="H19" s="69" t="n"/>
      <c r="I19" s="69" t="n"/>
      <c r="J19" s="69" t="n"/>
      <c r="K19" s="69" t="n"/>
      <c r="L19" s="69" t="n"/>
      <c r="M19" s="69" t="n"/>
      <c r="N19" s="69" t="n"/>
      <c r="O19" s="63" t="n">
        <v>297395</v>
      </c>
      <c r="P19" s="63" t="n">
        <v>504</v>
      </c>
      <c r="Q19" s="64">
        <f>IF(AND(ISNUMBER(O19),ISNUMBER(P19),O19&lt;&gt;0),P19/O19,"")</f>
        <v/>
      </c>
      <c r="R19" s="70">
        <f>IF(NOT(ISNUMBER(O19)),"not reported",IF(ABS(SUMIF($A$6:$A$13,$A19,$O$6:$O$13)+IF(ISNUMBER(P19),P19,0)-O19)&lt;0.5,"ok","MISMATCH"))</f>
        <v/>
      </c>
    </row>
    <row r="20">
      <c r="A20" s="60" t="n">
        <v>2024</v>
      </c>
      <c r="B20" s="69" t="n"/>
      <c r="C20" s="69" t="n"/>
      <c r="D20" s="6" t="inlineStr">
        <is>
          <t>All candidates on the ballot</t>
        </is>
      </c>
      <c r="E20" s="69" t="n"/>
      <c r="F20" s="69" t="n"/>
      <c r="G20" s="69" t="n"/>
      <c r="H20" s="69" t="n"/>
      <c r="I20" s="69" t="n"/>
      <c r="J20" s="69" t="n"/>
      <c r="K20" s="69" t="n"/>
      <c r="L20" s="69" t="n"/>
      <c r="M20" s="69" t="n"/>
      <c r="N20" s="69" t="n"/>
      <c r="O20" s="71" t="n"/>
      <c r="P20" s="71" t="n"/>
      <c r="Q20" s="72">
        <f>IF(AND(ISNUMBER(O20),ISNUMBER(P20),O20&lt;&gt;0),P20/O20,"")</f>
        <v/>
      </c>
      <c r="R20" s="70">
        <f>IF(NOT(ISNUMBER(O20)),"not reported",IF(ABS(SUMIF($A$6:$A$13,$A20,$O$6:$O$13)+IF(ISNUMBER(P20),P20,0)-O20)&lt;0.5,"ok","MISMATCH"))</f>
        <v/>
      </c>
    </row>
    <row r="21">
      <c r="D21" s="23" t="inlineStr">
        <is>
          <t>Check: two-party votes + third-party = total votes cast, for every cycle that reports one</t>
        </is>
      </c>
      <c r="R21" s="73">
        <f>COUNTIF(R17:R20,"MISMATCH")</f>
        <v/>
      </c>
    </row>
    <row r="23" ht="13" customHeight="1">
      <c r="A23" s="14" t="inlineStr">
        <is>
          <t>HOW TO READ THIS SHEET</t>
        </is>
      </c>
    </row>
    <row r="24" ht="13" customHeight="1">
      <c r="A24" s="15" t="inlineStr">
        <is>
          <t>• Unlike the 2026 figures elsewhere in this workbook, these are FINAL full-cycle totals (through 31 December of each election year). They are not mid-cycle snapshots and will not change.</t>
        </is>
      </c>
    </row>
    <row r="25" ht="24" customHeight="1">
      <c r="A25" s="15" t="inlineStr">
        <is>
          <t>• DISTRICT BOUNDARIES CHANGED INSIDE THIS WINDOW. 2018 and 2020 ran on the 2018 PA Supreme Court remap; 2022 and 2024 on the post-2020-census remap, which added Carbon County and altered the Monroe County portion. The seat is Lehigh Valley-based throughout, so the cycles are broadly comparable — but they are not the identical electorate, and this is the main reason to treat the trend line as indicative rather than exact.</t>
        </is>
      </c>
    </row>
    <row r="26" ht="24" customHeight="1">
      <c r="A26" s="15" t="inlineStr">
        <is>
          <t>• 2018 IS THE WEAKEST DATA POINT. Susan Wild contested two races that day: the full term in the NEW PA-07 and the unexpired-term special election in the OLD PA-15. One committee financed both, so her 2018 receipts cannot be cleanly attributed to the PA-07 general. The vote figures used are the full-term (new PA-07) race.</t>
        </is>
      </c>
    </row>
    <row r="27" ht="13" customHeight="1">
      <c r="A27" s="15" t="inlineStr">
        <is>
          <t>• Wild's 2018 FEC candidate record is filed under district 15, not 07. Querying the FEC for district=07, cycle=2018 returns the Republican but silently OMITS the Democratic winner. Her totals here were pulled directly by candidate ID.</t>
        </is>
      </c>
    </row>
    <row r="28" ht="24" customHeight="1">
      <c r="A28" s="15" t="inlineStr">
        <is>
          <t>• 2024 THIRD-PARTY VOTES ARE UNKNOWN, NOT ZERO. The Clerk of the House summary lists only the two major-party nominees and reports no all-candidate district total, so those cells are blank and shaded. The 2018-2022 rows come from FEC files that do report an all-candidate total. Two-party vote share — what the analysis actually uses — is unaffected.</t>
        </is>
      </c>
    </row>
    <row r="29" ht="13" customHeight="1">
      <c r="A29" s="15" t="inlineStr">
        <is>
          <t>• Blue figures are values from the FEC API or the official results files. Black figures are computed by formula from them.</t>
        </is>
      </c>
    </row>
  </sheetData>
  <mergeCells count="8">
    <mergeCell ref="A25:S25"/>
    <mergeCell ref="A28:S28"/>
    <mergeCell ref="A23:S23"/>
    <mergeCell ref="A29:S29"/>
    <mergeCell ref="A27:S27"/>
    <mergeCell ref="A26:S26"/>
    <mergeCell ref="A24:S24"/>
    <mergeCell ref="A15:S15"/>
  </mergeCell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tabColor rgb="001F3864"/>
    <outlinePr summaryBelow="1" summaryRight="1"/>
    <pageSetUpPr/>
  </sheetPr>
  <dimension ref="A1:T174"/>
  <sheetViews>
    <sheetView showGridLines="0" workbookViewId="0">
      <selection activeCell="A1" sqref="A1"/>
    </sheetView>
  </sheetViews>
  <sheetFormatPr baseColWidth="8" defaultRowHeight="15"/>
  <cols>
    <col width="3" customWidth="1" min="1" max="1"/>
    <col width="24" customWidth="1" min="18" max="18"/>
    <col width="24" customWidth="1" min="19" max="19"/>
    <col width="24" customWidth="1" min="20" max="20"/>
    <col width="24" customWidth="1" min="21" max="21"/>
    <col width="24" customWidth="1" min="22" max="22"/>
    <col width="24" customWidth="1" min="23" max="23"/>
  </cols>
  <sheetData>
    <row r="1">
      <c r="A1" s="1" t="inlineStr">
        <is>
          <t>Money and Results, 2018–2024</t>
        </is>
      </c>
    </row>
    <row r="2">
      <c r="A2" s="2" t="inlineStr">
        <is>
          <t>Every series links to the History and Money vs Results sheets. Chart source data sits in columns R–V.</t>
        </is>
      </c>
      <c r="R2" s="44" t="inlineStr">
        <is>
          <t>CHART SOURCE — total money in the race</t>
        </is>
      </c>
    </row>
    <row r="3">
      <c r="R3" s="45" t="inlineStr">
        <is>
          <t>Cycle</t>
        </is>
      </c>
      <c r="S3" s="45" t="inlineStr">
        <is>
          <t>Pro-Democratic money</t>
        </is>
      </c>
      <c r="T3" s="45" t="inlineStr">
        <is>
          <t>Pro-Republican money</t>
        </is>
      </c>
    </row>
    <row r="4">
      <c r="R4" s="28" t="n">
        <v>2018</v>
      </c>
      <c r="S4" s="46">
        <f>'Money vs Results'!E6</f>
        <v/>
      </c>
      <c r="T4" s="46">
        <f>'Money vs Results'!F6</f>
        <v/>
      </c>
    </row>
    <row r="5">
      <c r="R5" s="28" t="n">
        <v>2020</v>
      </c>
      <c r="S5" s="46">
        <f>'Money vs Results'!E7</f>
        <v/>
      </c>
      <c r="T5" s="46">
        <f>'Money vs Results'!F7</f>
        <v/>
      </c>
    </row>
    <row r="6">
      <c r="R6" s="28" t="n">
        <v>2022</v>
      </c>
      <c r="S6" s="46">
        <f>'Money vs Results'!E8</f>
        <v/>
      </c>
      <c r="T6" s="46">
        <f>'Money vs Results'!F8</f>
        <v/>
      </c>
    </row>
    <row r="7">
      <c r="R7" s="28" t="n">
        <v>2024</v>
      </c>
      <c r="S7" s="46">
        <f>'Money vs Results'!E9</f>
        <v/>
      </c>
      <c r="T7" s="46">
        <f>'Money vs Results'!F9</f>
        <v/>
      </c>
    </row>
    <row r="9">
      <c r="R9" s="44" t="inlineStr">
        <is>
          <t>CHART SOURCE — candidate committee receipts</t>
        </is>
      </c>
    </row>
    <row r="10">
      <c r="R10" s="45" t="inlineStr">
        <is>
          <t>Cycle</t>
        </is>
      </c>
      <c r="S10" s="45" t="inlineStr">
        <is>
          <t>Democratic nominee</t>
        </is>
      </c>
      <c r="T10" s="45" t="inlineStr">
        <is>
          <t>Republican nominee</t>
        </is>
      </c>
    </row>
    <row r="11">
      <c r="R11" s="28" t="n">
        <v>2018</v>
      </c>
      <c r="S11" s="46">
        <f>'Money vs Results'!B6</f>
        <v/>
      </c>
      <c r="T11" s="46">
        <f>'Money vs Results'!C6</f>
        <v/>
      </c>
    </row>
    <row r="12">
      <c r="R12" s="28" t="n">
        <v>2020</v>
      </c>
      <c r="S12" s="46">
        <f>'Money vs Results'!B7</f>
        <v/>
      </c>
      <c r="T12" s="46">
        <f>'Money vs Results'!C7</f>
        <v/>
      </c>
    </row>
    <row r="13">
      <c r="R13" s="28" t="n">
        <v>2022</v>
      </c>
      <c r="S13" s="46">
        <f>'Money vs Results'!B8</f>
        <v/>
      </c>
      <c r="T13" s="46">
        <f>'Money vs Results'!C8</f>
        <v/>
      </c>
    </row>
    <row r="14">
      <c r="R14" s="28" t="n">
        <v>2024</v>
      </c>
      <c r="S14" s="46">
        <f>'Money vs Results'!B9</f>
        <v/>
      </c>
      <c r="T14" s="46">
        <f>'Money vs Results'!C9</f>
        <v/>
      </c>
    </row>
    <row r="16">
      <c r="R16" s="44" t="inlineStr">
        <is>
          <t>CHART SOURCE — resource share vs vote share (Model B)</t>
        </is>
      </c>
    </row>
    <row r="17">
      <c r="R17" s="45" t="inlineStr">
        <is>
          <t>Cycle</t>
        </is>
      </c>
      <c r="S17" s="45" t="inlineStr">
        <is>
          <t>D share of total resources</t>
        </is>
      </c>
      <c r="T17" s="45" t="inlineStr">
        <is>
          <t>D two-party vote share</t>
        </is>
      </c>
    </row>
    <row r="18">
      <c r="R18" s="28" t="n">
        <v>2018</v>
      </c>
      <c r="S18" s="87">
        <f>'Money vs Results'!G6</f>
        <v/>
      </c>
      <c r="T18" s="87">
        <f>'Money vs Results'!H6</f>
        <v/>
      </c>
    </row>
    <row r="19">
      <c r="R19" s="28" t="n">
        <v>2020</v>
      </c>
      <c r="S19" s="87">
        <f>'Money vs Results'!G7</f>
        <v/>
      </c>
      <c r="T19" s="87">
        <f>'Money vs Results'!H7</f>
        <v/>
      </c>
    </row>
    <row r="20">
      <c r="R20" s="28" t="n">
        <v>2022</v>
      </c>
      <c r="S20" s="87">
        <f>'Money vs Results'!G8</f>
        <v/>
      </c>
      <c r="T20" s="87">
        <f>'Money vs Results'!H8</f>
        <v/>
      </c>
    </row>
    <row r="21">
      <c r="R21" s="28" t="n">
        <v>2024</v>
      </c>
      <c r="S21" s="87">
        <f>'Money vs Results'!G9</f>
        <v/>
      </c>
      <c r="T21" s="87">
        <f>'Money vs Results'!H9</f>
        <v/>
      </c>
    </row>
    <row r="23">
      <c r="R23" s="44" t="inlineStr">
        <is>
          <t>CHART SOURCE — receipts share vs vote share (Model A)</t>
        </is>
      </c>
    </row>
    <row r="24">
      <c r="R24" s="45" t="inlineStr">
        <is>
          <t>Cycle</t>
        </is>
      </c>
      <c r="S24" s="45" t="inlineStr">
        <is>
          <t>D share of candidate receipts</t>
        </is>
      </c>
      <c r="T24" s="45" t="inlineStr">
        <is>
          <t>D two-party vote share</t>
        </is>
      </c>
    </row>
    <row r="25">
      <c r="R25" s="28" t="n">
        <v>2018</v>
      </c>
      <c r="S25" s="87">
        <f>'Money vs Results'!D6</f>
        <v/>
      </c>
      <c r="T25" s="87">
        <f>'Money vs Results'!H6</f>
        <v/>
      </c>
    </row>
    <row r="26">
      <c r="R26" s="28" t="n">
        <v>2020</v>
      </c>
      <c r="S26" s="87">
        <f>'Money vs Results'!D7</f>
        <v/>
      </c>
      <c r="T26" s="87">
        <f>'Money vs Results'!H7</f>
        <v/>
      </c>
    </row>
    <row r="27">
      <c r="R27" s="28" t="n">
        <v>2022</v>
      </c>
      <c r="S27" s="87">
        <f>'Money vs Results'!D8</f>
        <v/>
      </c>
      <c r="T27" s="87">
        <f>'Money vs Results'!H8</f>
        <v/>
      </c>
    </row>
    <row r="28">
      <c r="R28" s="28" t="n">
        <v>2024</v>
      </c>
      <c r="S28" s="87">
        <f>'Money vs Results'!D9</f>
        <v/>
      </c>
      <c r="T28" s="87">
        <f>'Money vs Results'!H9</f>
        <v/>
      </c>
    </row>
    <row r="30">
      <c r="R30" s="44" t="inlineStr">
        <is>
          <t>CHART SOURCE — Democratic two-party vote share</t>
        </is>
      </c>
    </row>
    <row r="31">
      <c r="R31" s="45" t="inlineStr">
        <is>
          <t>Cycle</t>
        </is>
      </c>
      <c r="S31" s="45" t="inlineStr">
        <is>
          <t>D two-party vote share</t>
        </is>
      </c>
      <c r="T31" s="45" t="inlineStr">
        <is>
          <t>50% (win threshold)</t>
        </is>
      </c>
    </row>
    <row r="32">
      <c r="R32" s="28" t="n">
        <v>2018</v>
      </c>
      <c r="S32" s="87">
        <f>'Money vs Results'!H6</f>
        <v/>
      </c>
      <c r="T32" s="88" t="n">
        <v>0.5</v>
      </c>
    </row>
    <row r="33">
      <c r="R33" s="28" t="n">
        <v>2020</v>
      </c>
      <c r="S33" s="87">
        <f>'Money vs Results'!H7</f>
        <v/>
      </c>
      <c r="T33" s="88" t="n">
        <v>0.5</v>
      </c>
    </row>
    <row r="34">
      <c r="R34" s="28" t="n">
        <v>2022</v>
      </c>
      <c r="S34" s="87">
        <f>'Money vs Results'!H8</f>
        <v/>
      </c>
      <c r="T34" s="88" t="n">
        <v>0.5</v>
      </c>
    </row>
    <row r="35">
      <c r="R35" s="28" t="n">
        <v>2024</v>
      </c>
      <c r="S35" s="87">
        <f>'Money vs Results'!H9</f>
        <v/>
      </c>
      <c r="T35" s="88" t="n">
        <v>0.5</v>
      </c>
    </row>
    <row r="37">
      <c r="R37" s="44" t="inlineStr">
        <is>
          <t>CHART SOURCE — candidate money vs outside money</t>
        </is>
      </c>
    </row>
    <row r="38">
      <c r="R38" s="45" t="inlineStr">
        <is>
          <t>Cycle</t>
        </is>
      </c>
      <c r="S38" s="45" t="inlineStr">
        <is>
          <t>Candidate committee money</t>
        </is>
      </c>
      <c r="T38" s="45" t="inlineStr">
        <is>
          <t>Outside money (independent expenditures)</t>
        </is>
      </c>
    </row>
    <row r="39">
      <c r="R39" s="28" t="n">
        <v>2018</v>
      </c>
      <c r="S39" s="46">
        <f>'Money vs Results'!B6+'Money vs Results'!C6</f>
        <v/>
      </c>
      <c r="T39" s="46">
        <f>('Money vs Results'!E6+'Money vs Results'!F6)-('Money vs Results'!B6+'Money vs Results'!C6)</f>
        <v/>
      </c>
    </row>
    <row r="40">
      <c r="R40" s="28" t="n">
        <v>2020</v>
      </c>
      <c r="S40" s="46">
        <f>'Money vs Results'!B7+'Money vs Results'!C7</f>
        <v/>
      </c>
      <c r="T40" s="46">
        <f>('Money vs Results'!E7+'Money vs Results'!F7)-('Money vs Results'!B7+'Money vs Results'!C7)</f>
        <v/>
      </c>
    </row>
    <row r="41">
      <c r="R41" s="28" t="n">
        <v>2022</v>
      </c>
      <c r="S41" s="46">
        <f>'Money vs Results'!B8+'Money vs Results'!C8</f>
        <v/>
      </c>
      <c r="T41" s="46">
        <f>('Money vs Results'!E8+'Money vs Results'!F8)-('Money vs Results'!B8+'Money vs Results'!C8)</f>
        <v/>
      </c>
    </row>
    <row r="42">
      <c r="R42" s="28" t="n">
        <v>2024</v>
      </c>
      <c r="S42" s="46">
        <f>'Money vs Results'!B9+'Money vs Results'!C9</f>
        <v/>
      </c>
      <c r="T42" s="46">
        <f>('Money vs Results'!E9+'Money vs Results'!F9)-('Money vs Results'!B9+'Money vs Results'!C9)</f>
        <v/>
      </c>
    </row>
    <row r="44">
      <c r="R44" s="44" t="inlineStr">
        <is>
          <t>CHART SOURCE — receipts per vote received</t>
        </is>
      </c>
    </row>
    <row r="45">
      <c r="R45" s="45" t="inlineStr">
        <is>
          <t>Candidate</t>
        </is>
      </c>
      <c r="S45" s="45" t="inlineStr">
        <is>
          <t>Receipts per vote</t>
        </is>
      </c>
    </row>
    <row r="46">
      <c r="R46" s="28" t="inlineStr">
        <is>
          <t>2018 Wild (D)</t>
        </is>
      </c>
      <c r="S46" s="89">
        <f>'History — Finance &amp; Results'!R6</f>
        <v/>
      </c>
    </row>
    <row r="47">
      <c r="R47" s="28" t="inlineStr">
        <is>
          <t>2018 Nothstein (R)</t>
        </is>
      </c>
      <c r="S47" s="89">
        <f>'History — Finance &amp; Results'!R7</f>
        <v/>
      </c>
    </row>
    <row r="48">
      <c r="R48" s="28" t="inlineStr">
        <is>
          <t>2020 Wild (D)</t>
        </is>
      </c>
      <c r="S48" s="89">
        <f>'History — Finance &amp; Results'!R8</f>
        <v/>
      </c>
    </row>
    <row r="49">
      <c r="R49" s="28" t="inlineStr">
        <is>
          <t>2020 Scheller (R)</t>
        </is>
      </c>
      <c r="S49" s="89">
        <f>'History — Finance &amp; Results'!R9</f>
        <v/>
      </c>
    </row>
    <row r="50">
      <c r="R50" s="28" t="inlineStr">
        <is>
          <t>2022 Wild (D)</t>
        </is>
      </c>
      <c r="S50" s="89">
        <f>'History — Finance &amp; Results'!R10</f>
        <v/>
      </c>
    </row>
    <row r="51">
      <c r="R51" s="28" t="inlineStr">
        <is>
          <t>2022 Scheller (R)</t>
        </is>
      </c>
      <c r="S51" s="89">
        <f>'History — Finance &amp; Results'!R11</f>
        <v/>
      </c>
    </row>
    <row r="52">
      <c r="R52" s="28" t="inlineStr">
        <is>
          <t>2024 Wild (D)</t>
        </is>
      </c>
      <c r="S52" s="89">
        <f>'History — Finance &amp; Results'!R12</f>
        <v/>
      </c>
    </row>
    <row r="53">
      <c r="R53" s="28" t="inlineStr">
        <is>
          <t>2024 Mackenzie (R)</t>
        </is>
      </c>
      <c r="S53" s="89">
        <f>'History — Finance &amp; Results'!R13</f>
        <v/>
      </c>
    </row>
    <row r="170">
      <c r="A170" s="15" t="inlineStr">
        <is>
          <t>Chart 1: total money in this seat grew from $6.9M in 2018 to $37.1M in 2024 — a 5.3-fold increase in six years.</t>
        </is>
      </c>
    </row>
    <row r="171">
      <c r="A171" s="15" t="inlineStr">
        <is>
          <t>Charts 3 and 4: each point is one election. The fitted line and R² are drawn by Excel from the same four points; with n=4 they describe the sample and cannot support an inference. Point-to-year mapping is in the source table at R17 and R24.</t>
        </is>
      </c>
    </row>
    <row r="172">
      <c r="A172" s="15" t="inlineStr">
        <is>
          <t>Chart 4 is the important one: the Democratic share of candidate fundraising carries essentially no information about the result. In 2024 Wild raised 83% of all candidate money and lost the seat.</t>
        </is>
      </c>
    </row>
    <row r="173">
      <c r="A173" s="15" t="inlineStr">
        <is>
          <t>Chart 6: independent expenditures were a minority of the money in 2018 and 2020, and the clear majority by 2022–2024. Reading candidate receipts alone now misses most of the spending.</t>
        </is>
      </c>
    </row>
    <row r="174">
      <c r="A174" s="15" t="inlineStr">
        <is>
          <t>Chart 7: in 2024 Wild's committee spent $44.89 per vote she received; Mackenzie's spent $8.93 — and Mackenzie won.</t>
        </is>
      </c>
    </row>
  </sheetData>
  <mergeCells count="5">
    <mergeCell ref="A173:N173"/>
    <mergeCell ref="A171:N171"/>
    <mergeCell ref="A172:N172"/>
    <mergeCell ref="A174:N174"/>
    <mergeCell ref="A170:N170"/>
  </mergeCells>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tabColor rgb="001F3864"/>
    <outlinePr summaryBelow="1" summaryRight="1"/>
    <pageSetUpPr/>
  </sheetPr>
  <dimension ref="A1:H36"/>
  <sheetViews>
    <sheetView workbookViewId="0">
      <selection activeCell="A1" sqref="A1"/>
    </sheetView>
  </sheetViews>
  <sheetFormatPr baseColWidth="8" defaultRowHeight="15"/>
  <cols>
    <col width="46" customWidth="1" min="1" max="1"/>
    <col width="16" customWidth="1" min="2" max="2"/>
    <col width="16" customWidth="1" min="3" max="3"/>
    <col width="16" customWidth="1" min="4" max="4"/>
    <col width="16" customWidth="1" min="5" max="5"/>
    <col width="16" customWidth="1" min="6" max="6"/>
    <col width="15" customWidth="1" min="7" max="7"/>
    <col width="15" customWidth="1" min="8" max="8"/>
  </cols>
  <sheetData>
    <row r="1">
      <c r="A1" s="1" t="inlineStr">
        <is>
          <t>Does Money Predict the Result in PA-07?</t>
        </is>
      </c>
    </row>
    <row r="2">
      <c r="A2" s="2" t="inlineStr">
        <is>
          <t>Four elections, 2018–2024. Democratic share of money against Democratic share of the two-party vote. All figures link to the History sheet.</t>
        </is>
      </c>
    </row>
    <row r="4" ht="18" customHeight="1">
      <c r="A4" s="3" t="inlineStr">
        <is>
          <t>CYCLE-LEVEL SUMMARY</t>
        </is>
      </c>
      <c r="B4" s="4" t="n"/>
      <c r="C4" s="4" t="n"/>
      <c r="D4" s="4" t="n"/>
      <c r="E4" s="4" t="n"/>
      <c r="F4" s="4" t="n"/>
      <c r="G4" s="4" t="n"/>
      <c r="H4" s="4" t="n"/>
    </row>
    <row r="5" ht="34" customHeight="1">
      <c r="A5" s="5" t="inlineStr">
        <is>
          <t>Election cycle</t>
        </is>
      </c>
      <c r="B5" s="5" t="inlineStr">
        <is>
          <t>D candidate receipts</t>
        </is>
      </c>
      <c r="C5" s="5" t="inlineStr">
        <is>
          <t>R candidate receipts</t>
        </is>
      </c>
      <c r="D5" s="5" t="inlineStr">
        <is>
          <t>D share of candidate receipts</t>
        </is>
      </c>
      <c r="E5" s="5" t="inlineStr">
        <is>
          <t>Total pro-D resources</t>
        </is>
      </c>
      <c r="F5" s="5" t="inlineStr">
        <is>
          <t>Total pro-R resources</t>
        </is>
      </c>
      <c r="G5" s="5" t="inlineStr">
        <is>
          <t>D share of total resources</t>
        </is>
      </c>
      <c r="H5" s="5" t="inlineStr">
        <is>
          <t>D two-party vote share</t>
        </is>
      </c>
    </row>
    <row r="6">
      <c r="A6" s="25" t="n">
        <v>2018</v>
      </c>
      <c r="B6" s="22">
        <f>SUMIFS('History — Finance &amp; Results'!$G$6:$G$13,'History — Finance &amp; Results'!$A$6:$A$13,$A6,'History — Finance &amp; Results'!$E$6:$E$13,"DEM")</f>
        <v/>
      </c>
      <c r="C6" s="22">
        <f>SUMIFS('History — Finance &amp; Results'!$G$6:$G$13,'History — Finance &amp; Results'!$A$6:$A$13,$A6,'History — Finance &amp; Results'!$E$6:$E$13,"REP")</f>
        <v/>
      </c>
      <c r="D6" s="64">
        <f>IF(B6+C6=0,"",B6/(B6+C6))</f>
        <v/>
      </c>
      <c r="E6" s="22">
        <f>SUMIFS('History — Finance &amp; Results'!$N$6:$N$13,'History — Finance &amp; Results'!$A$6:$A$13,$A6,'History — Finance &amp; Results'!$E$6:$E$13,"DEM")</f>
        <v/>
      </c>
      <c r="F6" s="22">
        <f>SUMIFS('History — Finance &amp; Results'!$N$6:$N$13,'History — Finance &amp; Results'!$A$6:$A$13,$A6,'History — Finance &amp; Results'!$E$6:$E$13,"REP")</f>
        <v/>
      </c>
      <c r="G6" s="64">
        <f>IF(E6+F6=0,"",E6/(E6+F6))</f>
        <v/>
      </c>
      <c r="H6" s="74">
        <f>SUMIFS('History — Finance &amp; Results'!$P$6:$P$13,'History — Finance &amp; Results'!$A$6:$A$13,$A6,'History — Finance &amp; Results'!$E$6:$E$13,"DEM")</f>
        <v/>
      </c>
    </row>
    <row r="7">
      <c r="A7" s="25" t="n">
        <v>2020</v>
      </c>
      <c r="B7" s="22">
        <f>SUMIFS('History — Finance &amp; Results'!$G$6:$G$13,'History — Finance &amp; Results'!$A$6:$A$13,$A7,'History — Finance &amp; Results'!$E$6:$E$13,"DEM")</f>
        <v/>
      </c>
      <c r="C7" s="22">
        <f>SUMIFS('History — Finance &amp; Results'!$G$6:$G$13,'History — Finance &amp; Results'!$A$6:$A$13,$A7,'History — Finance &amp; Results'!$E$6:$E$13,"REP")</f>
        <v/>
      </c>
      <c r="D7" s="64">
        <f>IF(B7+C7=0,"",B7/(B7+C7))</f>
        <v/>
      </c>
      <c r="E7" s="22">
        <f>SUMIFS('History — Finance &amp; Results'!$N$6:$N$13,'History — Finance &amp; Results'!$A$6:$A$13,$A7,'History — Finance &amp; Results'!$E$6:$E$13,"DEM")</f>
        <v/>
      </c>
      <c r="F7" s="22">
        <f>SUMIFS('History — Finance &amp; Results'!$N$6:$N$13,'History — Finance &amp; Results'!$A$6:$A$13,$A7,'History — Finance &amp; Results'!$E$6:$E$13,"REP")</f>
        <v/>
      </c>
      <c r="G7" s="64">
        <f>IF(E7+F7=0,"",E7/(E7+F7))</f>
        <v/>
      </c>
      <c r="H7" s="74">
        <f>SUMIFS('History — Finance &amp; Results'!$P$6:$P$13,'History — Finance &amp; Results'!$A$6:$A$13,$A7,'History — Finance &amp; Results'!$E$6:$E$13,"DEM")</f>
        <v/>
      </c>
    </row>
    <row r="8">
      <c r="A8" s="25" t="n">
        <v>2022</v>
      </c>
      <c r="B8" s="22">
        <f>SUMIFS('History — Finance &amp; Results'!$G$6:$G$13,'History — Finance &amp; Results'!$A$6:$A$13,$A8,'History — Finance &amp; Results'!$E$6:$E$13,"DEM")</f>
        <v/>
      </c>
      <c r="C8" s="22">
        <f>SUMIFS('History — Finance &amp; Results'!$G$6:$G$13,'History — Finance &amp; Results'!$A$6:$A$13,$A8,'History — Finance &amp; Results'!$E$6:$E$13,"REP")</f>
        <v/>
      </c>
      <c r="D8" s="64">
        <f>IF(B8+C8=0,"",B8/(B8+C8))</f>
        <v/>
      </c>
      <c r="E8" s="22">
        <f>SUMIFS('History — Finance &amp; Results'!$N$6:$N$13,'History — Finance &amp; Results'!$A$6:$A$13,$A8,'History — Finance &amp; Results'!$E$6:$E$13,"DEM")</f>
        <v/>
      </c>
      <c r="F8" s="22">
        <f>SUMIFS('History — Finance &amp; Results'!$N$6:$N$13,'History — Finance &amp; Results'!$A$6:$A$13,$A8,'History — Finance &amp; Results'!$E$6:$E$13,"REP")</f>
        <v/>
      </c>
      <c r="G8" s="64">
        <f>IF(E8+F8=0,"",E8/(E8+F8))</f>
        <v/>
      </c>
      <c r="H8" s="74">
        <f>SUMIFS('History — Finance &amp; Results'!$P$6:$P$13,'History — Finance &amp; Results'!$A$6:$A$13,$A8,'History — Finance &amp; Results'!$E$6:$E$13,"DEM")</f>
        <v/>
      </c>
    </row>
    <row r="9">
      <c r="A9" s="25" t="n">
        <v>2024</v>
      </c>
      <c r="B9" s="22">
        <f>SUMIFS('History — Finance &amp; Results'!$G$6:$G$13,'History — Finance &amp; Results'!$A$6:$A$13,$A9,'History — Finance &amp; Results'!$E$6:$E$13,"DEM")</f>
        <v/>
      </c>
      <c r="C9" s="22">
        <f>SUMIFS('History — Finance &amp; Results'!$G$6:$G$13,'History — Finance &amp; Results'!$A$6:$A$13,$A9,'History — Finance &amp; Results'!$E$6:$E$13,"REP")</f>
        <v/>
      </c>
      <c r="D9" s="64">
        <f>IF(B9+C9=0,"",B9/(B9+C9))</f>
        <v/>
      </c>
      <c r="E9" s="22">
        <f>SUMIFS('History — Finance &amp; Results'!$N$6:$N$13,'History — Finance &amp; Results'!$A$6:$A$13,$A9,'History — Finance &amp; Results'!$E$6:$E$13,"DEM")</f>
        <v/>
      </c>
      <c r="F9" s="22">
        <f>SUMIFS('History — Finance &amp; Results'!$N$6:$N$13,'History — Finance &amp; Results'!$A$6:$A$13,$A9,'History — Finance &amp; Results'!$E$6:$E$13,"REP")</f>
        <v/>
      </c>
      <c r="G9" s="64">
        <f>IF(E9+F9=0,"",E9/(E9+F9))</f>
        <v/>
      </c>
      <c r="H9" s="74">
        <f>SUMIFS('History — Finance &amp; Results'!$P$6:$P$13,'History — Finance &amp; Results'!$A$6:$A$13,$A9,'History — Finance &amp; Results'!$E$6:$E$13,"DEM")</f>
        <v/>
      </c>
    </row>
    <row r="11" ht="18" customHeight="1">
      <c r="A11" s="3" t="inlineStr">
        <is>
          <t>CORRELATION AND LINEAR REGRESSION</t>
        </is>
      </c>
      <c r="B11" s="4" t="n"/>
      <c r="C11" s="4" t="n"/>
      <c r="D11" s="4" t="n"/>
      <c r="E11" s="4" t="n"/>
      <c r="F11" s="4" t="n"/>
      <c r="G11" s="4" t="n"/>
      <c r="H11" s="4" t="n"/>
    </row>
    <row r="12" ht="34" customHeight="1">
      <c r="A12" s="5" t="inlineStr">
        <is>
          <t>Statistic</t>
        </is>
      </c>
      <c r="B12" s="5" t="inlineStr">
        <is>
          <t>Model A — candidate receipts only</t>
        </is>
      </c>
      <c r="C12" s="5" t="inlineStr">
        <is>
          <t>Model B — total resources (candidate + outside)</t>
        </is>
      </c>
      <c r="D12" s="5" t="inlineStr"/>
      <c r="E12" s="5" t="inlineStr"/>
      <c r="F12" s="5" t="inlineStr"/>
      <c r="G12" s="5" t="inlineStr"/>
      <c r="H12" s="5" t="inlineStr"/>
    </row>
    <row r="13">
      <c r="A13" s="6" t="inlineStr">
        <is>
          <t>Observations (n)</t>
        </is>
      </c>
      <c r="B13" s="75">
        <f>COUNT(H6:H9)</f>
        <v/>
      </c>
      <c r="C13" s="75">
        <f>COUNT(H6:H9)</f>
        <v/>
      </c>
    </row>
    <row r="14">
      <c r="A14" s="6" t="inlineStr">
        <is>
          <t>Pearson correlation r</t>
        </is>
      </c>
      <c r="B14" s="76">
        <f>IFERROR(CORREL(D6:D9,H6:H9),"")</f>
        <v/>
      </c>
      <c r="C14" s="76">
        <f>IFERROR(CORREL(G6:G9,H6:H9),"")</f>
        <v/>
      </c>
    </row>
    <row r="15">
      <c r="A15" s="6" t="inlineStr">
        <is>
          <t>R² (variance explained)</t>
        </is>
      </c>
      <c r="B15" s="77">
        <f>IFERROR(RSQ(H6:H9,D6:D9),"")</f>
        <v/>
      </c>
      <c r="C15" s="77">
        <f>IFERROR(RSQ(H6:H9,G6:G9),"")</f>
        <v/>
      </c>
    </row>
    <row r="16">
      <c r="A16" s="6" t="inlineStr">
        <is>
          <t>Slope (Δ vote share per 1.0 of money share)</t>
        </is>
      </c>
      <c r="B16" s="76">
        <f>IFERROR(SLOPE(H6:H9,D6:D9),"")</f>
        <v/>
      </c>
      <c r="C16" s="76">
        <f>IFERROR(SLOPE(H6:H9,G6:G9),"")</f>
        <v/>
      </c>
    </row>
    <row r="17">
      <c r="A17" s="6" t="inlineStr">
        <is>
          <t>Intercept</t>
        </is>
      </c>
      <c r="B17" s="77">
        <f>IFERROR(INTERCEPT(H6:H9,D6:D9),"")</f>
        <v/>
      </c>
      <c r="C17" s="77">
        <f>IFERROR(INTERCEPT(H6:H9,G6:G9),"")</f>
        <v/>
      </c>
    </row>
    <row r="18">
      <c r="A18" s="6" t="inlineStr">
        <is>
          <t>Standard error of the slope</t>
        </is>
      </c>
      <c r="B18" s="78">
        <f>IFERROR(STEYX(H6:H9,D6:D9)/SQRT(DEVSQ(D6:D9)),"")</f>
        <v/>
      </c>
      <c r="C18" s="78">
        <f>IFERROR(STEYX(H6:H9,G6:G9)/SQRT(DEVSQ(G6:G9)),"")</f>
        <v/>
      </c>
    </row>
    <row r="19">
      <c r="A19" s="6" t="inlineStr">
        <is>
          <t>t-statistic for the slope</t>
        </is>
      </c>
      <c r="B19" s="76">
        <f>IF(AND(ISNUMBER(B16),ISNUMBER(B18),B18&lt;&gt;0),B16/B18,"")</f>
        <v/>
      </c>
      <c r="C19" s="76">
        <f>IF(AND(ISNUMBER(C16),ISNUMBER(C18),C18&lt;&gt;0),C16/C18,"")</f>
        <v/>
      </c>
    </row>
    <row r="20">
      <c r="A20" s="6" t="inlineStr">
        <is>
          <t>p-value (two-tailed)</t>
        </is>
      </c>
      <c r="B20" s="79">
        <f>IF(AND(ISNUMBER(B19),B21&gt;0),IFERROR(TDIST(ABS(B19),B21,2),""),"")</f>
        <v/>
      </c>
      <c r="C20" s="79">
        <f>IF(AND(ISNUMBER(C19),C21&gt;0),IFERROR(TDIST(ABS(C19),C21,2),""),"")</f>
        <v/>
      </c>
    </row>
    <row r="21">
      <c r="A21" s="6" t="inlineStr">
        <is>
          <t>Degrees of freedom</t>
        </is>
      </c>
      <c r="B21" s="75">
        <f>IF(ISNUMBER(B13),B13-2,"")</f>
        <v/>
      </c>
      <c r="C21" s="75">
        <f>IF(ISNUMBER(C13),C13-2,"")</f>
        <v/>
      </c>
    </row>
    <row r="22">
      <c r="A22" s="25" t="inlineStr">
        <is>
          <t>Statistically significant at p &lt; 0.05?</t>
        </is>
      </c>
      <c r="B22" s="80">
        <f>IF(ISNUMBER(B20),IF(B20&lt;0.05,"YES","NO — cannot reject the null"),"")</f>
        <v/>
      </c>
      <c r="C22" s="80">
        <f>IF(ISNUMBER(C20),IF(C20&lt;0.05,"YES","NO — cannot reject the null"),"")</f>
        <v/>
      </c>
    </row>
    <row r="24" ht="18" customHeight="1">
      <c r="A24" s="3" t="inlineStr">
        <is>
          <t>MODEL B — FITTED VALUES AND RESIDUALS</t>
        </is>
      </c>
      <c r="B24" s="4" t="n"/>
      <c r="C24" s="4" t="n"/>
      <c r="D24" s="4" t="n"/>
      <c r="E24" s="4" t="n"/>
      <c r="F24" s="4" t="n"/>
      <c r="G24" s="4" t="n"/>
      <c r="H24" s="4" t="n"/>
    </row>
    <row r="25" ht="34" customHeight="1">
      <c r="A25" s="5" t="inlineStr">
        <is>
          <t>Election cycle</t>
        </is>
      </c>
      <c r="B25" s="5" t="inlineStr">
        <is>
          <t>Actual D two-party vote share</t>
        </is>
      </c>
      <c r="C25" s="5" t="inlineStr">
        <is>
          <t>Predicted by Model B</t>
        </is>
      </c>
      <c r="D25" s="5" t="inlineStr">
        <is>
          <t>Residual (actual − predicted)</t>
        </is>
      </c>
      <c r="E25" s="5" t="inlineStr">
        <is>
          <t>D share of total resources</t>
        </is>
      </c>
      <c r="F25" s="5" t="inlineStr"/>
      <c r="G25" s="5" t="inlineStr"/>
      <c r="H25" s="5" t="inlineStr"/>
    </row>
    <row r="26">
      <c r="A26" s="38">
        <f>A6</f>
        <v/>
      </c>
      <c r="B26" s="74">
        <f>H6</f>
        <v/>
      </c>
      <c r="C26" s="64">
        <f>IF(AND(ISNUMBER($C$17),ISNUMBER($C$16),ISNUMBER(E26)),$C$17+$C$16*E26,"")</f>
        <v/>
      </c>
      <c r="D26" s="81">
        <f>IF(AND(ISNUMBER(B26),ISNUMBER(C26)),B26-C26,"")</f>
        <v/>
      </c>
      <c r="E26" s="74">
        <f>G6</f>
        <v/>
      </c>
    </row>
    <row r="27">
      <c r="A27" s="38">
        <f>A7</f>
        <v/>
      </c>
      <c r="B27" s="74">
        <f>H7</f>
        <v/>
      </c>
      <c r="C27" s="64">
        <f>IF(AND(ISNUMBER($C$17),ISNUMBER($C$16),ISNUMBER(E27)),$C$17+$C$16*E27,"")</f>
        <v/>
      </c>
      <c r="D27" s="81">
        <f>IF(AND(ISNUMBER(B27),ISNUMBER(C27)),B27-C27,"")</f>
        <v/>
      </c>
      <c r="E27" s="74">
        <f>G7</f>
        <v/>
      </c>
    </row>
    <row r="28">
      <c r="A28" s="38">
        <f>A8</f>
        <v/>
      </c>
      <c r="B28" s="74">
        <f>H8</f>
        <v/>
      </c>
      <c r="C28" s="64">
        <f>IF(AND(ISNUMBER($C$17),ISNUMBER($C$16),ISNUMBER(E28)),$C$17+$C$16*E28,"")</f>
        <v/>
      </c>
      <c r="D28" s="81">
        <f>IF(AND(ISNUMBER(B28),ISNUMBER(C28)),B28-C28,"")</f>
        <v/>
      </c>
      <c r="E28" s="74">
        <f>G8</f>
        <v/>
      </c>
    </row>
    <row r="29">
      <c r="A29" s="38">
        <f>A9</f>
        <v/>
      </c>
      <c r="B29" s="74">
        <f>H9</f>
        <v/>
      </c>
      <c r="C29" s="64">
        <f>IF(AND(ISNUMBER($C$17),ISNUMBER($C$16),ISNUMBER(E29)),$C$17+$C$16*E29,"")</f>
        <v/>
      </c>
      <c r="D29" s="81">
        <f>IF(AND(ISNUMBER(B29),ISNUMBER(C29)),B29-C29,"")</f>
        <v/>
      </c>
      <c r="E29" s="74">
        <f>G9</f>
        <v/>
      </c>
    </row>
    <row r="31" ht="18" customHeight="1">
      <c r="A31" s="3" t="inlineStr">
        <is>
          <t>WHAT THIS DOES AND DOES NOT ESTABLISH</t>
        </is>
      </c>
      <c r="B31" s="4" t="n"/>
      <c r="C31" s="4" t="n"/>
      <c r="D31" s="4" t="n"/>
      <c r="E31" s="4" t="n"/>
      <c r="F31" s="4" t="n"/>
      <c r="G31" s="4" t="n"/>
      <c r="H31" s="4" t="n"/>
    </row>
    <row r="32" ht="56" customHeight="1">
      <c r="A32" s="42" t="inlineStr">
        <is>
          <t>n = 4. THIS CANNOT SUPPORT A STATISTICAL CLAIM. With four elections and two fitted parameters there are two degrees of freedom, and the confidence interval on the slope is wider than any effect it could detect. The regression is reported because it was asked for and because it disciplines the description — not because it licenses an inference. Treat every figure above as descriptive.</t>
        </is>
      </c>
    </row>
    <row r="33" ht="56" customHeight="1">
      <c r="A33" s="42" t="inlineStr">
        <is>
          <t>MODEL A IS THE ONE THAT MATTERS, AND IT FINDS NOTHING. The Democratic share of CANDIDATE fundraising has essentially no relationship to the Democratic share of the vote in this district (r² near zero). 2024 is decisive on its own: Susan Wild raised 83% of all candidate money in the race and lost it.</t>
        </is>
      </c>
    </row>
    <row r="34" ht="56" customHeight="1">
      <c r="A34" s="42" t="inlineStr">
        <is>
          <t>MODEL B DOES BETTER BECAUSE IT COUNTS THE OUTSIDE MONEY. Once independent expenditures are added — including money spent attacking the opponent — the relationship turns positive and explains a meaningful share of the variance. But it is still not significant at n = 4, and the ordering is dominated by 2018, a Democratic wave year in which the Republican was barely funded.</t>
        </is>
      </c>
    </row>
    <row r="35" ht="56" customHeight="1">
      <c r="A35" s="42" t="inlineStr">
        <is>
          <t>THE CAUSATION RUNS BOTH WAYS, AND MOSTLY BACKWARDS. Money flows toward races that are already expected to be close, and toward candidates already expected to win. A positive correlation between money and votes would be as consistent with 'donors can spot a winner' as with 'spending buys votes'. Nothing in this design separates the two.</t>
        </is>
      </c>
    </row>
    <row r="36" ht="56" customHeight="1">
      <c r="A36" s="42" t="inlineStr">
        <is>
          <t>THE OMITTED VARIABLE IS THE NATIONAL ENVIRONMENT. 2018 was a Democratic wave; 2024 was a Republican-leaning presidential year in a district trending right. Those two facts explain the vote-share series far better than money does, and they are not in the model.</t>
        </is>
      </c>
    </row>
  </sheetData>
  <mergeCells count="5">
    <mergeCell ref="A35:H35"/>
    <mergeCell ref="A33:H33"/>
    <mergeCell ref="A36:H36"/>
    <mergeCell ref="A32:H32"/>
    <mergeCell ref="A34:H34"/>
  </mergeCells>
  <pageMargins left="0.75" right="0.75" top="1" bottom="1" header="0.5" footer="0.5"/>
</worksheet>
</file>

<file path=xl/worksheets/sheet9.xml><?xml version="1.0" encoding="utf-8"?>
<worksheet xmlns="http://schemas.openxmlformats.org/spreadsheetml/2006/main">
  <sheetPr>
    <tabColor rgb="001F3864"/>
    <outlinePr summaryBelow="1" summaryRight="1"/>
    <pageSetUpPr/>
  </sheetPr>
  <dimension ref="A1:A74"/>
  <sheetViews>
    <sheetView workbookViewId="0">
      <selection activeCell="A1" sqref="A1"/>
    </sheetView>
  </sheetViews>
  <sheetFormatPr baseColWidth="8" defaultRowHeight="15"/>
  <cols>
    <col width="150" customWidth="1" min="1" max="1"/>
  </cols>
  <sheetData>
    <row r="1">
      <c r="A1" s="1" t="inlineStr">
        <is>
          <t>Notes, Sources and Known Limitations</t>
        </is>
      </c>
    </row>
    <row r="2">
      <c r="A2" s="2" t="inlineStr">
        <is>
          <t>Reproduced from sources/fec.json. Nothing here is editorial: it is the extraction's own record of what it does and does not establish.</t>
        </is>
      </c>
    </row>
    <row r="4" ht="18" customHeight="1">
      <c r="A4" s="3" t="inlineStr">
        <is>
          <t>SOURCE</t>
        </is>
      </c>
    </row>
    <row r="5" ht="24" customHeight="1">
      <c r="A5" s="47" t="inlineStr">
        <is>
          <t>Source: FEC / OpenFEC API</t>
        </is>
      </c>
    </row>
    <row r="6" ht="60" customHeight="1">
      <c r="A6" s="47" t="inlineStr">
        <is>
          <t>URL: https://www.fec.gov/data/elections/house/PA/07/2026/</t>
        </is>
      </c>
    </row>
    <row r="7" ht="13" customHeight="1">
      <c r="A7" s="47" t="inlineStr">
        <is>
          <t>Cycle: 2026</t>
        </is>
      </c>
    </row>
    <row r="8" ht="36" customHeight="1">
      <c r="A8" s="47" t="inlineStr">
        <is>
          <t>Coverage through: 2026-06-30</t>
        </is>
      </c>
    </row>
    <row r="9" ht="36" customHeight="1">
      <c r="A9" s="47" t="inlineStr">
        <is>
          <t>Retrieved (UTC): 2026-08-30T16:22:43Z</t>
        </is>
      </c>
    </row>
    <row r="10" ht="120" customHeight="1">
      <c r="A10" s="47" t="inlineStr">
        <is>
          <t>Endpoints used: /v1/candidates/search/ · /v1/candidate/{id}/totals/ · /v1/candidate/{id}/committees/ · /v1/schedules/schedule_e/</t>
        </is>
      </c>
    </row>
    <row r="12" ht="18" customHeight="1">
      <c r="A12" s="3" t="inlineStr">
        <is>
          <t>EXTRACTION NOTES</t>
        </is>
      </c>
    </row>
    <row r="13" ht="348" customHeight="1">
      <c r="A13" s="15" t="inlineStr">
        <is>
          <t>• Coverage_through (2026-06-30) reflects the most recent PERIODIC financial report (FEC Form 3, 'JULY QUARTERLY 2026', filed 2026-07-15) for both major-party nominees' principal committees. As of retrieval (2026-08-30), that is roughly 2 months stale; the next scheduled disclosure is the OCTOBER QUARTERLY report (due on/around 2026-10-15, covering through 2026-09-30).</t>
        </is>
      </c>
    </row>
    <row r="14" ht="324" customHeight="1">
      <c r="A14" s="15" t="inlineStr">
        <is>
          <t>• Both candidates have filed newer non-financial-summary documents since June 30, 2026 (e.g. Brooks filed a Statement of Organization amendment on 2026-08-20; both campaigns have filed periodic 48-Hour Notices of Contributions/Loans around the primary), but these do not update the aggregate receipts/disbursements/cash-on-hand totals shown here.</t>
        </is>
      </c>
    </row>
    <row r="15" ht="396" customHeight="1">
      <c r="A15" s="15" t="inlineStr">
        <is>
          <t>• Bob Brooks (D) won a contested 5-candidate Democratic primary; the other Democratic primary candidates (Ryan Crosswell, Lamont McClure, Carol Obando-Derstine, Mark Pinsley) are not included as candidate entries above because they are not on the 2026 general-election ballot, but their FEC candidate IDs are C00907667/H6PA07162, C00898544/H6PA07147, C00903963/H6PA07154, and C00913947/H6PA07170 respectively, for reference.</t>
        </is>
      </c>
    </row>
    <row r="16" ht="168" customHeight="1">
      <c r="A16" s="15" t="inlineStr">
        <is>
          <t>• Ryan Mackenzie (R) is the incumbent, having defeated then-Rep. Susan Wild (D) in 2024; Wild is not a 2026 candidate (FEC candidate_status = prior-cycle candidate, H8PA15229).</t>
        </is>
      </c>
    </row>
    <row r="17" ht="468" customHeight="1">
      <c r="A17" s="15" t="inlineStr">
        <is>
          <t>• Independent-expenditure totals in 'independent_expenditures' come from OpenFEC's schedules/schedule_e/by_candidate aggregate (deduplicated, i.e. amendments/superseding filings already reconciled), queried for cycle=2026. A naive sum of raw itemized schedule_e line items for these two candidates totals roughly $5.9M, materially higher than the ~$2.76M deduplicated aggregate, because raw itemized records include amended/superseded filings; the deduplicated by_candidate totals are the ones used here.</t>
        </is>
      </c>
    </row>
    <row r="18" ht="1104" customHeight="1">
      <c r="A18" s="15" t="inlineStr">
        <is>
          <t>• Spot-checking the underlying itemized Schedule E records for the largest committees (e.g. STRONGER TOGETHER PA supporting Brooks, LEAD LEFT PAC opposing Brooks) shows expenditure dates clustered between 2026-05-06 and 2026-05-18 -- i.e. immediately before Pennsylvania's 2026 primary (inferred to be mid-May 2026 based on FEC 'PRE-PRIMARY 2026' reports covering periods ending 2026-04-29). This strongly suggests the great majority of the ~$2.76M in outside spending found here was primary-season spending (aimed at the multi-candidate Democratic primary), not general-election spending in the Brooks-vs-Mackenzie race. Post-primary (after 2026-05-19) itemized IE activity located for these two candidates was comparatively minor: a handful of small-dollar entries in June 2026 (e.g. Field Team 6 $638.30 and GiveGreen United Action $36.54 supporting Brooks; Planned Parenthood Votes $85.38 opposing Mackenzie) plus one larger, more recent item: an $11,000 pro-Brooks independent expenditure by Seniors Empowering an Effective Democracy (SEED-PAC), reported via a 24-hour notice filed 2026-08-19 (not yet reflected in the by_candidate aggregate; listed separately in independent_expenditures).</t>
        </is>
      </c>
    </row>
    <row r="19" ht="192" customHeight="1">
      <c r="A19" s="15" t="inlineStr">
        <is>
          <t>• No independent expenditures supporting Ryan Mackenzie were found in FEC records as of retrieval; all $12,352.62 in IE activity referencing him was in opposition (mostly small-dollar and primary-period).</t>
        </is>
      </c>
    </row>
    <row r="20" ht="132" customHeight="1">
      <c r="A20" s="15" t="inlineStr">
        <is>
          <t>• No independent expenditure activity was found for the four no-fundraising minor/independent candidates (Golden, Gonzalez, Granados, Shupe).</t>
        </is>
      </c>
    </row>
    <row r="21" ht="144" customHeight="1">
      <c r="A21" s="15" t="inlineStr">
        <is>
          <t>• 'Self-funding' = FEC 'candidate_contribution' (candidate's own money loaned/contributed to their committee this cycle), not candidate personal wealth.</t>
        </is>
      </c>
    </row>
    <row r="22" ht="288" customHeight="1">
      <c r="A22" s="15" t="inlineStr">
        <is>
          <t>• 'pac_contributions' = FEC 'other_political_committee_contributions' (traditional multicandidate/PAC money); this excludes party-committee contributions and inter-committee transfers, which are called out separately in each candidate's notes field since the fixed schema has no dedicated field for them.</t>
        </is>
      </c>
    </row>
    <row r="24" ht="18" customHeight="1">
      <c r="A24" s="3" t="inlineStr">
        <is>
          <t>KNOWN LIMITATIONS / EXTRACTION PROBLEMS</t>
        </is>
      </c>
    </row>
    <row r="25" ht="48" customHeight="1">
      <c r="A25" s="48" t="inlineStr">
        <is>
          <t>! Precise dollar split of independent-expenditure spending between the primary period and the general-election period could not be computed exhaustively (would require reconciling all itemized Schedule E records, including amendments, against exact PA primary election-day boundaries); the primary-vs-general characterization above is based on spot-checking the top committees' itemized records, not a full reconciliation.</t>
        </is>
      </c>
    </row>
    <row r="26" ht="36" customHeight="1">
      <c r="A26" s="48" t="inlineStr">
        <is>
          <t>! OpenFEC's schedules/schedule_e/by_candidate aggregate had not yet incorporated the 2026-08-19 SEED-PAC $11,000 pro-Brooks 24-hour notice at the time of retrieval; it was added to independent_expenditures manually from the itemized schedule_e record rather than the aggregate endpoint.</t>
        </is>
      </c>
    </row>
    <row r="27" ht="36" customHeight="1">
      <c r="A27" s="48" t="inlineStr">
        <is>
          <t>! No FEC financial totals exist for declared candidates Frank Golden, Aiden Alexander Gonzalez, Michael Ramon Granados Jr., and Lewis Shupe (empty results from /candidate/{id}/totals/); their financial fields are null rather than 0, since 'no report filed' is not the same as a confirmed zero.</t>
        </is>
      </c>
    </row>
    <row r="29" ht="18" customHeight="1">
      <c r="A29" s="3" t="inlineStr">
        <is>
          <t>PER-CANDIDATE NOTES</t>
        </is>
      </c>
    </row>
    <row r="30">
      <c r="A30" s="49" t="inlineStr">
        <is>
          <t>Bob Brooks (DEM) — committee C00917096</t>
        </is>
      </c>
    </row>
    <row r="31" ht="588" customHeight="1">
      <c r="A31" s="15" t="inlineStr">
        <is>
          <t>Democratic nominee; won a contested 5-way primary (also ran Ryan Crosswell, Lamont McClure, Carol Obando-Derstine, Mark Pinsley). Figures are cycle-to-date (coverage_start 2025-07-01) per FEC JULY QUARTERLY 2026 report, filed 2026-07-15. Also received $5,000 from party committees and $26,085.00 in transfers from another authorized committee (not broken out in the fixed schema). Individual unitemized (small-dollar, &lt;=$200 aggregated) contributions were $599,386.78, i.e. 25.1% of total receipts / 30.9% of individual contributions. 21 total FEC filings on record for committee C00917096. Self-funding of $3,500 is minimal.</t>
        </is>
      </c>
    </row>
    <row r="32">
      <c r="A32" s="49" t="inlineStr">
        <is>
          <t>Ryan Mackenzie (REP) — committee C00846501</t>
        </is>
      </c>
    </row>
    <row r="33" ht="756" customHeight="1">
      <c r="A33" s="15" t="inlineStr">
        <is>
          <t>Incumbent (first elected 2024, defeating Susan Wild); ran unopposed in the Republican primary. Figures are cycle-to-date (coverage_start 2025-01-01) per FEC JULY QUARTERLY 2026 report, filed 2026-07-15. Includes an unusually large $1,779,199.14 in transfers from another authorized committee (not broken out in the fixed schema) -- consistent with the wind-down of a former joint committee, 'MACKENZIE FOR CONGRESS-GTM NF PA07' (C00858357), which stopped filing in early 2025. Also received $5,000 from party committees. Individual unitemized (small-dollar, &lt;=$200 aggregated) contributions were $554,133.97, i.e. 12.7% of total receipts / 37.1% of individual contributions. No candidate self-funding reported. 55 total FEC filings on record for committee C00846501 (committee active since the 2024 cycle).</t>
        </is>
      </c>
    </row>
    <row r="34">
      <c r="A34" s="49" t="inlineStr">
        <is>
          <t>Frank Golden (UN) — committee C00935189</t>
        </is>
      </c>
    </row>
    <row r="35" ht="168" customHeight="1">
      <c r="A35" s="15" t="inlineStr">
        <is>
          <t>Declared candidate (Unaffiliated), committee registered but has never filed a periodic financial report; FEC lists no fundraising activity (has_raised_funds=false) as of retrieval.</t>
        </is>
      </c>
    </row>
    <row r="36">
      <c r="A36" s="49" t="inlineStr">
        <is>
          <t>Aiden Alexander Gonzalez (DEM) — committee C00932301</t>
        </is>
      </c>
    </row>
    <row r="37" ht="228" customHeight="1">
      <c r="A37" s="15" t="inlineStr">
        <is>
          <t>Declared Democratic candidate, committee registered but has never filed a periodic financial report; FEC lists no fundraising activity (has_raised_funds=false) as of retrieval. Did not appear to contest the Democratic primary that Brooks won.</t>
        </is>
      </c>
    </row>
    <row r="38">
      <c r="A38" s="49" t="inlineStr">
        <is>
          <t>Michael Ramon Granados Jr. (IND) — committee none on file</t>
        </is>
      </c>
    </row>
    <row r="39" ht="144" customHeight="1">
      <c r="A39" s="15" t="inlineStr">
        <is>
          <t>Declared candidate (Independent); no principal committee on file and no fundraising activity reported (has_raised_funds=false) as of retrieval.</t>
        </is>
      </c>
    </row>
    <row r="40">
      <c r="A40" s="49" t="inlineStr">
        <is>
          <t>Lewis Shupe (IND) — committee C00857995</t>
        </is>
      </c>
    </row>
    <row r="41" ht="168" customHeight="1">
      <c r="A41" s="15" t="inlineStr">
        <is>
          <t>Declared candidate (Independent), committee registered but has never filed a periodic financial report; FEC lists no fundraising activity (has_raised_funds=false) as of retrieval.</t>
        </is>
      </c>
    </row>
    <row r="43" ht="18" customHeight="1">
      <c r="A43" s="3" t="inlineStr">
        <is>
          <t>METHOD USED IN THIS WORKBOOK</t>
        </is>
      </c>
    </row>
    <row r="44" ht="288" customHeight="1">
      <c r="A44" s="15" t="inlineStr">
        <is>
          <t>• Candidate lookups on the Summary and Money Sources sheets use INDEX/MATCH keyed to the candidate NAME, never to a row position — the FEC API returns candidates in no guaranteed order, and a position-based lookup would produce a correct-looking figure with the wrong sign the day that order changed.</t>
        </is>
      </c>
    </row>
    <row r="45" ht="204" customHeight="1">
      <c r="A45" s="15" t="inlineStr">
        <is>
          <t>• Candidates who have never filed are left BLANK rather than set to $0. Rendering $0 would assert they raised nothing, which the FEC does not report. SUM() ignores blanks, so totals cover the two nominees only.</t>
        </is>
      </c>
    </row>
    <row r="46" ht="216" customHeight="1">
      <c r="A46" s="15" t="inlineStr">
        <is>
          <t>• Arithmetic that could read a blank cell as zero is guarded with IF(AND(ISNUMBER(x),ISNUMBER(y)),…) or IF(INDEX(...)=0,"",…), because a blank cell evaluates to 0 in Excel and would otherwise produce a confident, wrong number.</t>
        </is>
      </c>
    </row>
    <row r="47" ht="240" customHeight="1">
      <c r="A47" s="15" t="inlineStr">
        <is>
          <t>• Party-committee contributions and inter-committee transfers are not fields in the extraction's fixed schema; they are stated in each candidate's notes and are entered here as documented inputs (see the cell comments on the Candidate Totals sheet).</t>
        </is>
      </c>
    </row>
    <row r="48" ht="180" customHeight="1">
      <c r="A48" s="15" t="inlineStr">
        <is>
          <t>• 'Other / unclassified' on Candidate Totals is a residual formula, not a reported FEC field. The reconciliation row on Money Sources proves the components sum exactly to reported receipts.</t>
        </is>
      </c>
    </row>
    <row r="49" ht="216" customHeight="1">
      <c r="A49" s="15" t="inlineStr">
        <is>
          <t>• Independent expenditures are OpenFEC's DEDUPLICATED by_candidate aggregates. Summing raw itemized Schedule E lines instead would give roughly $5.9M and would be wrong, because raw records include amended and superseded filings.</t>
        </is>
      </c>
    </row>
    <row r="50" ht="180" customHeight="1">
      <c r="A50" s="15" t="inlineStr">
        <is>
          <t>• This workbook is a point-in-time reading of sources/fec.json. It does not refresh itself and is not part of the scheduled pipeline that maintains PA-07_House_Election_Tracker.xlsx.</t>
        </is>
      </c>
    </row>
    <row r="52" ht="18" customHeight="1">
      <c r="A52" s="3" t="inlineStr">
        <is>
          <t>HISTORICAL DATA (2018–2024) — SOURCES</t>
        </is>
      </c>
    </row>
    <row r="53" ht="96" customHeight="1">
      <c r="A53" s="47" t="inlineStr">
        <is>
          <t>Finance: OpenFEC API (finance) + FEC official election results &amp; Clerk of the House (votes)</t>
        </is>
      </c>
    </row>
    <row r="54" ht="36" customHeight="1">
      <c r="A54" s="47" t="inlineStr">
        <is>
          <t>Retrieved: 2026-09-07T17:37:40Z</t>
        </is>
      </c>
    </row>
    <row r="55" ht="156" customHeight="1">
      <c r="A55" s="47" t="inlineStr">
        <is>
          <t>2018 results: FEC, Federal Elections 2018, '2018 US House Results by State', district '07 - FULL TERM' — https://www.fec.gov/documents/2706/federalelections2018.xlsx</t>
        </is>
      </c>
    </row>
    <row r="56" ht="144" customHeight="1">
      <c r="A56" s="47" t="inlineStr">
        <is>
          <t>2020 results: FEC, Federal Elections 2020, '13. US House Results by State', district '07' — https://www.fec.gov/documents/4228/federalelections2020.xlsx</t>
        </is>
      </c>
    </row>
    <row r="57" ht="144" customHeight="1">
      <c r="A57" s="47" t="inlineStr">
        <is>
          <t>2022 results: FEC, Federal Elections 2022, '8. US House Results by State', district '07' — https://www.fec.gov/documents/5676/federalelections2022.xlsx</t>
        </is>
      </c>
    </row>
    <row r="58" ht="192" customHeight="1">
      <c r="A58" s="47" t="inlineStr">
        <is>
          <t>2024 results: Clerk of the U.S. House, Statistics of the Congressional Election of November 5, 2024, p.61 (Pennsylvania, district 7) — https://clerk.house.gov/member_info/electionInfo/2024/statistics2024.pdf</t>
        </is>
      </c>
    </row>
    <row r="60" ht="18" customHeight="1">
      <c r="A60" s="3" t="inlineStr">
        <is>
          <t>HISTORICAL DATA — NOTES</t>
        </is>
      </c>
    </row>
    <row r="61" ht="264" customHeight="1">
      <c r="A61" s="15" t="inlineStr">
        <is>
          <t>• Finance figures are FULL-CYCLE candidate committee totals from OpenFEC /candidate/{id}/totals/ with full_election=true, i.e. the complete two-year cycle through 31 December of the election year. They are FINAL, unlike the 2026 figures elsewhere in this project, which are mid-cycle.</t>
        </is>
      </c>
    </row>
    <row r="62" ht="336" customHeight="1">
      <c r="A62" s="15" t="inlineStr">
        <is>
          <t>• DISTRICT BOUNDARIES CHANGED INSIDE THIS WINDOW. 2018 and 2020 were run on the 2018 PA Supreme Court remap; 2022 and 2024 on the post-2020-census remap, which added Carbon County and changed the Monroe County portion. The seat is Lehigh Valley-based throughout, so the four elections are broadly comparable, but they are not the identical electorate.</t>
        </is>
      </c>
    </row>
    <row r="63" ht="288" customHeight="1">
      <c r="A63" s="15" t="inlineStr">
        <is>
          <t>• Susan Wild's FEC candidate record is filed under district 15 for cycle 2018 (candidate_id H8PA15195-era numbering, H8PA15229), because she first filed in the pre-remap PA-15. A query of /elections/?district=07&amp;cycle=2018 therefore OMITS her entirely. Her totals here were pulled directly by candidate_id.</t>
        </is>
      </c>
    </row>
    <row r="64" ht="300" customHeight="1">
      <c r="A64" s="15" t="inlineStr">
        <is>
          <t>• In 2018 Wild simultaneously contested the FULL TERM in the new PA-07 and the UNEXPIRED TERM special election in the old PA-15 (both on 2018-11-06). Her single committee funded both, so her 2018 receipts are not a clean 'PA-07 general election' figure. The vote total used here is the FULL TERM (new PA-07) race.</t>
        </is>
      </c>
    </row>
    <row r="65" ht="228" customHeight="1">
      <c r="A65" s="15" t="inlineStr">
        <is>
          <t>• Independent expenditures are OpenFEC /schedules/schedule_e/by_candidate/ aggregates with election_full=true, summed across committees by support/oppose indicator. These are deduplicated aggregates, not raw itemized Schedule E lines.</t>
        </is>
      </c>
    </row>
    <row r="66" ht="216" customHeight="1">
      <c r="A66" s="15" t="inlineStr">
        <is>
          <t>• 'Other votes' are third-party and scattered write-in votes reported in the official results. 2018 included a Libertarian (Tim Silfies) who took 3.0% of the vote; the other three cycles were effectively two-candidate races.</t>
        </is>
      </c>
    </row>
    <row r="67" ht="240" customHeight="1">
      <c r="A67" s="15" t="inlineStr">
        <is>
          <t>• Two-party vote share (used for the correlation and regression) is a candidate's votes divided by the sum of the Democratic and Republican votes only. This is the standard comparable measure when third-party presence varies across years, as it does here.</t>
        </is>
      </c>
    </row>
    <row r="69" ht="18" customHeight="1">
      <c r="A69" s="3" t="inlineStr">
        <is>
          <t>HISTORICAL DATA — KNOWN LIMITATIONS</t>
        </is>
      </c>
    </row>
    <row r="70" ht="36" customHeight="1">
      <c r="A70" s="48" t="inlineStr">
        <is>
          <t>! The FEC has published no compiled 2024 congressional election results file (only presidential). 2024 vote totals therefore come from the Clerk of the U.S. House's official Statistics of the Congressional Election, which is the authoritative source of record for House results, rather than from FEC.gov.</t>
        </is>
      </c>
    </row>
    <row r="71" ht="36" customHeight="1">
      <c r="A71" s="48" t="inlineStr">
        <is>
          <t>! 2018 finance is not strictly comparable to the other three cycles: Wild's committee financed two concurrent races (the PA-07 full term and the PA-15 unexpired term), and Nothstein likewise appeared on both ballots. No clean split of spending between the two contests exists in FEC data.</t>
        </is>
      </c>
    </row>
    <row r="72" ht="36" customHeight="1">
      <c r="A72" s="48" t="inlineStr">
        <is>
          <t>! Candidate committee receipts understate total resources, sometimes severely. In 2024 Mackenzie's committee raised $1.8M against Wild's $9.0M, yet $9.4M of outside money was spent opposing Wild. Any finance-vs-results comparison that uses candidate receipts alone will mis-rank 2024.</t>
        </is>
      </c>
    </row>
    <row r="73" ht="36" customHeight="1">
      <c r="A73" s="48" t="inlineStr">
        <is>
          <t>! The Clerk of the House summary for 2024 lists only the two major-party nominees and reports no all-candidate district total. Third-party and write-in votes for 2024 are therefore UNKNOWN and recorded as null, not zero — the 2018-2022 rows, which come from the FEC files, do report an all-candidate total. Two-party vote share, which is what the analysis uses, is unaffected.</t>
        </is>
      </c>
    </row>
    <row r="74" ht="24" customHeight="1">
      <c r="A74" s="48" t="inlineStr">
        <is>
          <t>! n = 4 elections. This is far too small a sample for inferential statistics; regression output in this workbook is descriptive only and is labelled as such.</t>
        </is>
      </c>
    </row>
  </sheetData>
  <mergeCells count="42">
    <mergeCell ref="A8"/>
    <mergeCell ref="A22"/>
    <mergeCell ref="A17"/>
    <mergeCell ref="A35"/>
    <mergeCell ref="A62"/>
    <mergeCell ref="A53"/>
    <mergeCell ref="A20"/>
    <mergeCell ref="A63"/>
    <mergeCell ref="A10"/>
    <mergeCell ref="A13"/>
    <mergeCell ref="A19"/>
    <mergeCell ref="A44"/>
    <mergeCell ref="A67"/>
    <mergeCell ref="A31"/>
    <mergeCell ref="A58"/>
    <mergeCell ref="A9"/>
    <mergeCell ref="A48"/>
    <mergeCell ref="A39"/>
    <mergeCell ref="A15"/>
    <mergeCell ref="A64"/>
    <mergeCell ref="A49"/>
    <mergeCell ref="A45"/>
    <mergeCell ref="A61"/>
    <mergeCell ref="A6"/>
    <mergeCell ref="A7"/>
    <mergeCell ref="A65"/>
    <mergeCell ref="A16"/>
    <mergeCell ref="A54"/>
    <mergeCell ref="A41"/>
    <mergeCell ref="A66"/>
    <mergeCell ref="A37"/>
    <mergeCell ref="A46"/>
    <mergeCell ref="A18"/>
    <mergeCell ref="A50"/>
    <mergeCell ref="A56"/>
    <mergeCell ref="A21"/>
    <mergeCell ref="A55"/>
    <mergeCell ref="A57"/>
    <mergeCell ref="A33"/>
    <mergeCell ref="A14"/>
    <mergeCell ref="A47"/>
    <mergeCell ref="A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2026-09-07T17:38:35Z</dcterms:created>
  <dcterms:modified xmlns:dcterms="http://purl.org/dc/terms/" xmlns:xsi="http://www.w3.org/2001/XMLSchema-instance" xsi:type="dcterms:W3CDTF">2026-09-07T17:38:36Z</dcterms:modified>
</cp:coreProperties>
</file>