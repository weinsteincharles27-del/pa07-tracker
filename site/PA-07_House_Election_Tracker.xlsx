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Comparison'!$L$15:$L$306</f>
            </numRef>
          </cat>
          <val>
            <numRef>
              <f>'Venue Comparison'!$B$15:$B$306</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Comparison'!$L$15:$L$306</f>
            </numRef>
          </cat>
          <val>
            <numRef>
              <f>'Venue Comparison'!$C$15:$C$306</f>
            </numRef>
          </val>
          <smooth val="0"/>
        </ser>
        <ser>
          <idx val="2"/>
          <order val="2"/>
          <tx>
            <strRef>
              <f>'Venue Comparison'!K14</f>
            </strRef>
          </tx>
          <spPr>
            <a:ln w="12000">
              <a:solidFill>
                <a:srgbClr val="9AA5B1"/>
              </a:solidFill>
              <a:prstDash val="dash"/>
            </a:ln>
          </spPr>
          <marker>
            <symbol val="none"/>
            <spPr>
              <a:ln>
                <a:prstDash val="solid"/>
              </a:ln>
            </spPr>
          </marker>
          <cat>
            <numRef>
              <f>'Venue Comparison'!$L$15:$L$306</f>
            </numRef>
          </cat>
          <val>
            <numRef>
              <f>'Venue Comparison'!$K$15:$K$306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Comparison'!$L$15:$L$306</f>
            </numRef>
          </cat>
          <val>
            <numRef>
              <f>'Venue Comparison'!$D$15:$D$306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'Kalshi'!$M$31:$M$501</f>
            </numRef>
          </cat>
          <val>
            <numRef>
              <f>'Kalshi'!$B$31:$B$501</f>
            </numRef>
          </val>
          <smooth val="0"/>
        </ser>
        <ser>
          <idx val="1"/>
          <order val="1"/>
          <tx>
            <strRef>
              <f>'Kalshi'!C30</f>
            </strRef>
          </tx>
          <spPr>
            <a:ln w="16000">
              <a:solidFill>
                <a:srgbClr val="E8802B"/>
              </a:solidFill>
              <a:prstDash val="solid"/>
            </a:ln>
          </spPr>
          <marker>
            <symbol val="none"/>
            <spPr>
              <a:ln>
                <a:prstDash val="solid"/>
              </a:ln>
            </spPr>
          </marker>
          <cat>
            <numRef>
              <f>'Kalshi'!$M$31:$M$501</f>
            </numRef>
          </cat>
          <val>
            <numRef>
              <f>'Kalshi'!$C$31:$C$501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'Kalshi'!$M$31:$M$501</f>
            </numRef>
          </cat>
          <val>
            <numRef>
              <f>'Kalshi'!$L$31:$L$501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'Polymarket'!$K$25:$K$316</f>
            </numRef>
          </cat>
          <val>
            <numRef>
              <f>'Polymarket'!$D$25:$D$316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'Polymarket'!$K$25:$K$316</f>
            </numRef>
          </cat>
          <val>
            <numRef>
              <f>'Polymarket'!$B$25:$B$316</f>
            </numRef>
          </val>
          <smooth val="0"/>
        </ser>
        <ser>
          <idx val="1"/>
          <order val="1"/>
          <tx>
            <strRef>
              <f>'Polymarket'!C24</f>
            </strRef>
          </tx>
          <spPr>
            <a:ln w="22000">
              <a:solidFill>
                <a:srgbClr val="C0392B"/>
              </a:solidFill>
              <a:prstDash val="solid"/>
            </a:ln>
          </spPr>
          <marker>
            <symbol val="none"/>
            <spPr>
              <a:ln>
                <a:prstDash val="solid"/>
              </a:ln>
            </spPr>
          </marker>
          <cat>
            <numRef>
              <f>'Polymarket'!$K$25:$K$316</f>
            </numRef>
          </cat>
          <val>
            <numRef>
              <f>'Polymarket'!$C$25:$C$316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2026-10-27 16:38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IFERROR(IF(INDEX(Polymarket!$B$25:$B$316,MATCH(Polymarket!$A$316-0,Polymarket!$A$25:$A$316,1))=0,"",INDEX(Polymarket!$B$25:$B$316,MATCH(Polymarket!$A$316-0,Polymarket!$A$25:$A$316,1))),"")</f>
        <v/>
      </c>
      <c r="C48" s="2" t="inlineStr">
        <is>
          <t>change vs latest</t>
        </is>
      </c>
      <c r="D48" s="124">
        <f>IFERROR(IF(INDEX(Polymarket!$A$25:$A$316,MATCH(Polymarket!$A$316-0,Polymarket!$A$25:$A$316,1))=0,"",INDEX(Polymarket!$A$25:$A$316,MATCH(Polymarket!$A$316-0,Polymarket!$A$25:$A$316,1))),"")</f>
        <v/>
      </c>
      <c r="E48" s="2" t="inlineStr">
        <is>
          <t>date actually used</t>
        </is>
      </c>
    </row>
    <row r="49">
      <c r="A49" s="6" t="inlineStr">
        <is>
          <t>7 days ago</t>
        </is>
      </c>
      <c r="B49" s="100">
        <f>IFERROR(IF(INDEX(Polymarket!$B$25:$B$316,MATCH(Polymarket!$A$316-7,Polymarket!$A$25:$A$316,1))=0,"",INDEX(Polymarket!$B$25:$B$316,MATCH(Polymarket!$A$316-7,Polymarket!$A$25:$A$316,1))),"")</f>
        <v/>
      </c>
      <c r="C49" s="18">
        <f>IF(AND(ISNUMBER(B48),ISNUMBER(B49)),B48-B49,"")</f>
        <v/>
      </c>
      <c r="D49" s="124">
        <f>IFERROR(IF(INDEX(Polymarket!$A$25:$A$316,MATCH(Polymarket!$A$316-7,Polymarket!$A$25:$A$316,1))=0,"",INDEX(Polymarket!$A$25:$A$316,MATCH(Polymarket!$A$316-7,Polymarket!$A$25:$A$316,1))),"")</f>
        <v/>
      </c>
    </row>
    <row r="50">
      <c r="A50" s="6" t="inlineStr">
        <is>
          <t>30 days ago</t>
        </is>
      </c>
      <c r="B50" s="100">
        <f>IFERROR(IF(INDEX(Polymarket!$B$25:$B$316,MATCH(Polymarket!$A$316-30,Polymarket!$A$25:$A$316,1))=0,"",INDEX(Polymarket!$B$25:$B$316,MATCH(Polymarket!$A$316-30,Polymarket!$A$25:$A$316,1))),"")</f>
        <v/>
      </c>
      <c r="C50" s="18">
        <f>IF(AND(ISNUMBER(B48),ISNUMBER(B50)),B48-B50,"")</f>
        <v/>
      </c>
      <c r="D50" s="124">
        <f>IFERROR(IF(INDEX(Polymarket!$A$25:$A$316,MATCH(Polymarket!$A$316-30,Polymarket!$A$25:$A$316,1))=0,"",INDEX(Polymarket!$A$25:$A$316,MATCH(Polymarket!$A$316-30,Polymarket!$A$25:$A$316,1))),"")</f>
        <v/>
      </c>
    </row>
    <row r="51">
      <c r="A51" s="6" t="inlineStr">
        <is>
          <t>90 days ago</t>
        </is>
      </c>
      <c r="B51" s="100">
        <f>IFERROR(IF(INDEX(Polymarket!$B$25:$B$316,MATCH(Polymarket!$A$316-90,Polymarket!$A$25:$A$316,1))=0,"",INDEX(Polymarket!$B$25:$B$316,MATCH(Polymarket!$A$316-90,Polymarket!$A$25:$A$316,1))),"")</f>
        <v/>
      </c>
      <c r="C51" s="18">
        <f>IF(AND(ISNUMBER(B48),ISNUMBER(B51)),B48-B51,"")</f>
        <v/>
      </c>
      <c r="D51" s="124">
        <f>IFERROR(IF(INDEX(Polymarket!$A$25:$A$316,MATCH(Polymarket!$A$316-90,Polymarket!$A$25:$A$316,1))=0,"",INDEX(Polymarket!$A$25:$A$316,MATCH(Polymarket!$A$316-90,Polymarket!$A$25:$A$316,1))),"")</f>
        <v/>
      </c>
    </row>
    <row r="52">
      <c r="A52" s="6" t="inlineStr">
        <is>
          <t>Series high</t>
        </is>
      </c>
      <c r="B52" s="20">
        <f>MAX(Polymarket!B25:B316)</f>
        <v/>
      </c>
    </row>
    <row r="53">
      <c r="A53" s="6" t="inlineStr">
        <is>
          <t>Series low</t>
        </is>
      </c>
      <c r="B53" s="20">
        <f>MIN(Polymarket!B25:B316)</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2026-10-27 16:38 UTC</t>
        </is>
      </c>
      <c r="C68" s="66" t="n"/>
      <c r="D68" s="66" t="n"/>
      <c r="E68" s="67" t="n"/>
    </row>
    <row r="69">
      <c r="A69" s="6" t="inlineStr">
        <is>
          <t>Polymarket winner history</t>
        </is>
      </c>
      <c r="B69" s="59">
        <f>TEXT(Polymarket!A25,"yyyy-mm-dd")&amp;" to "&amp;TEXT(Polymarket!A316,"yyyy-mm-dd")&amp;"  ("&amp;COUNT(Polymarket!A25:A316)&amp;" days)"</f>
        <v/>
      </c>
      <c r="C69" s="66" t="n"/>
      <c r="D69" s="66" t="n"/>
      <c r="E69" s="67" t="n"/>
    </row>
    <row r="70">
      <c r="A70" s="6" t="inlineStr">
        <is>
          <t>Kalshi winner history</t>
        </is>
      </c>
      <c r="B70" s="59">
        <f>TEXT(Kalshi!A31,"yyyy-mm-dd")&amp;" to "&amp;TEXT(Kalshi!A501,"yyyy-mm-dd")&amp;"  ("&amp;COUNT(Kalshi!A31:A501)&amp;"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2026-10-27 16:38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2026-10-27 16:38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2026-10-27 16:38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28227.96449900001</v>
      </c>
      <c r="C12" s="10" t="n">
        <v>12256.478976</v>
      </c>
    </row>
    <row r="13">
      <c r="A13" s="6" t="inlineStr">
        <is>
          <t>Liquidity ($)</t>
        </is>
      </c>
      <c r="B13" s="9" t="n">
        <v>52182.0119</v>
      </c>
      <c r="C13" s="10" t="n">
        <v>75744.93919999999</v>
      </c>
    </row>
    <row r="14">
      <c r="A14" s="6" t="inlineStr">
        <is>
          <t>Last trade</t>
        </is>
      </c>
      <c r="B14" s="11" t="n">
        <v>0.86</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0.86</v>
      </c>
      <c r="D19" s="17">
        <f>(B19+C19)/2</f>
        <v/>
      </c>
      <c r="E19" s="18">
        <f>C19-B19</f>
        <v/>
      </c>
      <c r="F19" s="19" t="n">
        <v>2401.13</v>
      </c>
      <c r="G19" s="19" t="n">
        <v>2256.67</v>
      </c>
      <c r="H19" s="20">
        <f>IFERROR(D19/$D$21,"")</f>
        <v/>
      </c>
    </row>
    <row r="20">
      <c r="A20" s="21" t="inlineStr">
        <is>
          <t>Republican Party</t>
        </is>
      </c>
      <c r="B20" s="16" t="n">
        <v>0.13</v>
      </c>
      <c r="C20" s="16" t="n">
        <v>0.14</v>
      </c>
      <c r="D20" s="17">
        <f>(B20+C20)/2</f>
        <v/>
      </c>
      <c r="E20" s="18">
        <f>C20-B20</f>
        <v/>
      </c>
      <c r="F20" s="19" t="n">
        <v>3840.7</v>
      </c>
      <c r="G20" s="19" t="n">
        <v>5485.5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0.865</v>
      </c>
      <c r="C315" s="16" t="n"/>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row r="316">
      <c r="A316" s="41" t="n">
        <v>46322</v>
      </c>
      <c r="B316" s="28" t="n">
        <v>0.855</v>
      </c>
      <c r="C316" s="28" t="n">
        <v>0.135</v>
      </c>
      <c r="D316" s="29">
        <f>IF(COUNT(B316:C316)=2,B316+C316,"")</f>
        <v/>
      </c>
      <c r="E316" s="30">
        <f>IF(ISNUMBER(B316),IFERROR(B316/$D316,""),"")</f>
        <v/>
      </c>
      <c r="F316" s="30">
        <f>IF(ISNUMBER(C316),IFERROR(C316/$D316,""),"")</f>
        <v/>
      </c>
      <c r="G316" s="31">
        <f>IF(COUNT(B316:C316)=2,B316-C316,"")</f>
        <v/>
      </c>
      <c r="H316" s="31">
        <f>IFERROR(IF(AND(ISNUMBER(B316),INDEX($B$25:$B316,MATCH($A316-7,$A$25:$A316,1))&lt;&gt;0,INDEX($A$25:$A316,MATCH($A316-7,$A$25:$A316,1))&lt;&gt;0,$A316-INDEX($A$25:$A316,MATCH($A316-7,$A$25:$A316,1))&lt;=10),B316-INDEX($B$25:$B316,MATCH($A316-7,$A$25:$A316,1)),""),"")</f>
        <v/>
      </c>
      <c r="I316" s="31">
        <f>IFERROR(IF(AND(ISNUMBER(B316),INDEX($B$25:$B316,MATCH($A316-30,$A$25:$A316,1))&lt;&gt;0,INDEX($A$25:$A316,MATCH($A316-30,$A$25:$A316,1))&lt;&gt;0,$A316-INDEX($A$25:$A316,MATCH($A316-30,$A$25:$A316,1))&lt;=33),B316-INDEX($B$25:$B316,MATCH($A316-30,$A$25:$A316,1)),""),"")</f>
        <v/>
      </c>
      <c r="J316" s="42">
        <f>DATE(2026,11,3)-A316</f>
        <v/>
      </c>
      <c r="K316" s="26" t="inlineStr">
        <is>
          <t>27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50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2026-10-27 16:38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458</v>
      </c>
      <c r="C13" s="44" t="n">
        <v>445</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0.12</v>
      </c>
      <c r="D17" s="20">
        <f>1-C17</f>
        <v/>
      </c>
      <c r="E17" s="17">
        <f>(B17+D17)/2</f>
        <v/>
      </c>
      <c r="F17" s="18">
        <f>D17-B17</f>
        <v/>
      </c>
      <c r="G17" s="19" t="n">
        <v>174.72</v>
      </c>
      <c r="H17" s="20">
        <f>IFERROR(E17/$E$19,"")</f>
        <v/>
      </c>
    </row>
    <row r="18">
      <c r="A18" s="21" t="inlineStr">
        <is>
          <t>Republican — Ryan Mackenzie</t>
        </is>
      </c>
      <c r="B18" s="16" t="n">
        <v>0.12</v>
      </c>
      <c r="C18" s="16" t="n">
        <v>0.87</v>
      </c>
      <c r="D18" s="20">
        <f>1-C18</f>
        <v/>
      </c>
      <c r="E18" s="17">
        <f>(B18+D18)/2</f>
        <v/>
      </c>
      <c r="F18" s="18">
        <f>D18-B18</f>
        <v/>
      </c>
      <c r="G18" s="19" t="n">
        <v>1591.9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174.72</v>
      </c>
      <c r="D23" s="16" t="n">
        <v>0.12</v>
      </c>
      <c r="E23" s="19" t="n">
        <v>14646.95</v>
      </c>
      <c r="F23" s="16" t="n">
        <v>0.12</v>
      </c>
      <c r="G23" s="19" t="n">
        <v>1591.9</v>
      </c>
      <c r="H23" s="16" t="n">
        <v>0.87</v>
      </c>
      <c r="I23" s="19" t="n">
        <v>125.01</v>
      </c>
    </row>
    <row r="24">
      <c r="A24" s="35" t="n">
        <v>2</v>
      </c>
      <c r="B24" s="16" t="n">
        <v>0.86</v>
      </c>
      <c r="C24" s="19" t="n">
        <v>50551</v>
      </c>
      <c r="D24" s="16" t="n">
        <v>0.11</v>
      </c>
      <c r="E24" s="19" t="n">
        <v>3068.75</v>
      </c>
      <c r="F24" s="16" t="n">
        <v>0.11</v>
      </c>
      <c r="G24" s="19" t="n">
        <v>12831.25</v>
      </c>
      <c r="H24" s="16" t="n">
        <v>0.86</v>
      </c>
      <c r="I24" s="19" t="n">
        <v>51004.26</v>
      </c>
    </row>
    <row r="25">
      <c r="A25" s="35" t="n">
        <v>3</v>
      </c>
      <c r="B25" s="16" t="n">
        <v>0.85</v>
      </c>
      <c r="C25" s="19" t="n">
        <v>11</v>
      </c>
      <c r="D25" s="16" t="n">
        <v>0.1</v>
      </c>
      <c r="E25" s="19" t="n">
        <v>52350.01</v>
      </c>
      <c r="F25" s="16" t="n">
        <v>0.1</v>
      </c>
      <c r="G25" s="19" t="n">
        <v>52300</v>
      </c>
      <c r="H25" s="16" t="n">
        <v>0.85</v>
      </c>
      <c r="I25" s="19" t="n">
        <v>750.01</v>
      </c>
    </row>
    <row r="26">
      <c r="A26" s="35" t="n">
        <v>4</v>
      </c>
      <c r="B26" s="16" t="n">
        <v>0.84</v>
      </c>
      <c r="C26" s="19" t="n">
        <v>10520</v>
      </c>
      <c r="D26" s="16" t="n">
        <v>0.091</v>
      </c>
      <c r="E26" s="19" t="n">
        <v>600</v>
      </c>
      <c r="F26" s="16" t="n">
        <v>0.091</v>
      </c>
      <c r="G26" s="19" t="n">
        <v>200</v>
      </c>
      <c r="H26" s="16" t="n">
        <v>0.84</v>
      </c>
      <c r="I26" s="19" t="n">
        <v>12025.01</v>
      </c>
    </row>
    <row r="27">
      <c r="A27" s="35" t="n">
        <v>5</v>
      </c>
      <c r="B27" s="16" t="n">
        <v>0.83</v>
      </c>
      <c r="C27" s="19" t="n">
        <v>5030</v>
      </c>
      <c r="D27" s="16" t="n">
        <v>0.09</v>
      </c>
      <c r="E27" s="19" t="n">
        <v>3.45</v>
      </c>
      <c r="F27" s="16" t="n">
        <v>0.09</v>
      </c>
      <c r="G27" s="19" t="n">
        <v>2000</v>
      </c>
      <c r="H27" s="16" t="n">
        <v>0.83</v>
      </c>
      <c r="I27" s="19" t="n">
        <v>5030.01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row r="499">
      <c r="A499" s="39" t="n">
        <v>46320</v>
      </c>
      <c r="B499" s="16" t="n">
        <v>0.87</v>
      </c>
      <c r="C499" s="16" t="n">
        <v>0.88</v>
      </c>
      <c r="D499" s="17">
        <f>IF(COUNT(B499:C499)=2,(B499+C499)/2,"")</f>
        <v/>
      </c>
      <c r="E499" s="16" t="n">
        <v>0.12</v>
      </c>
      <c r="F499" s="16" t="n">
        <v>0.13</v>
      </c>
      <c r="G499" s="17">
        <f>IF(COUNT(E499:F499)=2,(E499+F499)/2,"")</f>
        <v/>
      </c>
      <c r="H499" s="17">
        <f>IF(AND(ISNUMBER(D499),ISNUMBER(G499)),D499+G499,"")</f>
        <v/>
      </c>
      <c r="I499" s="20">
        <f>IFERROR(D499/H499,"")</f>
        <v/>
      </c>
      <c r="J499" s="18">
        <f>IF(AND(ISNUMBER(D499),ISNUMBER(G499)),D499-G499,"")</f>
        <v/>
      </c>
      <c r="K499" s="45" t="n">
        <v>16.9</v>
      </c>
      <c r="L499" s="45" t="n">
        <v>77936.61</v>
      </c>
      <c r="M499" s="26" t="inlineStr">
        <is>
          <t>25 Oct</t>
        </is>
      </c>
    </row>
    <row r="500">
      <c r="A500" s="41" t="n">
        <v>46321</v>
      </c>
      <c r="B500" s="28" t="n">
        <v>0.87</v>
      </c>
      <c r="C500" s="28" t="n">
        <v>0.88</v>
      </c>
      <c r="D500" s="29">
        <f>IF(COUNT(B500:C500)=2,(B500+C500)/2,"")</f>
        <v/>
      </c>
      <c r="E500" s="28" t="n">
        <v>0.12</v>
      </c>
      <c r="F500" s="28" t="n">
        <v>0.13</v>
      </c>
      <c r="G500" s="29">
        <f>IF(COUNT(E500:F500)=2,(E500+F500)/2,"")</f>
        <v/>
      </c>
      <c r="H500" s="29">
        <f>IF(AND(ISNUMBER(D500),ISNUMBER(G500)),D500+G500,"")</f>
        <v/>
      </c>
      <c r="I500" s="30">
        <f>IFERROR(D500/H500,"")</f>
        <v/>
      </c>
      <c r="J500" s="31">
        <f>IF(AND(ISNUMBER(D500),ISNUMBER(G500)),D500-G500,"")</f>
        <v/>
      </c>
      <c r="K500" s="46" t="n">
        <v>1855.09</v>
      </c>
      <c r="L500" s="46" t="n">
        <v>77957.42999999999</v>
      </c>
      <c r="M500" s="38" t="inlineStr">
        <is>
          <t>26 Oct</t>
        </is>
      </c>
    </row>
    <row r="501">
      <c r="A501" s="39" t="n">
        <v>46322</v>
      </c>
      <c r="B501" s="16" t="n">
        <v>0.87</v>
      </c>
      <c r="C501" s="16" t="n">
        <v>0.88</v>
      </c>
      <c r="D501" s="17">
        <f>IF(COUNT(B501:C501)=2,(B501+C501)/2,"")</f>
        <v/>
      </c>
      <c r="E501" s="16" t="n">
        <v>0.12</v>
      </c>
      <c r="F501" s="16" t="n">
        <v>0.13</v>
      </c>
      <c r="G501" s="17">
        <f>IF(COUNT(E501:F501)=2,(E501+F501)/2,"")</f>
        <v/>
      </c>
      <c r="H501" s="17">
        <f>IF(AND(ISNUMBER(D501),ISNUMBER(G501)),D501+G501,"")</f>
        <v/>
      </c>
      <c r="I501" s="20">
        <f>IFERROR(D501/H501,"")</f>
        <v/>
      </c>
      <c r="J501" s="18">
        <f>IF(AND(ISNUMBER(D501),ISNUMBER(G501)),D501-G501,"")</f>
        <v/>
      </c>
      <c r="K501" s="45" t="n">
        <v>497.75</v>
      </c>
      <c r="L501" s="45" t="n">
        <v>77907.42999999999</v>
      </c>
      <c r="M501" s="26" t="inlineStr">
        <is>
          <t>27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9"/>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2026-10-27 16:38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23285.99988</v>
      </c>
      <c r="C10" s="66" t="n"/>
      <c r="D10" s="66" t="n"/>
      <c r="E10" s="66" t="n"/>
      <c r="F10" s="67" t="n"/>
    </row>
    <row r="11">
      <c r="A11" s="6" t="inlineStr">
        <is>
          <t>Liquidity ($)</t>
        </is>
      </c>
      <c r="B11" s="19" t="n">
        <v>85940.37416000001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0.089</v>
      </c>
      <c r="D16" s="16" t="n">
        <v>0.099</v>
      </c>
      <c r="E16" s="17">
        <f>IF(COUNT(C16:D16)=2,(C16+D16)/2,"")</f>
        <v/>
      </c>
      <c r="F16" s="17">
        <f>IFERROR(E16/$E$26,"")</f>
        <v/>
      </c>
      <c r="G16" s="20">
        <f>IFERROR(SUM($F$16:F16),"")</f>
        <v/>
      </c>
      <c r="H16" s="19" t="n">
        <v>2074.902519</v>
      </c>
      <c r="I16" s="19" t="n">
        <v>16185.27797</v>
      </c>
      <c r="J16" s="75">
        <f>IFERROR(F16*B16,"")</f>
        <v/>
      </c>
    </row>
    <row r="17">
      <c r="A17" s="21" t="inlineStr">
        <is>
          <t>Republican 3-6%</t>
        </is>
      </c>
      <c r="B17" s="78" t="n">
        <v>-4.5</v>
      </c>
      <c r="C17" s="16" t="n">
        <v>0.013</v>
      </c>
      <c r="D17" s="16" t="n">
        <v>0.092</v>
      </c>
      <c r="E17" s="17">
        <f>IF(COUNT(C17:D17)=2,(C17+D17)/2,"")</f>
        <v/>
      </c>
      <c r="F17" s="17">
        <f>IFERROR(E17/$E$26,"")</f>
        <v/>
      </c>
      <c r="G17" s="20">
        <f>IFERROR(SUM($F$16:F17),"")</f>
        <v/>
      </c>
      <c r="H17" s="19" t="n">
        <v>1645.132318</v>
      </c>
      <c r="I17" s="19" t="n">
        <v>1633.20653</v>
      </c>
      <c r="J17" s="75">
        <f>IFERROR(F17*B17,"")</f>
        <v/>
      </c>
    </row>
    <row r="18">
      <c r="A18" s="21" t="inlineStr">
        <is>
          <t>Republican 0-3%</t>
        </is>
      </c>
      <c r="B18" s="78" t="n">
        <v>-1.5</v>
      </c>
      <c r="C18" s="16" t="n">
        <v>0.08</v>
      </c>
      <c r="D18" s="16" t="n">
        <v>0.09</v>
      </c>
      <c r="E18" s="17">
        <f>IF(COUNT(C18:D18)=2,(C18+D18)/2,"")</f>
        <v/>
      </c>
      <c r="F18" s="17">
        <f>IFERROR(E18/$E$26,"")</f>
        <v/>
      </c>
      <c r="G18" s="20">
        <f>IFERROR(SUM($F$16:F18),"")</f>
        <v/>
      </c>
      <c r="H18" s="19" t="n">
        <v>1736.365837</v>
      </c>
      <c r="I18" s="19" t="n">
        <v>12414.6753</v>
      </c>
      <c r="J18" s="75">
        <f>IFERROR(F18*B18,"")</f>
        <v/>
      </c>
    </row>
    <row r="19">
      <c r="A19" s="15" t="inlineStr">
        <is>
          <t>Democrat 0-3%</t>
        </is>
      </c>
      <c r="B19" s="78" t="n">
        <v>1.5</v>
      </c>
      <c r="C19" s="16" t="n">
        <v>0.1</v>
      </c>
      <c r="D19" s="16" t="n">
        <v>0.16</v>
      </c>
      <c r="E19" s="17">
        <f>IF(COUNT(C19:D19)=2,(C19+D19)/2,"")</f>
        <v/>
      </c>
      <c r="F19" s="17">
        <f>IFERROR(E19/$E$26,"")</f>
        <v/>
      </c>
      <c r="G19" s="20">
        <f>IFERROR(SUM($F$16:F19),"")</f>
        <v/>
      </c>
      <c r="H19" s="19" t="n">
        <v>4670.172591</v>
      </c>
      <c r="I19" s="19" t="n">
        <v>2405.1892</v>
      </c>
      <c r="J19" s="75">
        <f>IFERROR(F19*B19,"")</f>
        <v/>
      </c>
    </row>
    <row r="20">
      <c r="A20" s="15" t="inlineStr">
        <is>
          <t>Democrat 3-6%</t>
        </is>
      </c>
      <c r="B20" s="78" t="n">
        <v>4.5</v>
      </c>
      <c r="C20" s="16" t="n">
        <v>0.32</v>
      </c>
      <c r="D20" s="16" t="n">
        <v>0.34</v>
      </c>
      <c r="E20" s="17">
        <f>IF(COUNT(C20:D20)=2,(C20+D20)/2,"")</f>
        <v/>
      </c>
      <c r="F20" s="17">
        <f>IFERROR(E20/$E$26,"")</f>
        <v/>
      </c>
      <c r="G20" s="20">
        <f>IFERROR(SUM($F$16:F20),"")</f>
        <v/>
      </c>
      <c r="H20" s="19" t="n">
        <v>4209.805284</v>
      </c>
      <c r="I20" s="19" t="n">
        <v>24083.0831</v>
      </c>
      <c r="J20" s="75">
        <f>IFERROR(F20*B20,"")</f>
        <v/>
      </c>
    </row>
    <row r="21">
      <c r="A21" s="15" t="inlineStr">
        <is>
          <t>Democrat 6-9%</t>
        </is>
      </c>
      <c r="B21" s="78" t="n">
        <v>7.5</v>
      </c>
      <c r="C21" s="16" t="n">
        <v>0.161</v>
      </c>
      <c r="D21" s="16" t="n">
        <v>0.18</v>
      </c>
      <c r="E21" s="17">
        <f>IF(COUNT(C21:D21)=2,(C21+D21)/2,"")</f>
        <v/>
      </c>
      <c r="F21" s="17">
        <f>IFERROR(E21/$E$26,"")</f>
        <v/>
      </c>
      <c r="G21" s="20">
        <f>IFERROR(SUM($F$16:F21),"")</f>
        <v/>
      </c>
      <c r="H21" s="19" t="n">
        <v>3294.253183</v>
      </c>
      <c r="I21" s="19" t="n">
        <v>12280.39129</v>
      </c>
      <c r="J21" s="75">
        <f>IFERROR(F21*B21,"")</f>
        <v/>
      </c>
    </row>
    <row r="22">
      <c r="A22" s="15" t="inlineStr">
        <is>
          <t>Democrat 9-12%</t>
        </is>
      </c>
      <c r="B22" s="78" t="n">
        <v>10.5</v>
      </c>
      <c r="C22" s="16" t="n">
        <v>0.02</v>
      </c>
      <c r="D22" s="16" t="n">
        <v>0.102</v>
      </c>
      <c r="E22" s="17">
        <f>IF(COUNT(C22:D22)=2,(C22+D22)/2,"")</f>
        <v/>
      </c>
      <c r="F22" s="17">
        <f>IFERROR(E22/$E$26,"")</f>
        <v/>
      </c>
      <c r="G22" s="20">
        <f>IFERROR(SUM($F$16:F22),"")</f>
        <v/>
      </c>
      <c r="H22" s="19" t="n">
        <v>1347.612985</v>
      </c>
      <c r="I22" s="19" t="n">
        <v>1807.06896</v>
      </c>
      <c r="J22" s="75">
        <f>IFERROR(F22*B22,"")</f>
        <v/>
      </c>
    </row>
    <row r="23">
      <c r="A23" s="15" t="inlineStr">
        <is>
          <t>Democrat 12-15%</t>
        </is>
      </c>
      <c r="B23" s="78" t="n">
        <v>13.5</v>
      </c>
      <c r="C23" s="16" t="n">
        <v>0.065</v>
      </c>
      <c r="D23" s="16" t="n">
        <v>0.08799999999999999</v>
      </c>
      <c r="E23" s="17">
        <f>IF(COUNT(C23:D23)=2,(C23+D23)/2,"")</f>
        <v/>
      </c>
      <c r="F23" s="17">
        <f>IFERROR(E23/$E$26,"")</f>
        <v/>
      </c>
      <c r="G23" s="20">
        <f>IFERROR(SUM($F$16:F23),"")</f>
        <v/>
      </c>
      <c r="H23" s="19" t="n">
        <v>1567.126228</v>
      </c>
      <c r="I23" s="19" t="n">
        <v>12053.20138</v>
      </c>
      <c r="J23" s="75">
        <f>IFERROR(F23*B23,"")</f>
        <v/>
      </c>
    </row>
    <row r="24">
      <c r="A24" s="15" t="inlineStr">
        <is>
          <t>Democrat 15-18%</t>
        </is>
      </c>
      <c r="B24" s="78" t="n">
        <v>16.5</v>
      </c>
      <c r="C24" s="16" t="n">
        <v>0.013</v>
      </c>
      <c r="D24" s="16" t="n">
        <v>0.14</v>
      </c>
      <c r="E24" s="17">
        <f>IF(COUNT(C24:D24)=2,(C24+D24)/2,"")</f>
        <v/>
      </c>
      <c r="F24" s="17">
        <f>IFERROR(E24/$E$26,"")</f>
        <v/>
      </c>
      <c r="G24" s="20">
        <f>IFERROR(SUM($F$16:F24),"")</f>
        <v/>
      </c>
      <c r="H24" s="19" t="n">
        <v>1491.550055</v>
      </c>
      <c r="I24" s="19" t="n">
        <v>1058.48498</v>
      </c>
      <c r="J24" s="75">
        <f>IFERROR(F24*B24,"")</f>
        <v/>
      </c>
    </row>
    <row r="25">
      <c r="A25" s="15" t="inlineStr">
        <is>
          <t>Democrat 18%+</t>
        </is>
      </c>
      <c r="B25" s="78" t="n">
        <v>20</v>
      </c>
      <c r="C25" s="16" t="n">
        <v>0.003</v>
      </c>
      <c r="D25" s="16" t="n">
        <v>0.092</v>
      </c>
      <c r="E25" s="17">
        <f>IF(COUNT(C25:D25)=2,(C25+D25)/2,"")</f>
        <v/>
      </c>
      <c r="F25" s="17">
        <f>IFERROR(E25/$E$26,"")</f>
        <v/>
      </c>
      <c r="G25" s="20">
        <f>IFERROR(SUM($F$16:F25),"")</f>
        <v/>
      </c>
      <c r="H25" s="19" t="n">
        <v>1249.07888</v>
      </c>
      <c r="I25" s="19" t="n">
        <v>1980.35544</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0.008999999999999999</v>
      </c>
      <c r="C116" s="28" t="n"/>
      <c r="D116" s="28" t="n"/>
      <c r="E116" s="28" t="n"/>
      <c r="F116" s="28" t="n">
        <v>0.32</v>
      </c>
      <c r="G116" s="28" t="n"/>
      <c r="H116" s="28" t="n"/>
      <c r="I116" s="28" t="n">
        <v>0.07099999999999999</v>
      </c>
      <c r="J116" s="28" t="n">
        <v>0.1535</v>
      </c>
      <c r="K116" s="28" t="n"/>
    </row>
    <row r="117">
      <c r="A117" s="39" t="n">
        <v>46321</v>
      </c>
      <c r="B117" s="16" t="n"/>
      <c r="C117" s="16" t="n"/>
      <c r="D117" s="16" t="n"/>
      <c r="E117" s="16" t="n">
        <v>0.14</v>
      </c>
      <c r="F117" s="16" t="n"/>
      <c r="G117" s="16" t="n"/>
      <c r="H117" s="16" t="n"/>
      <c r="I117" s="16" t="n"/>
      <c r="J117" s="16" t="n"/>
      <c r="K117" s="16" t="n"/>
    </row>
    <row r="118">
      <c r="A118" s="41" t="n">
        <v>46322</v>
      </c>
      <c r="B118" s="28" t="n">
        <v>0.094</v>
      </c>
      <c r="C118" s="28" t="n">
        <v>0.0525</v>
      </c>
      <c r="D118" s="28" t="n">
        <v>0.08500000000000001</v>
      </c>
      <c r="E118" s="28" t="n">
        <v>0.13</v>
      </c>
      <c r="F118" s="28" t="n">
        <v>0.33</v>
      </c>
      <c r="G118" s="28" t="n">
        <v>0.171</v>
      </c>
      <c r="H118" s="28" t="n">
        <v>0.061</v>
      </c>
      <c r="I118" s="28" t="n">
        <v>0.0765</v>
      </c>
      <c r="J118" s="28" t="n">
        <v>0.0765</v>
      </c>
      <c r="K118" s="28" t="n">
        <v>0.047</v>
      </c>
    </row>
    <row r="119">
      <c r="A119" s="2" t="inlineStr">
        <is>
          <t>All ten brackets, daily closes from CLOB /prices-history at fidelity=1440. The market opened 11 Aug 2026, so the series is only 76 days long and the brackets are thin — read it as a sanity check on the ladder above, not as a trend.</t>
        </is>
      </c>
    </row>
  </sheetData>
  <mergeCells count="10">
    <mergeCell ref="A119:K119"/>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3"/>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2026-10-27 16:38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39" t="n">
        <v>46322</v>
      </c>
      <c r="B92" s="16" t="n">
        <v>0.9550000000000001</v>
      </c>
      <c r="C92" s="16" t="n">
        <v>0.8100000000000001</v>
      </c>
      <c r="D92" s="16" t="n">
        <v>0.6599999999999999</v>
      </c>
      <c r="E92" s="16" t="n">
        <v>0.42</v>
      </c>
      <c r="F92" s="16" t="n">
        <v>0.35</v>
      </c>
      <c r="G92" s="16" t="n">
        <v>0.24</v>
      </c>
      <c r="H92" s="16" t="n">
        <v>0.16</v>
      </c>
      <c r="I92" s="16" t="n">
        <v>0.13</v>
      </c>
    </row>
    <row r="93">
      <c r="A93" s="2" t="inlineStr">
        <is>
          <t>Columns are nested, not exclusive: each is P(turnout ≥ that threshold), so within a row they must fall from left to right. Kalshi began quoting this ladder on 2026-05-08.</t>
        </is>
      </c>
    </row>
  </sheetData>
  <mergeCells count="7">
    <mergeCell ref="A93:J93"/>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102"/>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2026-10-27 16:38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v>0.01</v>
      </c>
      <c r="D13" s="16" t="n">
        <v>0.98</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0.93</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0.8100000000000001</v>
      </c>
      <c r="E16" s="20">
        <f>IF(ISNUMBER(D16),1-D16,"")</f>
        <v/>
      </c>
      <c r="F16" s="17">
        <f>IF(COUNT(C16,E16)=2,(C16+E16)/2,IF(ISNUMBER(E16),E16/2,""))</f>
        <v/>
      </c>
      <c r="G16" s="17">
        <f>IFERROR(F16/$F$21,"")</f>
        <v/>
      </c>
      <c r="H16" s="20">
        <f>IFERROR(SUM($G$13:G16),"")</f>
        <v/>
      </c>
      <c r="I16" s="75">
        <f>IFERROR(G16*B16,"")</f>
        <v/>
      </c>
    </row>
    <row r="17">
      <c r="A17" s="22" t="inlineStr">
        <is>
          <t>10</t>
        </is>
      </c>
      <c r="B17" s="45" t="n">
        <v>10</v>
      </c>
      <c r="C17" s="16" t="n">
        <v>0.32</v>
      </c>
      <c r="D17" s="16" t="n">
        <v>0.67</v>
      </c>
      <c r="E17" s="20">
        <f>IF(ISNUMBER(D17),1-D17,"")</f>
        <v/>
      </c>
      <c r="F17" s="17">
        <f>IF(COUNT(C17,E17)=2,(C17+E17)/2,IF(ISNUMBER(E17),E17/2,""))</f>
        <v/>
      </c>
      <c r="G17" s="17">
        <f>IFERROR(F17/$F$21,"")</f>
        <v/>
      </c>
      <c r="H17" s="20">
        <f>IFERROR(SUM($G$13:G17),"")</f>
        <v/>
      </c>
      <c r="I17" s="75">
        <f>IFERROR(G17*B17,"")</f>
        <v/>
      </c>
    </row>
    <row r="18">
      <c r="A18" s="22" t="inlineStr">
        <is>
          <t>11</t>
        </is>
      </c>
      <c r="B18" s="45" t="n">
        <v>11</v>
      </c>
      <c r="C18" s="16" t="n">
        <v>0.33</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0.03</v>
      </c>
      <c r="D19" s="16" t="n">
        <v>0.9399999999999999</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0.96</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39" t="n">
        <v>46320</v>
      </c>
      <c r="B99" s="16" t="n"/>
      <c r="C99" s="16" t="n">
        <v>0.03</v>
      </c>
      <c r="D99" s="16" t="n">
        <v>0.05500000000000001</v>
      </c>
      <c r="E99" s="16" t="n">
        <v>0.185</v>
      </c>
      <c r="F99" s="16" t="n">
        <v>0.315</v>
      </c>
      <c r="G99" s="16" t="n">
        <v>0.34</v>
      </c>
      <c r="H99" s="16" t="n">
        <v>0.025</v>
      </c>
      <c r="I99" s="16" t="n">
        <v>0.02</v>
      </c>
    </row>
    <row r="100">
      <c r="A100" s="41" t="n">
        <v>46321</v>
      </c>
      <c r="B100" s="28" t="n"/>
      <c r="C100" s="28" t="n">
        <v>0.025</v>
      </c>
      <c r="D100" s="28" t="n">
        <v>0.06</v>
      </c>
      <c r="E100" s="28" t="n">
        <v>0.18</v>
      </c>
      <c r="F100" s="28" t="n">
        <v>0.32</v>
      </c>
      <c r="G100" s="28" t="n">
        <v>0.34</v>
      </c>
      <c r="H100" s="28" t="n">
        <v>0.025</v>
      </c>
      <c r="I100" s="28" t="n">
        <v>0.015</v>
      </c>
      <c r="J100" s="88" t="n"/>
    </row>
    <row r="101">
      <c r="A101" s="39" t="n">
        <v>46322</v>
      </c>
      <c r="B101" s="16" t="n">
        <v>0.005</v>
      </c>
      <c r="C101" s="16" t="n">
        <v>0.035</v>
      </c>
      <c r="D101" s="16" t="n">
        <v>0.04500000000000001</v>
      </c>
      <c r="E101" s="16" t="n">
        <v>0.185</v>
      </c>
      <c r="F101" s="16" t="n">
        <v>0.325</v>
      </c>
      <c r="G101" s="16" t="n">
        <v>0.335</v>
      </c>
      <c r="H101" s="16" t="n">
        <v>0.025</v>
      </c>
      <c r="I101" s="16" t="n">
        <v>0.04</v>
      </c>
    </row>
    <row r="102">
      <c r="A102" s="2" t="inlineStr">
        <is>
          <t>Kalshi began quoting this ladder on 20 Aug 2026, so the history is only 69 days long. Values are the mid of the daily closing YES bid and the ask derived from the closing NO bid; where only one side closed, the same fallback as the live ladder applies.</t>
        </is>
      </c>
    </row>
  </sheetData>
  <mergeCells count="7">
    <mergeCell ref="A102:J102"/>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2026-10-27 16:38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46322</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2026-10-27 16:38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IFERROR(IF(INDEX(Polymarket!$B$25:$B$316,MATCH($A36,Polymarket!$A$25:$A$316,0))=0,"",INDEX(Polymarket!$B$25:$B$316,MATCH($A36,Polymarket!$A$25:$A$316,0))),"")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IFERROR(IF(INDEX(Polymarket!$B$25:$B$316,MATCH($A37,Polymarket!$A$25:$A$316,0))=0,"",INDEX(Polymarket!$B$25:$B$316,MATCH($A37,Polymarket!$A$25:$A$316,0))),"")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IFERROR(IF(INDEX(Polymarket!$B$25:$B$316,MATCH($A38,Polymarket!$A$25:$A$316,0))=0,"",INDEX(Polymarket!$B$25:$B$316,MATCH($A38,Polymarket!$A$25:$A$316,0))),"")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IFERROR(IF(INDEX(Polymarket!$B$25:$B$316,MATCH($A39,Polymarket!$A$25:$A$316,0))=0,"",INDEX(Polymarket!$B$25:$B$316,MATCH($A39,Polymarket!$A$25:$A$316,0))),"")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IFERROR(IF(INDEX(Polymarket!$B$25:$B$316,MATCH($A40,Polymarket!$A$25:$A$316,0))=0,"",INDEX(Polymarket!$B$25:$B$316,MATCH($A40,Polymarket!$A$25:$A$316,0))),"")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IFERROR(IF(INDEX(Polymarket!$B$25:$B$316,MATCH($A41,Polymarket!$A$25:$A$316,0))=0,"",INDEX(Polymarket!$B$25:$B$316,MATCH($A41,Polymarket!$A$25:$A$316,0))),"")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IFERROR(IF(INDEX(Polymarket!$B$25:$B$316,MATCH($A42,Polymarket!$A$25:$A$316,0))=0,"",INDEX(Polymarket!$B$25:$B$316,MATCH($A42,Polymarket!$A$25:$A$316,0))),"")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IFERROR(IF(INDEX(Polymarket!$B$25:$B$316,MATCH($A43,Polymarket!$A$25:$A$316,0))=0,"",INDEX(Polymarket!$B$25:$B$316,MATCH($A43,Polymarket!$A$25:$A$316,0))),"")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IFERROR(IF(INDEX(Polymarket!$B$25:$B$316,MATCH($A44,Polymarket!$A$25:$A$316,0))=0,"",INDEX(Polymarket!$B$25:$B$316,MATCH($A44,Polymarket!$A$25:$A$316,0))),"")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IFERROR(IF(INDEX(Polymarket!$B$25:$B$316,MATCH($A45,Polymarket!$A$25:$A$316,0))=0,"",INDEX(Polymarket!$B$25:$B$316,MATCH($A45,Polymarket!$A$25:$A$316,0))),"")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IFERROR(IF(INDEX(Polymarket!$B$25:$B$316,MATCH($A46,Polymarket!$A$25:$A$316,0))=0,"",INDEX(Polymarket!$B$25:$B$316,MATCH($A46,Polymarket!$A$25:$A$316,0))),"")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IFERROR(IF(INDEX(Polymarket!$B$25:$B$316,MATCH($A47,Polymarket!$A$25:$A$316,0))=0,"",INDEX(Polymarket!$B$25:$B$316,MATCH($A47,Polymarket!$A$25:$A$316,0))),"")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IFERROR(IF(INDEX(Polymarket!$B$25:$B$316,MATCH($A48,Polymarket!$A$25:$A$316,0))=0,"",INDEX(Polymarket!$B$25:$B$316,MATCH($A48,Polymarket!$A$25:$A$316,0))),"")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IFERROR(IF(INDEX(Polymarket!$B$25:$B$316,MATCH($A49,Polymarket!$A$25:$A$316,0))=0,"",INDEX(Polymarket!$B$25:$B$316,MATCH($A49,Polymarket!$A$25:$A$316,0))),"")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IFERROR(IF(INDEX(Polymarket!$B$25:$B$316,MATCH($A50,Polymarket!$A$25:$A$316,0))=0,"",INDEX(Polymarket!$B$25:$B$316,MATCH($A50,Polymarket!$A$25:$A$316,0))),"")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IFERROR(IF(INDEX(Polymarket!$B$25:$B$316,MATCH($A51,Polymarket!$A$25:$A$316,0))=0,"",INDEX(Polymarket!$B$25:$B$316,MATCH($A51,Polymarket!$A$25:$A$316,0))),"")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IFERROR(IF(INDEX(Polymarket!$B$25:$B$316,MATCH($A52,Polymarket!$A$25:$A$316,0))=0,"",INDEX(Polymarket!$B$25:$B$316,MATCH($A52,Polymarket!$A$25:$A$316,0))),"")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IFERROR(IF(INDEX(Polymarket!$B$25:$B$316,MATCH($A53,Polymarket!$A$25:$A$316,0))=0,"",INDEX(Polymarket!$B$25:$B$316,MATCH($A53,Polymarket!$A$25:$A$316,0))),"")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IFERROR(IF(INDEX(Polymarket!$B$25:$B$316,MATCH($A54,Polymarket!$A$25:$A$316,0))=0,"",INDEX(Polymarket!$B$25:$B$316,MATCH($A54,Polymarket!$A$25:$A$316,0))),"")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IFERROR(IF(INDEX(Polymarket!$B$25:$B$316,MATCH($A55,Polymarket!$A$25:$A$316,0))=0,"",INDEX(Polymarket!$B$25:$B$316,MATCH($A55,Polymarket!$A$25:$A$316,0))),"")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IFERROR(IF(INDEX(Polymarket!$B$25:$B$316,MATCH($A56,Polymarket!$A$25:$A$316,0))=0,"",INDEX(Polymarket!$B$25:$B$316,MATCH($A56,Polymarket!$A$25:$A$316,0))),"")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IFERROR(IF(INDEX(Polymarket!$B$25:$B$316,MATCH($A57,Polymarket!$A$25:$A$316,0))=0,"",INDEX(Polymarket!$B$25:$B$316,MATCH($A57,Polymarket!$A$25:$A$316,0))),"")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IFERROR(IF(INDEX(Polymarket!$B$25:$B$316,MATCH($A58,Polymarket!$A$25:$A$316,0))=0,"",INDEX(Polymarket!$B$25:$B$316,MATCH($A58,Polymarket!$A$25:$A$316,0))),"")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IFERROR(IF(INDEX(Polymarket!$B$25:$B$316,MATCH($A59,Polymarket!$A$25:$A$316,0))=0,"",INDEX(Polymarket!$B$25:$B$316,MATCH($A59,Polymarket!$A$25:$A$316,0))),"")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IFERROR(IF(INDEX(Polymarket!$B$25:$B$316,MATCH($A60,Polymarket!$A$25:$A$316,0))=0,"",INDEX(Polymarket!$B$25:$B$316,MATCH($A60,Polymarket!$A$25:$A$316,0))),"")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IFERROR(IF(INDEX(Polymarket!$B$25:$B$316,MATCH($A61,Polymarket!$A$25:$A$316,0))=0,"",INDEX(Polymarket!$B$25:$B$316,MATCH($A61,Polymarket!$A$25:$A$316,0))),"")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IFERROR(IF(INDEX(Polymarket!$B$25:$B$316,MATCH($A62,Polymarket!$A$25:$A$316,0))=0,"",INDEX(Polymarket!$B$25:$B$316,MATCH($A62,Polymarket!$A$25:$A$316,0))),"")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IFERROR(IF(INDEX(Polymarket!$B$25:$B$316,MATCH($A63,Polymarket!$A$25:$A$316,0))=0,"",INDEX(Polymarket!$B$25:$B$316,MATCH($A63,Polymarket!$A$25:$A$316,0))),"")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IFERROR(IF(INDEX(Polymarket!$B$25:$B$316,MATCH($A64,Polymarket!$A$25:$A$316,0))=0,"",INDEX(Polymarket!$B$25:$B$316,MATCH($A64,Polymarket!$A$25:$A$316,0))),"")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IFERROR(IF(INDEX(Polymarket!$B$25:$B$316,MATCH($A65,Polymarket!$A$25:$A$316,0))=0,"",INDEX(Polymarket!$B$25:$B$316,MATCH($A65,Polymarket!$A$25:$A$316,0))),"")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IFERROR(IF(INDEX(Polymarket!$B$25:$B$316,MATCH($A66,Polymarket!$A$25:$A$316,0))=0,"",INDEX(Polymarket!$B$25:$B$316,MATCH($A66,Polymarket!$A$25:$A$316,0))),"")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IFERROR(IF(INDEX(Polymarket!$B$25:$B$316,MATCH($A67,Polymarket!$A$25:$A$316,0))=0,"",INDEX(Polymarket!$B$25:$B$316,MATCH($A67,Polymarket!$A$25:$A$316,0))),"")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IFERROR(IF(INDEX(Polymarket!$B$25:$B$316,MATCH($A68,Polymarket!$A$25:$A$316,0))=0,"",INDEX(Polymarket!$B$25:$B$316,MATCH($A68,Polymarket!$A$25:$A$316,0))),"")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IFERROR(IF(INDEX(Polymarket!$B$25:$B$316,MATCH($A69,Polymarket!$A$25:$A$316,0))=0,"",INDEX(Polymarket!$B$25:$B$316,MATCH($A69,Polymarket!$A$25:$A$316,0))),"")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IFERROR(IF(INDEX(Polymarket!$B$25:$B$316,MATCH($A70,Polymarket!$A$25:$A$316,0))=0,"",INDEX(Polymarket!$B$25:$B$316,MATCH($A70,Polymarket!$A$25:$A$316,0))),"")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IFERROR(IF(INDEX(Polymarket!$B$25:$B$316,MATCH($A71,Polymarket!$A$25:$A$316,0))=0,"",INDEX(Polymarket!$B$25:$B$316,MATCH($A71,Polymarket!$A$25:$A$316,0))),"")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IFERROR(IF(INDEX(Polymarket!$B$25:$B$316,MATCH($A72,Polymarket!$A$25:$A$316,0))=0,"",INDEX(Polymarket!$B$25:$B$316,MATCH($A72,Polymarket!$A$25:$A$316,0))),"")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IFERROR(IF(INDEX(Polymarket!$B$25:$B$316,MATCH($A73,Polymarket!$A$25:$A$316,0))=0,"",INDEX(Polymarket!$B$25:$B$316,MATCH($A73,Polymarket!$A$25:$A$316,0))),"")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IFERROR(IF(INDEX(Polymarket!$B$25:$B$316,MATCH($A74,Polymarket!$A$25:$A$316,0))=0,"",INDEX(Polymarket!$B$25:$B$316,MATCH($A74,Polymarket!$A$25:$A$316,0))),"")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IFERROR(IF(INDEX(Polymarket!$B$25:$B$316,MATCH($A75,Polymarket!$A$25:$A$316,0))=0,"",INDEX(Polymarket!$B$25:$B$316,MATCH($A75,Polymarket!$A$25:$A$316,0))),"")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IFERROR(IF(INDEX(Polymarket!$B$25:$B$316,MATCH($A76,Polymarket!$A$25:$A$316,0))=0,"",INDEX(Polymarket!$B$25:$B$316,MATCH($A76,Polymarket!$A$25:$A$316,0))),"")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IFERROR(IF(INDEX(Polymarket!$B$25:$B$316,MATCH($A77,Polymarket!$A$25:$A$316,0))=0,"",INDEX(Polymarket!$B$25:$B$316,MATCH($A77,Polymarket!$A$25:$A$316,0))),"")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IFERROR(IF(INDEX(Polymarket!$B$25:$B$316,MATCH($A78,Polymarket!$A$25:$A$316,0))=0,"",INDEX(Polymarket!$B$25:$B$316,MATCH($A78,Polymarket!$A$25:$A$316,0))),"")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IFERROR(IF(INDEX(Polymarket!$B$25:$B$316,MATCH($A79,Polymarket!$A$25:$A$316,0))=0,"",INDEX(Polymarket!$B$25:$B$316,MATCH($A79,Polymarket!$A$25:$A$316,0))),"")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IFERROR(IF(INDEX(Polymarket!$B$25:$B$316,MATCH($A80,Polymarket!$A$25:$A$316,0))=0,"",INDEX(Polymarket!$B$25:$B$316,MATCH($A80,Polymarket!$A$25:$A$316,0))),"")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IFERROR(IF(INDEX(Polymarket!$B$25:$B$316,MATCH($A81,Polymarket!$A$25:$A$316,0))=0,"",INDEX(Polymarket!$B$25:$B$316,MATCH($A81,Polymarket!$A$25:$A$316,0))),"")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IFERROR(IF(INDEX(Polymarket!$B$25:$B$316,MATCH($A82,Polymarket!$A$25:$A$316,0))=0,"",INDEX(Polymarket!$B$25:$B$316,MATCH($A82,Polymarket!$A$25:$A$316,0))),"")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IFERROR(IF(INDEX(Polymarket!$B$25:$B$316,MATCH($A83,Polymarket!$A$25:$A$316,0))=0,"",INDEX(Polymarket!$B$25:$B$316,MATCH($A83,Polymarket!$A$25:$A$316,0))),"")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IFERROR(IF(INDEX(Polymarket!$B$25:$B$316,MATCH($A84,Polymarket!$A$25:$A$316,0))=0,"",INDEX(Polymarket!$B$25:$B$316,MATCH($A84,Polymarket!$A$25:$A$316,0))),"")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IFERROR(IF(INDEX(Polymarket!$B$25:$B$316,MATCH($A85,Polymarket!$A$25:$A$316,0))=0,"",INDEX(Polymarket!$B$25:$B$316,MATCH($A85,Polymarket!$A$25:$A$316,0))),"")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IFERROR(IF(INDEX(Polymarket!$B$25:$B$316,MATCH($A86,Polymarket!$A$25:$A$316,0))=0,"",INDEX(Polymarket!$B$25:$B$316,MATCH($A86,Polymarket!$A$25:$A$316,0))),"")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IFERROR(IF(INDEX(Polymarket!$B$25:$B$316,MATCH($A87,Polymarket!$A$25:$A$316,0))=0,"",INDEX(Polymarket!$B$25:$B$316,MATCH($A87,Polymarket!$A$25:$A$316,0))),"")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IFERROR(IF(INDEX(Polymarket!$B$25:$B$316,MATCH($A88,Polymarket!$A$25:$A$316,0))=0,"",INDEX(Polymarket!$B$25:$B$316,MATCH($A88,Polymarket!$A$25:$A$316,0))),"")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IFERROR(IF(INDEX(Polymarket!$B$25:$B$316,MATCH($A89,Polymarket!$A$25:$A$316,0))=0,"",INDEX(Polymarket!$B$25:$B$316,MATCH($A89,Polymarket!$A$25:$A$316,0))),"")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IFERROR(IF(INDEX(Polymarket!$B$25:$B$316,MATCH($A90,Polymarket!$A$25:$A$316,0))=0,"",INDEX(Polymarket!$B$25:$B$316,MATCH($A90,Polymarket!$A$25:$A$316,0))),"")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IFERROR(IF(INDEX(Polymarket!$B$25:$B$316,MATCH($A91,Polymarket!$A$25:$A$316,0))=0,"",INDEX(Polymarket!$B$25:$B$316,MATCH($A91,Polymarket!$A$25:$A$316,0))),"")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IFERROR(IF(INDEX(Polymarket!$B$25:$B$316,MATCH($A92,Polymarket!$A$25:$A$316,0))=0,"",INDEX(Polymarket!$B$25:$B$316,MATCH($A92,Polymarket!$A$25:$A$316,0))),"")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IFERROR(IF(INDEX(Polymarket!$B$25:$B$316,MATCH($A93,Polymarket!$A$25:$A$316,0))=0,"",INDEX(Polymarket!$B$25:$B$316,MATCH($A93,Polymarket!$A$25:$A$316,0))),"")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IFERROR(IF(INDEX(Polymarket!$B$25:$B$316,MATCH($A94,Polymarket!$A$25:$A$316,0))=0,"",INDEX(Polymarket!$B$25:$B$316,MATCH($A94,Polymarket!$A$25:$A$316,0))),"")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IFERROR(IF(INDEX(Polymarket!$B$25:$B$316,MATCH($A95,Polymarket!$A$25:$A$316,0))=0,"",INDEX(Polymarket!$B$25:$B$316,MATCH($A95,Polymarket!$A$25:$A$316,0))),"")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IFERROR(IF(INDEX(Polymarket!$B$25:$B$316,MATCH($A96,Polymarket!$A$25:$A$316,0))=0,"",INDEX(Polymarket!$B$25:$B$316,MATCH($A96,Polymarket!$A$25:$A$316,0))),"")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IFERROR(IF(INDEX(Polymarket!$B$25:$B$316,MATCH($A97,Polymarket!$A$25:$A$316,0))=0,"",INDEX(Polymarket!$B$25:$B$316,MATCH($A97,Polymarket!$A$25:$A$316,0))),"")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IFERROR(IF(INDEX(Polymarket!$B$25:$B$316,MATCH($A98,Polymarket!$A$25:$A$316,0))=0,"",INDEX(Polymarket!$B$25:$B$316,MATCH($A98,Polymarket!$A$25:$A$316,0))),"")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IFERROR(IF(INDEX(Polymarket!$B$25:$B$316,MATCH($A99,Polymarket!$A$25:$A$316,0))=0,"",INDEX(Polymarket!$B$25:$B$316,MATCH($A99,Polymarket!$A$25:$A$316,0))),"")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IFERROR(IF(INDEX(Polymarket!$B$25:$B$316,MATCH($A100,Polymarket!$A$25:$A$316,0))=0,"",INDEX(Polymarket!$B$25:$B$316,MATCH($A100,Polymarket!$A$25:$A$316,0))),"")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IFERROR(IF(INDEX(Polymarket!$B$25:$B$316,MATCH($A101,Polymarket!$A$25:$A$316,0))=0,"",INDEX(Polymarket!$B$25:$B$316,MATCH($A101,Polymarket!$A$25:$A$316,0))),"")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IFERROR(IF(INDEX(Polymarket!$B$25:$B$316,MATCH($A102,Polymarket!$A$25:$A$316,0))=0,"",INDEX(Polymarket!$B$25:$B$316,MATCH($A102,Polymarket!$A$25:$A$316,0))),"")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IFERROR(IF(INDEX(Polymarket!$B$25:$B$316,MATCH($A103,Polymarket!$A$25:$A$316,0))=0,"",INDEX(Polymarket!$B$25:$B$316,MATCH($A103,Polymarket!$A$25:$A$316,0))),"")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IFERROR(IF(INDEX(Polymarket!$B$25:$B$316,MATCH($A104,Polymarket!$A$25:$A$316,0))=0,"",INDEX(Polymarket!$B$25:$B$316,MATCH($A104,Polymarket!$A$25:$A$316,0))),"")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IFERROR(IF(INDEX(Polymarket!$B$25:$B$316,MATCH($A105,Polymarket!$A$25:$A$316,0))=0,"",INDEX(Polymarket!$B$25:$B$316,MATCH($A105,Polymarket!$A$25:$A$316,0))),"")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IFERROR(IF(INDEX(Polymarket!$B$25:$B$316,MATCH($A106,Polymarket!$A$25:$A$316,0))=0,"",INDEX(Polymarket!$B$25:$B$316,MATCH($A106,Polymarket!$A$25:$A$316,0))),"")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IFERROR(IF(INDEX(Polymarket!$B$25:$B$316,MATCH($A107,Polymarket!$A$25:$A$316,0))=0,"",INDEX(Polymarket!$B$25:$B$316,MATCH($A107,Polymarket!$A$25:$A$316,0))),"")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IFERROR(IF(INDEX(Polymarket!$B$25:$B$316,MATCH($A108,Polymarket!$A$25:$A$316,0))=0,"",INDEX(Polymarket!$B$25:$B$316,MATCH($A108,Polymarket!$A$25:$A$316,0))),"")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IFERROR(IF(INDEX(Polymarket!$B$25:$B$316,MATCH($A109,Polymarket!$A$25:$A$316,0))=0,"",INDEX(Polymarket!$B$25:$B$316,MATCH($A109,Polymarket!$A$25:$A$316,0))),"")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IFERROR(IF(INDEX(Polymarket!$B$25:$B$316,MATCH($A110,Polymarket!$A$25:$A$316,0))=0,"",INDEX(Polymarket!$B$25:$B$316,MATCH($A110,Polymarket!$A$25:$A$316,0))),"")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IFERROR(IF(INDEX(Polymarket!$B$25:$B$316,MATCH($A111,Polymarket!$A$25:$A$316,0))=0,"",INDEX(Polymarket!$B$25:$B$316,MATCH($A111,Polymarket!$A$25:$A$316,0))),"")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IFERROR(IF(INDEX(Polymarket!$B$25:$B$316,MATCH($A112,Polymarket!$A$25:$A$316,0))=0,"",INDEX(Polymarket!$B$25:$B$316,MATCH($A112,Polymarket!$A$25:$A$316,0))),"")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IFERROR(IF(INDEX(Polymarket!$B$25:$B$316,MATCH($A113,Polymarket!$A$25:$A$316,0))=0,"",INDEX(Polymarket!$B$25:$B$316,MATCH($A113,Polymarket!$A$25:$A$316,0))),"")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IFERROR(IF(INDEX(Polymarket!$B$25:$B$316,MATCH($A114,Polymarket!$A$25:$A$316,0))=0,"",INDEX(Polymarket!$B$25:$B$316,MATCH($A114,Polymarket!$A$25:$A$316,0))),"")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IFERROR(IF(INDEX(Polymarket!$B$25:$B$316,MATCH($A115,Polymarket!$A$25:$A$316,0))=0,"",INDEX(Polymarket!$B$25:$B$316,MATCH($A115,Polymarket!$A$25:$A$316,0))),"")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IFERROR(IF(INDEX(Polymarket!$B$25:$B$316,MATCH($A116,Polymarket!$A$25:$A$316,0))=0,"",INDEX(Polymarket!$B$25:$B$316,MATCH($A116,Polymarket!$A$25:$A$316,0))),"")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IFERROR(IF(INDEX(Polymarket!$B$25:$B$316,MATCH($A117,Polymarket!$A$25:$A$316,0))=0,"",INDEX(Polymarket!$B$25:$B$316,MATCH($A117,Polymarket!$A$25:$A$316,0))),"")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IFERROR(IF(INDEX(Polymarket!$B$25:$B$316,MATCH($A118,Polymarket!$A$25:$A$316,0))=0,"",INDEX(Polymarket!$B$25:$B$316,MATCH($A118,Polymarket!$A$25:$A$316,0))),"")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IFERROR(IF(INDEX(Polymarket!$B$25:$B$316,MATCH($A119,Polymarket!$A$25:$A$316,0))=0,"",INDEX(Polymarket!$B$25:$B$316,MATCH($A119,Polymarket!$A$25:$A$316,0))),"")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IFERROR(IF(INDEX(Polymarket!$B$25:$B$316,MATCH($A120,Polymarket!$A$25:$A$316,0))=0,"",INDEX(Polymarket!$B$25:$B$316,MATCH($A120,Polymarket!$A$25:$A$316,0))),"")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IFERROR(IF(INDEX(Polymarket!$B$25:$B$316,MATCH($A121,Polymarket!$A$25:$A$316,0))=0,"",INDEX(Polymarket!$B$25:$B$316,MATCH($A121,Polymarket!$A$25:$A$316,0))),"")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IFERROR(IF(INDEX(Polymarket!$B$25:$B$316,MATCH($A122,Polymarket!$A$25:$A$316,0))=0,"",INDEX(Polymarket!$B$25:$B$316,MATCH($A122,Polymarket!$A$25:$A$316,0))),"")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IFERROR(IF(INDEX(Polymarket!$B$25:$B$316,MATCH($A123,Polymarket!$A$25:$A$316,0))=0,"",INDEX(Polymarket!$B$25:$B$316,MATCH($A123,Polymarket!$A$25:$A$316,0))),"")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IFERROR(IF(INDEX(Polymarket!$B$25:$B$316,MATCH($A124,Polymarket!$A$25:$A$316,0))=0,"",INDEX(Polymarket!$B$25:$B$316,MATCH($A124,Polymarket!$A$25:$A$316,0))),"")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IFERROR(IF(INDEX(Polymarket!$B$25:$B$316,MATCH($A125,Polymarket!$A$25:$A$316,0))=0,"",INDEX(Polymarket!$B$25:$B$316,MATCH($A125,Polymarket!$A$25:$A$316,0))),"")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IFERROR(IF(INDEX(Polymarket!$B$25:$B$316,MATCH($A126,Polymarket!$A$25:$A$316,0))=0,"",INDEX(Polymarket!$B$25:$B$316,MATCH($A126,Polymarket!$A$25:$A$316,0))),"")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IFERROR(IF(INDEX(Polymarket!$B$25:$B$316,MATCH($A127,Polymarket!$A$25:$A$316,0))=0,"",INDEX(Polymarket!$B$25:$B$316,MATCH($A127,Polymarket!$A$25:$A$316,0))),"")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IFERROR(IF(INDEX(Polymarket!$B$25:$B$316,MATCH($A128,Polymarket!$A$25:$A$316,0))=0,"",INDEX(Polymarket!$B$25:$B$316,MATCH($A128,Polymarket!$A$25:$A$316,0))),"")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IFERROR(IF(INDEX(Polymarket!$B$25:$B$316,MATCH($A129,Polymarket!$A$25:$A$316,0))=0,"",INDEX(Polymarket!$B$25:$B$316,MATCH($A129,Polymarket!$A$25:$A$316,0))),"")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IFERROR(IF(INDEX(Polymarket!$B$25:$B$316,MATCH($A130,Polymarket!$A$25:$A$316,0))=0,"",INDEX(Polymarket!$B$25:$B$316,MATCH($A130,Polymarket!$A$25:$A$316,0))),"")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IFERROR(IF(INDEX(Polymarket!$B$25:$B$316,MATCH($A131,Polymarket!$A$25:$A$316,0))=0,"",INDEX(Polymarket!$B$25:$B$316,MATCH($A131,Polymarket!$A$25:$A$316,0))),"")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IFERROR(IF(INDEX(Polymarket!$B$25:$B$316,MATCH($A132,Polymarket!$A$25:$A$316,0))=0,"",INDEX(Polymarket!$B$25:$B$316,MATCH($A132,Polymarket!$A$25:$A$316,0))),"")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IFERROR(IF(INDEX(Polymarket!$B$25:$B$316,MATCH($A133,Polymarket!$A$25:$A$316,0))=0,"",INDEX(Polymarket!$B$25:$B$316,MATCH($A133,Polymarket!$A$25:$A$316,0))),"")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IFERROR(IF(INDEX(Polymarket!$B$25:$B$316,MATCH($A134,Polymarket!$A$25:$A$316,0))=0,"",INDEX(Polymarket!$B$25:$B$316,MATCH($A134,Polymarket!$A$25:$A$316,0))),"")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IFERROR(IF(INDEX(Polymarket!$B$25:$B$316,MATCH($A135,Polymarket!$A$25:$A$316,0))=0,"",INDEX(Polymarket!$B$25:$B$316,MATCH($A135,Polymarket!$A$25:$A$316,0))),"")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IFERROR(IF(INDEX(Polymarket!$B$25:$B$316,MATCH($A136,Polymarket!$A$25:$A$316,0))=0,"",INDEX(Polymarket!$B$25:$B$316,MATCH($A136,Polymarket!$A$25:$A$316,0))),"")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IFERROR(IF(INDEX(Polymarket!$B$25:$B$316,MATCH($A137,Polymarket!$A$25:$A$316,0))=0,"",INDEX(Polymarket!$B$25:$B$316,MATCH($A137,Polymarket!$A$25:$A$316,0))),"")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IFERROR(IF(INDEX(Polymarket!$B$25:$B$316,MATCH($A138,Polymarket!$A$25:$A$316,0))=0,"",INDEX(Polymarket!$B$25:$B$316,MATCH($A138,Polymarket!$A$25:$A$316,0))),"")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IFERROR(IF(INDEX(Polymarket!$B$25:$B$316,MATCH($A139,Polymarket!$A$25:$A$316,0))=0,"",INDEX(Polymarket!$B$25:$B$316,MATCH($A139,Polymarket!$A$25:$A$316,0))),"")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IFERROR(IF(INDEX(Polymarket!$B$25:$B$316,MATCH($A140,Polymarket!$A$25:$A$316,0))=0,"",INDEX(Polymarket!$B$25:$B$316,MATCH($A140,Polymarket!$A$25:$A$316,0))),"")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IFERROR(IF(INDEX(Polymarket!$B$25:$B$316,MATCH($A141,Polymarket!$A$25:$A$316,0))=0,"",INDEX(Polymarket!$B$25:$B$316,MATCH($A141,Polymarket!$A$25:$A$316,0))),"")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IFERROR(IF(INDEX(Polymarket!$B$25:$B$316,MATCH($A142,Polymarket!$A$25:$A$316,0))=0,"",INDEX(Polymarket!$B$25:$B$316,MATCH($A142,Polymarket!$A$25:$A$316,0))),"")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IFERROR(IF(INDEX(Polymarket!$B$25:$B$316,MATCH($A143,Polymarket!$A$25:$A$316,0))=0,"",INDEX(Polymarket!$B$25:$B$316,MATCH($A143,Polymarket!$A$25:$A$316,0))),"")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IFERROR(IF(INDEX(Polymarket!$B$25:$B$316,MATCH($A144,Polymarket!$A$25:$A$316,0))=0,"",INDEX(Polymarket!$B$25:$B$316,MATCH($A144,Polymarket!$A$25:$A$316,0))),"")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IFERROR(IF(INDEX(Polymarket!$B$25:$B$316,MATCH($A145,Polymarket!$A$25:$A$316,0))=0,"",INDEX(Polymarket!$B$25:$B$316,MATCH($A145,Polymarket!$A$25:$A$316,0))),"")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IFERROR(IF(INDEX(Polymarket!$B$25:$B$316,MATCH($A146,Polymarket!$A$25:$A$316,0))=0,"",INDEX(Polymarket!$B$25:$B$316,MATCH($A146,Polymarket!$A$25:$A$316,0))),"")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IFERROR(IF(INDEX(Polymarket!$B$25:$B$316,MATCH($A147,Polymarket!$A$25:$A$316,0))=0,"",INDEX(Polymarket!$B$25:$B$316,MATCH($A147,Polymarket!$A$25:$A$316,0))),"")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IFERROR(IF(INDEX(Polymarket!$B$25:$B$316,MATCH($A148,Polymarket!$A$25:$A$316,0))=0,"",INDEX(Polymarket!$B$25:$B$316,MATCH($A148,Polymarket!$A$25:$A$316,0))),"")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IFERROR(IF(INDEX(Polymarket!$B$25:$B$316,MATCH($A149,Polymarket!$A$25:$A$316,0))=0,"",INDEX(Polymarket!$B$25:$B$316,MATCH($A149,Polymarket!$A$25:$A$316,0))),"")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IFERROR(IF(INDEX(Polymarket!$B$25:$B$316,MATCH($A150,Polymarket!$A$25:$A$316,0))=0,"",INDEX(Polymarket!$B$25:$B$316,MATCH($A150,Polymarket!$A$25:$A$316,0))),"")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IFERROR(IF(INDEX(Polymarket!$B$25:$B$316,MATCH($A151,Polymarket!$A$25:$A$316,0))=0,"",INDEX(Polymarket!$B$25:$B$316,MATCH($A151,Polymarket!$A$25:$A$316,0))),"")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IFERROR(IF(INDEX(Polymarket!$B$25:$B$316,MATCH($A152,Polymarket!$A$25:$A$316,0))=0,"",INDEX(Polymarket!$B$25:$B$316,MATCH($A152,Polymarket!$A$25:$A$316,0))),"")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IFERROR(IF(INDEX(Polymarket!$B$25:$B$316,MATCH($A153,Polymarket!$A$25:$A$316,0))=0,"",INDEX(Polymarket!$B$25:$B$316,MATCH($A153,Polymarket!$A$25:$A$316,0))),"")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IFERROR(IF(INDEX(Polymarket!$B$25:$B$316,MATCH($A154,Polymarket!$A$25:$A$316,0))=0,"",INDEX(Polymarket!$B$25:$B$316,MATCH($A154,Polymarket!$A$25:$A$316,0))),"")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IFERROR(IF(INDEX(Polymarket!$B$25:$B$316,MATCH($A155,Polymarket!$A$25:$A$316,0))=0,"",INDEX(Polymarket!$B$25:$B$316,MATCH($A155,Polymarket!$A$25:$A$316,0))),"")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IFERROR(IF(INDEX(Polymarket!$B$25:$B$316,MATCH($A156,Polymarket!$A$25:$A$316,0))=0,"",INDEX(Polymarket!$B$25:$B$316,MATCH($A156,Polymarket!$A$25:$A$316,0))),"")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IFERROR(IF(INDEX(Polymarket!$B$25:$B$316,MATCH($A157,Polymarket!$A$25:$A$316,0))=0,"",INDEX(Polymarket!$B$25:$B$316,MATCH($A157,Polymarket!$A$25:$A$316,0))),"")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IFERROR(IF(INDEX(Polymarket!$B$25:$B$316,MATCH($A158,Polymarket!$A$25:$A$316,0))=0,"",INDEX(Polymarket!$B$25:$B$316,MATCH($A158,Polymarket!$A$25:$A$316,0))),"")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IFERROR(IF(INDEX(Polymarket!$B$25:$B$316,MATCH($A159,Polymarket!$A$25:$A$316,0))=0,"",INDEX(Polymarket!$B$25:$B$316,MATCH($A159,Polymarket!$A$25:$A$316,0))),"")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IFERROR(IF(INDEX(Polymarket!$B$25:$B$316,MATCH($A160,Polymarket!$A$25:$A$316,0))=0,"",INDEX(Polymarket!$B$25:$B$316,MATCH($A160,Polymarket!$A$25:$A$316,0))),"")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IFERROR(IF(INDEX(Polymarket!$B$25:$B$316,MATCH($A161,Polymarket!$A$25:$A$316,0))=0,"",INDEX(Polymarket!$B$25:$B$316,MATCH($A161,Polymarket!$A$25:$A$316,0))),"")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IFERROR(IF(INDEX(Polymarket!$B$25:$B$316,MATCH($A162,Polymarket!$A$25:$A$316,0))=0,"",INDEX(Polymarket!$B$25:$B$316,MATCH($A162,Polymarket!$A$25:$A$316,0))),"")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IFERROR(IF(INDEX(Polymarket!$B$25:$B$316,MATCH($A163,Polymarket!$A$25:$A$316,0))=0,"",INDEX(Polymarket!$B$25:$B$316,MATCH($A163,Polymarket!$A$25:$A$316,0))),"")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IFERROR(IF(INDEX(Polymarket!$B$25:$B$316,MATCH($A164,Polymarket!$A$25:$A$316,0))=0,"",INDEX(Polymarket!$B$25:$B$316,MATCH($A164,Polymarket!$A$25:$A$316,0))),"")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IFERROR(IF(INDEX(Polymarket!$B$25:$B$316,MATCH($A165,Polymarket!$A$25:$A$316,0))=0,"",INDEX(Polymarket!$B$25:$B$316,MATCH($A165,Polymarket!$A$25:$A$316,0))),"")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IFERROR(IF(INDEX(Polymarket!$B$25:$B$316,MATCH($A166,Polymarket!$A$25:$A$316,0))=0,"",INDEX(Polymarket!$B$25:$B$316,MATCH($A166,Polymarket!$A$25:$A$316,0))),"")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IFERROR(IF(INDEX(Polymarket!$B$25:$B$316,MATCH($A167,Polymarket!$A$25:$A$316,0))=0,"",INDEX(Polymarket!$B$25:$B$316,MATCH($A167,Polymarket!$A$25:$A$316,0))),"")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IFERROR(IF(INDEX(Polymarket!$B$25:$B$316,MATCH($A168,Polymarket!$A$25:$A$316,0))=0,"",INDEX(Polymarket!$B$25:$B$316,MATCH($A168,Polymarket!$A$25:$A$316,0))),"")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IFERROR(IF(INDEX(Polymarket!$B$25:$B$316,MATCH($A169,Polymarket!$A$25:$A$316,0))=0,"",INDEX(Polymarket!$B$25:$B$316,MATCH($A169,Polymarket!$A$25:$A$316,0))),"")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IFERROR(IF(INDEX(Polymarket!$B$25:$B$316,MATCH($A170,Polymarket!$A$25:$A$316,0))=0,"",INDEX(Polymarket!$B$25:$B$316,MATCH($A170,Polymarket!$A$25:$A$316,0))),"")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IFERROR(IF(INDEX(Polymarket!$B$25:$B$316,MATCH($A171,Polymarket!$A$25:$A$316,0))=0,"",INDEX(Polymarket!$B$25:$B$316,MATCH($A171,Polymarket!$A$25:$A$316,0))),"")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IFERROR(IF(INDEX(Polymarket!$B$25:$B$316,MATCH($A172,Polymarket!$A$25:$A$316,0))=0,"",INDEX(Polymarket!$B$25:$B$316,MATCH($A172,Polymarket!$A$25:$A$316,0))),"")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IFERROR(IF(INDEX(Polymarket!$B$25:$B$316,MATCH($A173,Polymarket!$A$25:$A$316,0))=0,"",INDEX(Polymarket!$B$25:$B$316,MATCH($A173,Polymarket!$A$25:$A$316,0))),"")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IFERROR(IF(INDEX(Polymarket!$B$25:$B$316,MATCH($A174,Polymarket!$A$25:$A$316,0))=0,"",INDEX(Polymarket!$B$25:$B$316,MATCH($A174,Polymarket!$A$25:$A$316,0))),"")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IFERROR(IF(INDEX(Polymarket!$B$25:$B$316,MATCH($A175,Polymarket!$A$25:$A$316,0))=0,"",INDEX(Polymarket!$B$25:$B$316,MATCH($A175,Polymarket!$A$25:$A$316,0))),"")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IFERROR(IF(INDEX(Polymarket!$B$25:$B$316,MATCH($A176,Polymarket!$A$25:$A$316,0))=0,"",INDEX(Polymarket!$B$25:$B$316,MATCH($A176,Polymarket!$A$25:$A$316,0))),"")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IFERROR(IF(INDEX(Polymarket!$B$25:$B$316,MATCH($A177,Polymarket!$A$25:$A$316,0))=0,"",INDEX(Polymarket!$B$25:$B$316,MATCH($A177,Polymarket!$A$25:$A$316,0))),"")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IFERROR(IF(INDEX(Polymarket!$B$25:$B$316,MATCH($A178,Polymarket!$A$25:$A$316,0))=0,"",INDEX(Polymarket!$B$25:$B$316,MATCH($A178,Polymarket!$A$25:$A$316,0))),"")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IFERROR(IF(INDEX(Polymarket!$B$25:$B$316,MATCH($A179,Polymarket!$A$25:$A$316,0))=0,"",INDEX(Polymarket!$B$25:$B$316,MATCH($A179,Polymarket!$A$25:$A$316,0))),"")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IFERROR(IF(INDEX(Polymarket!$B$25:$B$316,MATCH($A180,Polymarket!$A$25:$A$316,0))=0,"",INDEX(Polymarket!$B$25:$B$316,MATCH($A180,Polymarket!$A$25:$A$316,0))),"")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IFERROR(IF(INDEX(Polymarket!$B$25:$B$316,MATCH($A181,Polymarket!$A$25:$A$316,0))=0,"",INDEX(Polymarket!$B$25:$B$316,MATCH($A181,Polymarket!$A$25:$A$316,0))),"")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IFERROR(IF(INDEX(Polymarket!$B$25:$B$316,MATCH($A182,Polymarket!$A$25:$A$316,0))=0,"",INDEX(Polymarket!$B$25:$B$316,MATCH($A182,Polymarket!$A$25:$A$316,0))),"")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IFERROR(IF(INDEX(Polymarket!$B$25:$B$316,MATCH($A183,Polymarket!$A$25:$A$316,0))=0,"",INDEX(Polymarket!$B$25:$B$316,MATCH($A183,Polymarket!$A$25:$A$316,0))),"")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IFERROR(IF(INDEX(Polymarket!$B$25:$B$316,MATCH($A184,Polymarket!$A$25:$A$316,0))=0,"",INDEX(Polymarket!$B$25:$B$316,MATCH($A184,Polymarket!$A$25:$A$316,0))),"")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IFERROR(IF(INDEX(Polymarket!$B$25:$B$316,MATCH($A185,Polymarket!$A$25:$A$316,0))=0,"",INDEX(Polymarket!$B$25:$B$316,MATCH($A185,Polymarket!$A$25:$A$316,0))),"")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IFERROR(IF(INDEX(Polymarket!$B$25:$B$316,MATCH($A186,Polymarket!$A$25:$A$316,0))=0,"",INDEX(Polymarket!$B$25:$B$316,MATCH($A186,Polymarket!$A$25:$A$316,0))),"")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IFERROR(IF(INDEX(Polymarket!$B$25:$B$316,MATCH($A187,Polymarket!$A$25:$A$316,0))=0,"",INDEX(Polymarket!$B$25:$B$316,MATCH($A187,Polymarket!$A$25:$A$316,0))),"")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IFERROR(IF(INDEX(Polymarket!$B$25:$B$316,MATCH($A188,Polymarket!$A$25:$A$316,0))=0,"",INDEX(Polymarket!$B$25:$B$316,MATCH($A188,Polymarket!$A$25:$A$316,0))),"")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IFERROR(IF(INDEX(Polymarket!$B$25:$B$316,MATCH($A189,Polymarket!$A$25:$A$316,0))=0,"",INDEX(Polymarket!$B$25:$B$316,MATCH($A189,Polymarket!$A$25:$A$316,0))),"")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IFERROR(IF(INDEX(Polymarket!$B$25:$B$316,MATCH($A190,Polymarket!$A$25:$A$316,0))=0,"",INDEX(Polymarket!$B$25:$B$316,MATCH($A190,Polymarket!$A$25:$A$316,0))),"")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IFERROR(IF(INDEX(Polymarket!$B$25:$B$316,MATCH($A191,Polymarket!$A$25:$A$316,0))=0,"",INDEX(Polymarket!$B$25:$B$316,MATCH($A191,Polymarket!$A$25:$A$316,0))),"")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IFERROR(IF(INDEX(Polymarket!$B$25:$B$316,MATCH($A192,Polymarket!$A$25:$A$316,0))=0,"",INDEX(Polymarket!$B$25:$B$316,MATCH($A192,Polymarket!$A$25:$A$316,0))),"")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IFERROR(IF(INDEX(Polymarket!$B$25:$B$316,MATCH($A193,Polymarket!$A$25:$A$316,0))=0,"",INDEX(Polymarket!$B$25:$B$316,MATCH($A193,Polymarket!$A$25:$A$316,0))),"")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IFERROR(IF(INDEX(Polymarket!$B$25:$B$316,MATCH($A194,Polymarket!$A$25:$A$316,0))=0,"",INDEX(Polymarket!$B$25:$B$316,MATCH($A194,Polymarket!$A$25:$A$316,0))),"")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IFERROR(IF(INDEX(Polymarket!$B$25:$B$316,MATCH($A195,Polymarket!$A$25:$A$316,0))=0,"",INDEX(Polymarket!$B$25:$B$316,MATCH($A195,Polymarket!$A$25:$A$316,0))),"")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IFERROR(IF(INDEX(Polymarket!$B$25:$B$316,MATCH($A196,Polymarket!$A$25:$A$316,0))=0,"",INDEX(Polymarket!$B$25:$B$316,MATCH($A196,Polymarket!$A$25:$A$316,0))),"")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IFERROR(IF(INDEX(Polymarket!$B$25:$B$316,MATCH($A197,Polymarket!$A$25:$A$316,0))=0,"",INDEX(Polymarket!$B$25:$B$316,MATCH($A197,Polymarket!$A$25:$A$316,0))),"")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IFERROR(IF(INDEX(Polymarket!$B$25:$B$316,MATCH($A198,Polymarket!$A$25:$A$316,0))=0,"",INDEX(Polymarket!$B$25:$B$316,MATCH($A198,Polymarket!$A$25:$A$316,0))),"")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IFERROR(IF(INDEX(Polymarket!$B$25:$B$316,MATCH($A199,Polymarket!$A$25:$A$316,0))=0,"",INDEX(Polymarket!$B$25:$B$316,MATCH($A199,Polymarket!$A$25:$A$316,0))),"")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IFERROR(IF(INDEX(Polymarket!$B$25:$B$316,MATCH($A200,Polymarket!$A$25:$A$316,0))=0,"",INDEX(Polymarket!$B$25:$B$316,MATCH($A200,Polymarket!$A$25:$A$316,0))),"")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IFERROR(IF(INDEX(Polymarket!$B$25:$B$316,MATCH($A201,Polymarket!$A$25:$A$316,0))=0,"",INDEX(Polymarket!$B$25:$B$316,MATCH($A201,Polymarket!$A$25:$A$316,0))),"")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IFERROR(IF(INDEX(Polymarket!$B$25:$B$316,MATCH($A202,Polymarket!$A$25:$A$316,0))=0,"",INDEX(Polymarket!$B$25:$B$316,MATCH($A202,Polymarket!$A$25:$A$316,0))),"")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IFERROR(IF(INDEX(Polymarket!$B$25:$B$316,MATCH($A203,Polymarket!$A$25:$A$316,0))=0,"",INDEX(Polymarket!$B$25:$B$316,MATCH($A203,Polymarket!$A$25:$A$316,0))),"")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IFERROR(IF(INDEX(Polymarket!$B$25:$B$316,MATCH($A204,Polymarket!$A$25:$A$316,0))=0,"",INDEX(Polymarket!$B$25:$B$316,MATCH($A204,Polymarket!$A$25:$A$316,0))),"")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IFERROR(IF(INDEX(Polymarket!$B$25:$B$316,MATCH($A205,Polymarket!$A$25:$A$316,0))=0,"",INDEX(Polymarket!$B$25:$B$316,MATCH($A205,Polymarket!$A$25:$A$316,0))),"")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IFERROR(IF(INDEX(Polymarket!$B$25:$B$316,MATCH($A206,Polymarket!$A$25:$A$316,0))=0,"",INDEX(Polymarket!$B$25:$B$316,MATCH($A206,Polymarket!$A$25:$A$316,0))),"")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IFERROR(IF(INDEX(Polymarket!$B$25:$B$316,MATCH($A207,Polymarket!$A$25:$A$316,0))=0,"",INDEX(Polymarket!$B$25:$B$316,MATCH($A207,Polymarket!$A$25:$A$316,0))),"")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IFERROR(IF(INDEX(Polymarket!$B$25:$B$316,MATCH($A208,Polymarket!$A$25:$A$316,0))=0,"",INDEX(Polymarket!$B$25:$B$316,MATCH($A208,Polymarket!$A$25:$A$316,0))),"")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IFERROR(IF(INDEX(Polymarket!$B$25:$B$316,MATCH($A209,Polymarket!$A$25:$A$316,0))=0,"",INDEX(Polymarket!$B$25:$B$316,MATCH($A209,Polymarket!$A$25:$A$316,0))),"")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IFERROR(IF(INDEX(Polymarket!$B$25:$B$316,MATCH($A210,Polymarket!$A$25:$A$316,0))=0,"",INDEX(Polymarket!$B$25:$B$316,MATCH($A210,Polymarket!$A$25:$A$316,0))),"")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IFERROR(IF(INDEX(Polymarket!$B$25:$B$316,MATCH($A211,Polymarket!$A$25:$A$316,0))=0,"",INDEX(Polymarket!$B$25:$B$316,MATCH($A211,Polymarket!$A$25:$A$316,0))),"")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IFERROR(IF(INDEX(Polymarket!$B$25:$B$316,MATCH($A212,Polymarket!$A$25:$A$316,0))=0,"",INDEX(Polymarket!$B$25:$B$316,MATCH($A212,Polymarket!$A$25:$A$316,0))),"")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IFERROR(IF(INDEX(Polymarket!$B$25:$B$316,MATCH($A213,Polymarket!$A$25:$A$316,0))=0,"",INDEX(Polymarket!$B$25:$B$316,MATCH($A213,Polymarket!$A$25:$A$316,0))),"")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IFERROR(IF(INDEX(Polymarket!$B$25:$B$316,MATCH($A214,Polymarket!$A$25:$A$316,0))=0,"",INDEX(Polymarket!$B$25:$B$316,MATCH($A214,Polymarket!$A$25:$A$316,0))),"")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IFERROR(IF(INDEX(Polymarket!$B$25:$B$316,MATCH($A215,Polymarket!$A$25:$A$316,0))=0,"",INDEX(Polymarket!$B$25:$B$316,MATCH($A215,Polymarket!$A$25:$A$316,0))),"")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IFERROR(IF(INDEX(Polymarket!$B$25:$B$316,MATCH($A216,Polymarket!$A$25:$A$316,0))=0,"",INDEX(Polymarket!$B$25:$B$316,MATCH($A216,Polymarket!$A$25:$A$316,0))),"")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IFERROR(IF(INDEX(Polymarket!$B$25:$B$316,MATCH($A217,Polymarket!$A$25:$A$316,0))=0,"",INDEX(Polymarket!$B$25:$B$316,MATCH($A217,Polymarket!$A$25:$A$316,0))),"")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IFERROR(IF(INDEX(Polymarket!$B$25:$B$316,MATCH($A218,Polymarket!$A$25:$A$316,0))=0,"",INDEX(Polymarket!$B$25:$B$316,MATCH($A218,Polymarket!$A$25:$A$316,0))),"")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IFERROR(IF(INDEX(Polymarket!$B$25:$B$316,MATCH($A219,Polymarket!$A$25:$A$316,0))=0,"",INDEX(Polymarket!$B$25:$B$316,MATCH($A219,Polymarket!$A$25:$A$316,0))),"")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IFERROR(IF(INDEX(Polymarket!$B$25:$B$316,MATCH($A220,Polymarket!$A$25:$A$316,0))=0,"",INDEX(Polymarket!$B$25:$B$316,MATCH($A220,Polymarket!$A$25:$A$316,0))),"")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IFERROR(IF(INDEX(Polymarket!$B$25:$B$316,MATCH($A221,Polymarket!$A$25:$A$316,0))=0,"",INDEX(Polymarket!$B$25:$B$316,MATCH($A221,Polymarket!$A$25:$A$316,0))),"")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IFERROR(IF(INDEX(Polymarket!$B$25:$B$316,MATCH($A222,Polymarket!$A$25:$A$316,0))=0,"",INDEX(Polymarket!$B$25:$B$316,MATCH($A222,Polymarket!$A$25:$A$316,0))),"")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IFERROR(IF(INDEX(Polymarket!$B$25:$B$316,MATCH($A223,Polymarket!$A$25:$A$316,0))=0,"",INDEX(Polymarket!$B$25:$B$316,MATCH($A223,Polymarket!$A$25:$A$316,0))),"")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IFERROR(IF(INDEX(Polymarket!$B$25:$B$316,MATCH($A224,Polymarket!$A$25:$A$316,0))=0,"",INDEX(Polymarket!$B$25:$B$316,MATCH($A224,Polymarket!$A$25:$A$316,0))),"")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IFERROR(IF(INDEX(Polymarket!$B$25:$B$316,MATCH($A225,Polymarket!$A$25:$A$316,0))=0,"",INDEX(Polymarket!$B$25:$B$316,MATCH($A225,Polymarket!$A$25:$A$316,0))),"")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IFERROR(IF(INDEX(Polymarket!$B$25:$B$316,MATCH($A226,Polymarket!$A$25:$A$316,0))=0,"",INDEX(Polymarket!$B$25:$B$316,MATCH($A226,Polymarket!$A$25:$A$316,0))),"")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IFERROR(IF(INDEX(Polymarket!$B$25:$B$316,MATCH($A227,Polymarket!$A$25:$A$316,0))=0,"",INDEX(Polymarket!$B$25:$B$316,MATCH($A227,Polymarket!$A$25:$A$316,0))),"")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IFERROR(IF(INDEX(Polymarket!$B$25:$B$316,MATCH($A228,Polymarket!$A$25:$A$316,0))=0,"",INDEX(Polymarket!$B$25:$B$316,MATCH($A228,Polymarket!$A$25:$A$316,0))),"")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IFERROR(IF(INDEX(Polymarket!$B$25:$B$316,MATCH($A229,Polymarket!$A$25:$A$316,0))=0,"",INDEX(Polymarket!$B$25:$B$316,MATCH($A229,Polymarket!$A$25:$A$316,0))),"")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IFERROR(IF(INDEX(Polymarket!$B$25:$B$316,MATCH($A230,Polymarket!$A$25:$A$316,0))=0,"",INDEX(Polymarket!$B$25:$B$316,MATCH($A230,Polymarket!$A$25:$A$316,0))),"")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IFERROR(IF(INDEX(Polymarket!$B$25:$B$316,MATCH($A231,Polymarket!$A$25:$A$316,0))=0,"",INDEX(Polymarket!$B$25:$B$316,MATCH($A231,Polymarket!$A$25:$A$316,0))),"")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IFERROR(IF(INDEX(Polymarket!$B$25:$B$316,MATCH($A232,Polymarket!$A$25:$A$316,0))=0,"",INDEX(Polymarket!$B$25:$B$316,MATCH($A232,Polymarket!$A$25:$A$316,0))),"")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IFERROR(IF(INDEX(Polymarket!$B$25:$B$316,MATCH($A233,Polymarket!$A$25:$A$316,0))=0,"",INDEX(Polymarket!$B$25:$B$316,MATCH($A233,Polymarket!$A$25:$A$316,0))),"")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IFERROR(IF(INDEX(Polymarket!$B$25:$B$316,MATCH($A234,Polymarket!$A$25:$A$316,0))=0,"",INDEX(Polymarket!$B$25:$B$316,MATCH($A234,Polymarket!$A$25:$A$316,0))),"")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IFERROR(IF(INDEX(Polymarket!$B$25:$B$316,MATCH($A235,Polymarket!$A$25:$A$316,0))=0,"",INDEX(Polymarket!$B$25:$B$316,MATCH($A235,Polymarket!$A$25:$A$316,0))),"")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IFERROR(IF(INDEX(Polymarket!$B$25:$B$316,MATCH($A236,Polymarket!$A$25:$A$316,0))=0,"",INDEX(Polymarket!$B$25:$B$316,MATCH($A236,Polymarket!$A$25:$A$316,0))),"")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IFERROR(IF(INDEX(Polymarket!$B$25:$B$316,MATCH($A237,Polymarket!$A$25:$A$316,0))=0,"",INDEX(Polymarket!$B$25:$B$316,MATCH($A237,Polymarket!$A$25:$A$316,0))),"")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IFERROR(IF(INDEX(Polymarket!$B$25:$B$316,MATCH($A238,Polymarket!$A$25:$A$316,0))=0,"",INDEX(Polymarket!$B$25:$B$316,MATCH($A238,Polymarket!$A$25:$A$316,0))),"")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IFERROR(IF(INDEX(Polymarket!$B$25:$B$316,MATCH($A239,Polymarket!$A$25:$A$316,0))=0,"",INDEX(Polymarket!$B$25:$B$316,MATCH($A239,Polymarket!$A$25:$A$316,0))),"")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IFERROR(IF(INDEX(Polymarket!$B$25:$B$316,MATCH($A240,Polymarket!$A$25:$A$316,0))=0,"",INDEX(Polymarket!$B$25:$B$316,MATCH($A240,Polymarket!$A$25:$A$316,0))),"")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IFERROR(IF(INDEX(Polymarket!$B$25:$B$316,MATCH($A241,Polymarket!$A$25:$A$316,0))=0,"",INDEX(Polymarket!$B$25:$B$316,MATCH($A241,Polymarket!$A$25:$A$316,0))),"")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IFERROR(IF(INDEX(Polymarket!$B$25:$B$316,MATCH($A242,Polymarket!$A$25:$A$316,0))=0,"",INDEX(Polymarket!$B$25:$B$316,MATCH($A242,Polymarket!$A$25:$A$316,0))),"")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IFERROR(IF(INDEX(Polymarket!$B$25:$B$316,MATCH($A243,Polymarket!$A$25:$A$316,0))=0,"",INDEX(Polymarket!$B$25:$B$316,MATCH($A243,Polymarket!$A$25:$A$316,0))),"")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IFERROR(IF(INDEX(Polymarket!$B$25:$B$316,MATCH($A244,Polymarket!$A$25:$A$316,0))=0,"",INDEX(Polymarket!$B$25:$B$316,MATCH($A244,Polymarket!$A$25:$A$316,0))),"")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IFERROR(IF(INDEX(Polymarket!$B$25:$B$316,MATCH($A245,Polymarket!$A$25:$A$316,0))=0,"",INDEX(Polymarket!$B$25:$B$316,MATCH($A245,Polymarket!$A$25:$A$316,0))),"")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IFERROR(IF(INDEX(Polymarket!$B$25:$B$316,MATCH($A246,Polymarket!$A$25:$A$316,0))=0,"",INDEX(Polymarket!$B$25:$B$316,MATCH($A246,Polymarket!$A$25:$A$316,0))),"")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IFERROR(IF(INDEX(Polymarket!$B$25:$B$316,MATCH($A247,Polymarket!$A$25:$A$316,0))=0,"",INDEX(Polymarket!$B$25:$B$316,MATCH($A247,Polymarket!$A$25:$A$316,0))),"")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IFERROR(IF(INDEX(Polymarket!$B$25:$B$316,MATCH($A248,Polymarket!$A$25:$A$316,0))=0,"",INDEX(Polymarket!$B$25:$B$316,MATCH($A248,Polymarket!$A$25:$A$316,0))),"")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IFERROR(IF(INDEX(Polymarket!$B$25:$B$316,MATCH($A249,Polymarket!$A$25:$A$316,0))=0,"",INDEX(Polymarket!$B$25:$B$316,MATCH($A249,Polymarket!$A$25:$A$316,0))),"")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IFERROR(IF(INDEX(Polymarket!$B$25:$B$316,MATCH($A250,Polymarket!$A$25:$A$316,0))=0,"",INDEX(Polymarket!$B$25:$B$316,MATCH($A250,Polymarket!$A$25:$A$316,0))),"")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IFERROR(IF(INDEX(Polymarket!$B$25:$B$316,MATCH($A251,Polymarket!$A$25:$A$316,0))=0,"",INDEX(Polymarket!$B$25:$B$316,MATCH($A251,Polymarket!$A$25:$A$316,0))),"")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IFERROR(IF(INDEX(Polymarket!$B$25:$B$316,MATCH($A252,Polymarket!$A$25:$A$316,0))=0,"",INDEX(Polymarket!$B$25:$B$316,MATCH($A252,Polymarket!$A$25:$A$316,0))),"")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IFERROR(IF(INDEX(Polymarket!$B$25:$B$316,MATCH($A253,Polymarket!$A$25:$A$316,0))=0,"",INDEX(Polymarket!$B$25:$B$316,MATCH($A253,Polymarket!$A$25:$A$316,0))),"")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IFERROR(IF(INDEX(Polymarket!$B$25:$B$316,MATCH($A254,Polymarket!$A$25:$A$316,0))=0,"",INDEX(Polymarket!$B$25:$B$316,MATCH($A254,Polymarket!$A$25:$A$316,0))),"")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IFERROR(IF(INDEX(Polymarket!$B$25:$B$316,MATCH($A255,Polymarket!$A$25:$A$316,0))=0,"",INDEX(Polymarket!$B$25:$B$316,MATCH($A255,Polymarket!$A$25:$A$316,0))),"")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IFERROR(IF(INDEX(Polymarket!$B$25:$B$316,MATCH($A256,Polymarket!$A$25:$A$316,0))=0,"",INDEX(Polymarket!$B$25:$B$316,MATCH($A256,Polymarket!$A$25:$A$316,0))),"")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IFERROR(IF(INDEX(Polymarket!$B$25:$B$316,MATCH($A257,Polymarket!$A$25:$A$316,0))=0,"",INDEX(Polymarket!$B$25:$B$316,MATCH($A257,Polymarket!$A$25:$A$316,0))),"")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IFERROR(IF(INDEX(Polymarket!$B$25:$B$316,MATCH($A258,Polymarket!$A$25:$A$316,0))=0,"",INDEX(Polymarket!$B$25:$B$316,MATCH($A258,Polymarket!$A$25:$A$316,0))),"")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IFERROR(IF(INDEX(Polymarket!$B$25:$B$316,MATCH($A259,Polymarket!$A$25:$A$316,0))=0,"",INDEX(Polymarket!$B$25:$B$316,MATCH($A259,Polymarket!$A$25:$A$316,0))),"")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IFERROR(IF(INDEX(Polymarket!$B$25:$B$316,MATCH($A260,Polymarket!$A$25:$A$316,0))=0,"",INDEX(Polymarket!$B$25:$B$316,MATCH($A260,Polymarket!$A$25:$A$316,0))),"")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IFERROR(IF(INDEX(Polymarket!$B$25:$B$316,MATCH($A261,Polymarket!$A$25:$A$316,0))=0,"",INDEX(Polymarket!$B$25:$B$316,MATCH($A261,Polymarket!$A$25:$A$316,0))),"")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IFERROR(IF(INDEX(Polymarket!$B$25:$B$316,MATCH($A262,Polymarket!$A$25:$A$316,0))=0,"",INDEX(Polymarket!$B$25:$B$316,MATCH($A262,Polymarket!$A$25:$A$316,0))),"")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IFERROR(IF(INDEX(Polymarket!$B$25:$B$316,MATCH($A263,Polymarket!$A$25:$A$316,0))=0,"",INDEX(Polymarket!$B$25:$B$316,MATCH($A263,Polymarket!$A$25:$A$316,0))),"")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IFERROR(IF(INDEX(Polymarket!$B$25:$B$316,MATCH($A264,Polymarket!$A$25:$A$316,0))=0,"",INDEX(Polymarket!$B$25:$B$316,MATCH($A264,Polymarket!$A$25:$A$316,0))),"")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IFERROR(IF(INDEX(Polymarket!$B$25:$B$316,MATCH($A265,Polymarket!$A$25:$A$316,0))=0,"",INDEX(Polymarket!$B$25:$B$316,MATCH($A265,Polymarket!$A$25:$A$316,0))),"")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IFERROR(IF(INDEX(Polymarket!$B$25:$B$316,MATCH($A266,Polymarket!$A$25:$A$316,0))=0,"",INDEX(Polymarket!$B$25:$B$316,MATCH($A266,Polymarket!$A$25:$A$316,0))),"")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2026-10-27 16:38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2026-10-27 16:38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IFERROR(AVERAGE(E15:E306),"")</f>
        <v/>
      </c>
    </row>
    <row r="9">
      <c r="A9" s="6" t="inlineStr">
        <is>
          <t>Max absolute divergence</t>
        </is>
      </c>
      <c r="B9" s="17">
        <f>IFERROR(MAX(E15:E306),"")</f>
        <v/>
      </c>
    </row>
    <row r="10">
      <c r="A10" s="6" t="inlineStr">
        <is>
          <t>Overlapping days</t>
        </is>
      </c>
      <c r="B10" s="40">
        <f>COUNT(D15:D306)</f>
        <v/>
      </c>
    </row>
    <row r="11">
      <c r="A11" s="6" t="inlineStr">
        <is>
          <t>Days listed but not comparable</t>
        </is>
      </c>
      <c r="B11" s="40">
        <f>COUNT(A15:A306)-COUNT(D15:D306)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IFERROR(IF(INDEX(Polymarket!$B$25:$B$316,MATCH($A15,Polymarket!$A$25:$A$316,0))=0,"",INDEX(Polymarket!$B$25:$B$316,MATCH($A15,Polymarket!$A$25:$A$316,0))),"")</f>
        <v/>
      </c>
      <c r="C15" s="100">
        <f>IFERROR(IF(INDEX(Kalshi!$D$31:$D$501,MATCH($A15,Kalshi!$A$31:$A$501,0))=0,"",INDEX(Kalshi!$D$31:$D$501,MATCH($A15,Kalshi!$A$31:$A$501,0))),"")</f>
        <v/>
      </c>
      <c r="D15" s="18">
        <f>IF(AND(ISNUMBER(B15),ISNUMBER(C15)),B15-C15,"")</f>
        <v/>
      </c>
      <c r="E15" s="17">
        <f>IF(ISNUMBER(D15),ABS(D15),"")</f>
        <v/>
      </c>
      <c r="F15" s="100">
        <f>IFERROR(IF(INDEX(Polymarket!$C$25:$C$316,MATCH($A15,Polymarket!$A$25:$A$316,0))=0,"",INDEX(Polymarket!$C$25:$C$316,MATCH($A15,Polymarket!$A$25:$A$316,0))),"")</f>
        <v/>
      </c>
      <c r="G15" s="100">
        <f>IFERROR(IF(INDEX(Kalshi!$G$31:$G$501,MATCH($A15,Kalshi!$A$31:$A$501,0))=0,"",INDEX(Kalshi!$G$31:$G$501,MATCH($A15,Kalshi!$A$31:$A$501,0))),"")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IFERROR(IF(INDEX(Polymarket!$B$25:$B$316,MATCH($A16,Polymarket!$A$25:$A$316,0))=0,"",INDEX(Polymarket!$B$25:$B$316,MATCH($A16,Polymarket!$A$25:$A$316,0))),"")</f>
        <v/>
      </c>
      <c r="C16" s="101">
        <f>IFERROR(IF(INDEX(Kalshi!$D$31:$D$501,MATCH($A16,Kalshi!$A$31:$A$501,0))=0,"",INDEX(Kalshi!$D$31:$D$501,MATCH($A16,Kalshi!$A$31:$A$501,0))),"")</f>
        <v/>
      </c>
      <c r="D16" s="31">
        <f>IF(AND(ISNUMBER(B16),ISNUMBER(C16)),B16-C16,"")</f>
        <v/>
      </c>
      <c r="E16" s="29">
        <f>IF(ISNUMBER(D16),ABS(D16),"")</f>
        <v/>
      </c>
      <c r="F16" s="101">
        <f>IFERROR(IF(INDEX(Polymarket!$C$25:$C$316,MATCH($A16,Polymarket!$A$25:$A$316,0))=0,"",INDEX(Polymarket!$C$25:$C$316,MATCH($A16,Polymarket!$A$25:$A$316,0))),"")</f>
        <v/>
      </c>
      <c r="G16" s="101">
        <f>IFERROR(IF(INDEX(Kalshi!$G$31:$G$501,MATCH($A16,Kalshi!$A$31:$A$501,0))=0,"",INDEX(Kalshi!$G$31:$G$501,MATCH($A16,Kalshi!$A$31:$A$501,0))),"")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IFERROR(IF(INDEX(Polymarket!$B$25:$B$316,MATCH($A17,Polymarket!$A$25:$A$316,0))=0,"",INDEX(Polymarket!$B$25:$B$316,MATCH($A17,Polymarket!$A$25:$A$316,0))),"")</f>
        <v/>
      </c>
      <c r="C17" s="100">
        <f>IFERROR(IF(INDEX(Kalshi!$D$31:$D$501,MATCH($A17,Kalshi!$A$31:$A$501,0))=0,"",INDEX(Kalshi!$D$31:$D$501,MATCH($A17,Kalshi!$A$31:$A$501,0))),"")</f>
        <v/>
      </c>
      <c r="D17" s="18">
        <f>IF(AND(ISNUMBER(B17),ISNUMBER(C17)),B17-C17,"")</f>
        <v/>
      </c>
      <c r="E17" s="17">
        <f>IF(ISNUMBER(D17),ABS(D17),"")</f>
        <v/>
      </c>
      <c r="F17" s="100">
        <f>IFERROR(IF(INDEX(Polymarket!$C$25:$C$316,MATCH($A17,Polymarket!$A$25:$A$316,0))=0,"",INDEX(Polymarket!$C$25:$C$316,MATCH($A17,Polymarket!$A$25:$A$316,0))),"")</f>
        <v/>
      </c>
      <c r="G17" s="100">
        <f>IFERROR(IF(INDEX(Kalshi!$G$31:$G$501,MATCH($A17,Kalshi!$A$31:$A$501,0))=0,"",INDEX(Kalshi!$G$31:$G$501,MATCH($A17,Kalshi!$A$31:$A$501,0))),"")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IFERROR(IF(INDEX(Polymarket!$B$25:$B$316,MATCH($A18,Polymarket!$A$25:$A$316,0))=0,"",INDEX(Polymarket!$B$25:$B$316,MATCH($A18,Polymarket!$A$25:$A$316,0))),"")</f>
        <v/>
      </c>
      <c r="C18" s="101">
        <f>IFERROR(IF(INDEX(Kalshi!$D$31:$D$501,MATCH($A18,Kalshi!$A$31:$A$501,0))=0,"",INDEX(Kalshi!$D$31:$D$501,MATCH($A18,Kalshi!$A$31:$A$501,0))),"")</f>
        <v/>
      </c>
      <c r="D18" s="31">
        <f>IF(AND(ISNUMBER(B18),ISNUMBER(C18)),B18-C18,"")</f>
        <v/>
      </c>
      <c r="E18" s="29">
        <f>IF(ISNUMBER(D18),ABS(D18),"")</f>
        <v/>
      </c>
      <c r="F18" s="101">
        <f>IFERROR(IF(INDEX(Polymarket!$C$25:$C$316,MATCH($A18,Polymarket!$A$25:$A$316,0))=0,"",INDEX(Polymarket!$C$25:$C$316,MATCH($A18,Polymarket!$A$25:$A$316,0))),"")</f>
        <v/>
      </c>
      <c r="G18" s="101">
        <f>IFERROR(IF(INDEX(Kalshi!$G$31:$G$501,MATCH($A18,Kalshi!$A$31:$A$501,0))=0,"",INDEX(Kalshi!$G$31:$G$501,MATCH($A18,Kalshi!$A$31:$A$501,0))),"")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IFERROR(IF(INDEX(Polymarket!$B$25:$B$316,MATCH($A19,Polymarket!$A$25:$A$316,0))=0,"",INDEX(Polymarket!$B$25:$B$316,MATCH($A19,Polymarket!$A$25:$A$316,0))),"")</f>
        <v/>
      </c>
      <c r="C19" s="100">
        <f>IFERROR(IF(INDEX(Kalshi!$D$31:$D$501,MATCH($A19,Kalshi!$A$31:$A$501,0))=0,"",INDEX(Kalshi!$D$31:$D$501,MATCH($A19,Kalshi!$A$31:$A$501,0))),"")</f>
        <v/>
      </c>
      <c r="D19" s="18">
        <f>IF(AND(ISNUMBER(B19),ISNUMBER(C19)),B19-C19,"")</f>
        <v/>
      </c>
      <c r="E19" s="17">
        <f>IF(ISNUMBER(D19),ABS(D19),"")</f>
        <v/>
      </c>
      <c r="F19" s="100">
        <f>IFERROR(IF(INDEX(Polymarket!$C$25:$C$316,MATCH($A19,Polymarket!$A$25:$A$316,0))=0,"",INDEX(Polymarket!$C$25:$C$316,MATCH($A19,Polymarket!$A$25:$A$316,0))),"")</f>
        <v/>
      </c>
      <c r="G19" s="100">
        <f>IFERROR(IF(INDEX(Kalshi!$G$31:$G$501,MATCH($A19,Kalshi!$A$31:$A$501,0))=0,"",INDEX(Kalshi!$G$31:$G$501,MATCH($A19,Kalshi!$A$31:$A$501,0))),"")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IFERROR(IF(INDEX(Polymarket!$B$25:$B$316,MATCH($A20,Polymarket!$A$25:$A$316,0))=0,"",INDEX(Polymarket!$B$25:$B$316,MATCH($A20,Polymarket!$A$25:$A$316,0))),"")</f>
        <v/>
      </c>
      <c r="C20" s="101">
        <f>IFERROR(IF(INDEX(Kalshi!$D$31:$D$501,MATCH($A20,Kalshi!$A$31:$A$501,0))=0,"",INDEX(Kalshi!$D$31:$D$501,MATCH($A20,Kalshi!$A$31:$A$501,0))),"")</f>
        <v/>
      </c>
      <c r="D20" s="31">
        <f>IF(AND(ISNUMBER(B20),ISNUMBER(C20)),B20-C20,"")</f>
        <v/>
      </c>
      <c r="E20" s="29">
        <f>IF(ISNUMBER(D20),ABS(D20),"")</f>
        <v/>
      </c>
      <c r="F20" s="101">
        <f>IFERROR(IF(INDEX(Polymarket!$C$25:$C$316,MATCH($A20,Polymarket!$A$25:$A$316,0))=0,"",INDEX(Polymarket!$C$25:$C$316,MATCH($A20,Polymarket!$A$25:$A$316,0))),"")</f>
        <v/>
      </c>
      <c r="G20" s="101">
        <f>IFERROR(IF(INDEX(Kalshi!$G$31:$G$501,MATCH($A20,Kalshi!$A$31:$A$501,0))=0,"",INDEX(Kalshi!$G$31:$G$501,MATCH($A20,Kalshi!$A$31:$A$501,0))),"")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IFERROR(IF(INDEX(Polymarket!$B$25:$B$316,MATCH($A21,Polymarket!$A$25:$A$316,0))=0,"",INDEX(Polymarket!$B$25:$B$316,MATCH($A21,Polymarket!$A$25:$A$316,0))),"")</f>
        <v/>
      </c>
      <c r="C21" s="100">
        <f>IFERROR(IF(INDEX(Kalshi!$D$31:$D$501,MATCH($A21,Kalshi!$A$31:$A$501,0))=0,"",INDEX(Kalshi!$D$31:$D$501,MATCH($A21,Kalshi!$A$31:$A$501,0))),"")</f>
        <v/>
      </c>
      <c r="D21" s="18">
        <f>IF(AND(ISNUMBER(B21),ISNUMBER(C21)),B21-C21,"")</f>
        <v/>
      </c>
      <c r="E21" s="17">
        <f>IF(ISNUMBER(D21),ABS(D21),"")</f>
        <v/>
      </c>
      <c r="F21" s="100">
        <f>IFERROR(IF(INDEX(Polymarket!$C$25:$C$316,MATCH($A21,Polymarket!$A$25:$A$316,0))=0,"",INDEX(Polymarket!$C$25:$C$316,MATCH($A21,Polymarket!$A$25:$A$316,0))),"")</f>
        <v/>
      </c>
      <c r="G21" s="100">
        <f>IFERROR(IF(INDEX(Kalshi!$G$31:$G$501,MATCH($A21,Kalshi!$A$31:$A$501,0))=0,"",INDEX(Kalshi!$G$31:$G$501,MATCH($A21,Kalshi!$A$31:$A$501,0))),"")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IFERROR(IF(INDEX(Polymarket!$B$25:$B$316,MATCH($A22,Polymarket!$A$25:$A$316,0))=0,"",INDEX(Polymarket!$B$25:$B$316,MATCH($A22,Polymarket!$A$25:$A$316,0))),"")</f>
        <v/>
      </c>
      <c r="C22" s="101">
        <f>IFERROR(IF(INDEX(Kalshi!$D$31:$D$501,MATCH($A22,Kalshi!$A$31:$A$501,0))=0,"",INDEX(Kalshi!$D$31:$D$501,MATCH($A22,Kalshi!$A$31:$A$501,0))),"")</f>
        <v/>
      </c>
      <c r="D22" s="31">
        <f>IF(AND(ISNUMBER(B22),ISNUMBER(C22)),B22-C22,"")</f>
        <v/>
      </c>
      <c r="E22" s="29">
        <f>IF(ISNUMBER(D22),ABS(D22),"")</f>
        <v/>
      </c>
      <c r="F22" s="101">
        <f>IFERROR(IF(INDEX(Polymarket!$C$25:$C$316,MATCH($A22,Polymarket!$A$25:$A$316,0))=0,"",INDEX(Polymarket!$C$25:$C$316,MATCH($A22,Polymarket!$A$25:$A$316,0))),"")</f>
        <v/>
      </c>
      <c r="G22" s="101">
        <f>IFERROR(IF(INDEX(Kalshi!$G$31:$G$501,MATCH($A22,Kalshi!$A$31:$A$501,0))=0,"",INDEX(Kalshi!$G$31:$G$501,MATCH($A22,Kalshi!$A$31:$A$501,0))),"")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IFERROR(IF(INDEX(Polymarket!$B$25:$B$316,MATCH($A23,Polymarket!$A$25:$A$316,0))=0,"",INDEX(Polymarket!$B$25:$B$316,MATCH($A23,Polymarket!$A$25:$A$316,0))),"")</f>
        <v/>
      </c>
      <c r="C23" s="100">
        <f>IFERROR(IF(INDEX(Kalshi!$D$31:$D$501,MATCH($A23,Kalshi!$A$31:$A$501,0))=0,"",INDEX(Kalshi!$D$31:$D$501,MATCH($A23,Kalshi!$A$31:$A$501,0))),"")</f>
        <v/>
      </c>
      <c r="D23" s="18">
        <f>IF(AND(ISNUMBER(B23),ISNUMBER(C23)),B23-C23,"")</f>
        <v/>
      </c>
      <c r="E23" s="17">
        <f>IF(ISNUMBER(D23),ABS(D23),"")</f>
        <v/>
      </c>
      <c r="F23" s="100">
        <f>IFERROR(IF(INDEX(Polymarket!$C$25:$C$316,MATCH($A23,Polymarket!$A$25:$A$316,0))=0,"",INDEX(Polymarket!$C$25:$C$316,MATCH($A23,Polymarket!$A$25:$A$316,0))),"")</f>
        <v/>
      </c>
      <c r="G23" s="100">
        <f>IFERROR(IF(INDEX(Kalshi!$G$31:$G$501,MATCH($A23,Kalshi!$A$31:$A$501,0))=0,"",INDEX(Kalshi!$G$31:$G$501,MATCH($A23,Kalshi!$A$31:$A$501,0))),"")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IFERROR(IF(INDEX(Polymarket!$B$25:$B$316,MATCH($A24,Polymarket!$A$25:$A$316,0))=0,"",INDEX(Polymarket!$B$25:$B$316,MATCH($A24,Polymarket!$A$25:$A$316,0))),"")</f>
        <v/>
      </c>
      <c r="C24" s="101">
        <f>IFERROR(IF(INDEX(Kalshi!$D$31:$D$501,MATCH($A24,Kalshi!$A$31:$A$501,0))=0,"",INDEX(Kalshi!$D$31:$D$501,MATCH($A24,Kalshi!$A$31:$A$501,0))),"")</f>
        <v/>
      </c>
      <c r="D24" s="31">
        <f>IF(AND(ISNUMBER(B24),ISNUMBER(C24)),B24-C24,"")</f>
        <v/>
      </c>
      <c r="E24" s="29">
        <f>IF(ISNUMBER(D24),ABS(D24),"")</f>
        <v/>
      </c>
      <c r="F24" s="101">
        <f>IFERROR(IF(INDEX(Polymarket!$C$25:$C$316,MATCH($A24,Polymarket!$A$25:$A$316,0))=0,"",INDEX(Polymarket!$C$25:$C$316,MATCH($A24,Polymarket!$A$25:$A$316,0))),"")</f>
        <v/>
      </c>
      <c r="G24" s="101">
        <f>IFERROR(IF(INDEX(Kalshi!$G$31:$G$501,MATCH($A24,Kalshi!$A$31:$A$501,0))=0,"",INDEX(Kalshi!$G$31:$G$501,MATCH($A24,Kalshi!$A$31:$A$501,0))),"")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IFERROR(IF(INDEX(Polymarket!$B$25:$B$316,MATCH($A25,Polymarket!$A$25:$A$316,0))=0,"",INDEX(Polymarket!$B$25:$B$316,MATCH($A25,Polymarket!$A$25:$A$316,0))),"")</f>
        <v/>
      </c>
      <c r="C25" s="100">
        <f>IFERROR(IF(INDEX(Kalshi!$D$31:$D$501,MATCH($A25,Kalshi!$A$31:$A$501,0))=0,"",INDEX(Kalshi!$D$31:$D$501,MATCH($A25,Kalshi!$A$31:$A$501,0))),"")</f>
        <v/>
      </c>
      <c r="D25" s="18">
        <f>IF(AND(ISNUMBER(B25),ISNUMBER(C25)),B25-C25,"")</f>
        <v/>
      </c>
      <c r="E25" s="17">
        <f>IF(ISNUMBER(D25),ABS(D25),"")</f>
        <v/>
      </c>
      <c r="F25" s="100">
        <f>IFERROR(IF(INDEX(Polymarket!$C$25:$C$316,MATCH($A25,Polymarket!$A$25:$A$316,0))=0,"",INDEX(Polymarket!$C$25:$C$316,MATCH($A25,Polymarket!$A$25:$A$316,0))),"")</f>
        <v/>
      </c>
      <c r="G25" s="100">
        <f>IFERROR(IF(INDEX(Kalshi!$G$31:$G$501,MATCH($A25,Kalshi!$A$31:$A$501,0))=0,"",INDEX(Kalshi!$G$31:$G$501,MATCH($A25,Kalshi!$A$31:$A$501,0))),"")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IFERROR(IF(INDEX(Polymarket!$B$25:$B$316,MATCH($A26,Polymarket!$A$25:$A$316,0))=0,"",INDEX(Polymarket!$B$25:$B$316,MATCH($A26,Polymarket!$A$25:$A$316,0))),"")</f>
        <v/>
      </c>
      <c r="C26" s="101">
        <f>IFERROR(IF(INDEX(Kalshi!$D$31:$D$501,MATCH($A26,Kalshi!$A$31:$A$501,0))=0,"",INDEX(Kalshi!$D$31:$D$501,MATCH($A26,Kalshi!$A$31:$A$501,0))),"")</f>
        <v/>
      </c>
      <c r="D26" s="31">
        <f>IF(AND(ISNUMBER(B26),ISNUMBER(C26)),B26-C26,"")</f>
        <v/>
      </c>
      <c r="E26" s="29">
        <f>IF(ISNUMBER(D26),ABS(D26),"")</f>
        <v/>
      </c>
      <c r="F26" s="101">
        <f>IFERROR(IF(INDEX(Polymarket!$C$25:$C$316,MATCH($A26,Polymarket!$A$25:$A$316,0))=0,"",INDEX(Polymarket!$C$25:$C$316,MATCH($A26,Polymarket!$A$25:$A$316,0))),"")</f>
        <v/>
      </c>
      <c r="G26" s="101">
        <f>IFERROR(IF(INDEX(Kalshi!$G$31:$G$501,MATCH($A26,Kalshi!$A$31:$A$501,0))=0,"",INDEX(Kalshi!$G$31:$G$501,MATCH($A26,Kalshi!$A$31:$A$501,0))),"")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IFERROR(IF(INDEX(Polymarket!$B$25:$B$316,MATCH($A27,Polymarket!$A$25:$A$316,0))=0,"",INDEX(Polymarket!$B$25:$B$316,MATCH($A27,Polymarket!$A$25:$A$316,0))),"")</f>
        <v/>
      </c>
      <c r="C27" s="100">
        <f>IFERROR(IF(INDEX(Kalshi!$D$31:$D$501,MATCH($A27,Kalshi!$A$31:$A$501,0))=0,"",INDEX(Kalshi!$D$31:$D$501,MATCH($A27,Kalshi!$A$31:$A$501,0))),"")</f>
        <v/>
      </c>
      <c r="D27" s="18">
        <f>IF(AND(ISNUMBER(B27),ISNUMBER(C27)),B27-C27,"")</f>
        <v/>
      </c>
      <c r="E27" s="17">
        <f>IF(ISNUMBER(D27),ABS(D27),"")</f>
        <v/>
      </c>
      <c r="F27" s="100">
        <f>IFERROR(IF(INDEX(Polymarket!$C$25:$C$316,MATCH($A27,Polymarket!$A$25:$A$316,0))=0,"",INDEX(Polymarket!$C$25:$C$316,MATCH($A27,Polymarket!$A$25:$A$316,0))),"")</f>
        <v/>
      </c>
      <c r="G27" s="100">
        <f>IFERROR(IF(INDEX(Kalshi!$G$31:$G$501,MATCH($A27,Kalshi!$A$31:$A$501,0))=0,"",INDEX(Kalshi!$G$31:$G$501,MATCH($A27,Kalshi!$A$31:$A$501,0))),"")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IFERROR(IF(INDEX(Polymarket!$B$25:$B$316,MATCH($A28,Polymarket!$A$25:$A$316,0))=0,"",INDEX(Polymarket!$B$25:$B$316,MATCH($A28,Polymarket!$A$25:$A$316,0))),"")</f>
        <v/>
      </c>
      <c r="C28" s="101">
        <f>IFERROR(IF(INDEX(Kalshi!$D$31:$D$501,MATCH($A28,Kalshi!$A$31:$A$501,0))=0,"",INDEX(Kalshi!$D$31:$D$501,MATCH($A28,Kalshi!$A$31:$A$501,0))),"")</f>
        <v/>
      </c>
      <c r="D28" s="31">
        <f>IF(AND(ISNUMBER(B28),ISNUMBER(C28)),B28-C28,"")</f>
        <v/>
      </c>
      <c r="E28" s="29">
        <f>IF(ISNUMBER(D28),ABS(D28),"")</f>
        <v/>
      </c>
      <c r="F28" s="101">
        <f>IFERROR(IF(INDEX(Polymarket!$C$25:$C$316,MATCH($A28,Polymarket!$A$25:$A$316,0))=0,"",INDEX(Polymarket!$C$25:$C$316,MATCH($A28,Polymarket!$A$25:$A$316,0))),"")</f>
        <v/>
      </c>
      <c r="G28" s="101">
        <f>IFERROR(IF(INDEX(Kalshi!$G$31:$G$501,MATCH($A28,Kalshi!$A$31:$A$501,0))=0,"",INDEX(Kalshi!$G$31:$G$501,MATCH($A28,Kalshi!$A$31:$A$501,0))),"")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IFERROR(IF(INDEX(Polymarket!$B$25:$B$316,MATCH($A29,Polymarket!$A$25:$A$316,0))=0,"",INDEX(Polymarket!$B$25:$B$316,MATCH($A29,Polymarket!$A$25:$A$316,0))),"")</f>
        <v/>
      </c>
      <c r="C29" s="100">
        <f>IFERROR(IF(INDEX(Kalshi!$D$31:$D$501,MATCH($A29,Kalshi!$A$31:$A$501,0))=0,"",INDEX(Kalshi!$D$31:$D$501,MATCH($A29,Kalshi!$A$31:$A$501,0))),"")</f>
        <v/>
      </c>
      <c r="D29" s="18">
        <f>IF(AND(ISNUMBER(B29),ISNUMBER(C29)),B29-C29,"")</f>
        <v/>
      </c>
      <c r="E29" s="17">
        <f>IF(ISNUMBER(D29),ABS(D29),"")</f>
        <v/>
      </c>
      <c r="F29" s="100">
        <f>IFERROR(IF(INDEX(Polymarket!$C$25:$C$316,MATCH($A29,Polymarket!$A$25:$A$316,0))=0,"",INDEX(Polymarket!$C$25:$C$316,MATCH($A29,Polymarket!$A$25:$A$316,0))),"")</f>
        <v/>
      </c>
      <c r="G29" s="100">
        <f>IFERROR(IF(INDEX(Kalshi!$G$31:$G$501,MATCH($A29,Kalshi!$A$31:$A$501,0))=0,"",INDEX(Kalshi!$G$31:$G$501,MATCH($A29,Kalshi!$A$31:$A$501,0))),"")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IFERROR(IF(INDEX(Polymarket!$B$25:$B$316,MATCH($A30,Polymarket!$A$25:$A$316,0))=0,"",INDEX(Polymarket!$B$25:$B$316,MATCH($A30,Polymarket!$A$25:$A$316,0))),"")</f>
        <v/>
      </c>
      <c r="C30" s="101">
        <f>IFERROR(IF(INDEX(Kalshi!$D$31:$D$501,MATCH($A30,Kalshi!$A$31:$A$501,0))=0,"",INDEX(Kalshi!$D$31:$D$501,MATCH($A30,Kalshi!$A$31:$A$501,0))),"")</f>
        <v/>
      </c>
      <c r="D30" s="31">
        <f>IF(AND(ISNUMBER(B30),ISNUMBER(C30)),B30-C30,"")</f>
        <v/>
      </c>
      <c r="E30" s="29">
        <f>IF(ISNUMBER(D30),ABS(D30),"")</f>
        <v/>
      </c>
      <c r="F30" s="101">
        <f>IFERROR(IF(INDEX(Polymarket!$C$25:$C$316,MATCH($A30,Polymarket!$A$25:$A$316,0))=0,"",INDEX(Polymarket!$C$25:$C$316,MATCH($A30,Polymarket!$A$25:$A$316,0))),"")</f>
        <v/>
      </c>
      <c r="G30" s="101">
        <f>IFERROR(IF(INDEX(Kalshi!$G$31:$G$501,MATCH($A30,Kalshi!$A$31:$A$501,0))=0,"",INDEX(Kalshi!$G$31:$G$501,MATCH($A30,Kalshi!$A$31:$A$501,0))),"")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IFERROR(IF(INDEX(Polymarket!$B$25:$B$316,MATCH($A31,Polymarket!$A$25:$A$316,0))=0,"",INDEX(Polymarket!$B$25:$B$316,MATCH($A31,Polymarket!$A$25:$A$316,0))),"")</f>
        <v/>
      </c>
      <c r="C31" s="100">
        <f>IFERROR(IF(INDEX(Kalshi!$D$31:$D$501,MATCH($A31,Kalshi!$A$31:$A$501,0))=0,"",INDEX(Kalshi!$D$31:$D$501,MATCH($A31,Kalshi!$A$31:$A$501,0))),"")</f>
        <v/>
      </c>
      <c r="D31" s="18">
        <f>IF(AND(ISNUMBER(B31),ISNUMBER(C31)),B31-C31,"")</f>
        <v/>
      </c>
      <c r="E31" s="17">
        <f>IF(ISNUMBER(D31),ABS(D31),"")</f>
        <v/>
      </c>
      <c r="F31" s="100">
        <f>IFERROR(IF(INDEX(Polymarket!$C$25:$C$316,MATCH($A31,Polymarket!$A$25:$A$316,0))=0,"",INDEX(Polymarket!$C$25:$C$316,MATCH($A31,Polymarket!$A$25:$A$316,0))),"")</f>
        <v/>
      </c>
      <c r="G31" s="100">
        <f>IFERROR(IF(INDEX(Kalshi!$G$31:$G$501,MATCH($A31,Kalshi!$A$31:$A$501,0))=0,"",INDEX(Kalshi!$G$31:$G$501,MATCH($A31,Kalshi!$A$31:$A$501,0))),"")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IFERROR(IF(INDEX(Polymarket!$B$25:$B$316,MATCH($A32,Polymarket!$A$25:$A$316,0))=0,"",INDEX(Polymarket!$B$25:$B$316,MATCH($A32,Polymarket!$A$25:$A$316,0))),"")</f>
        <v/>
      </c>
      <c r="C32" s="101">
        <f>IFERROR(IF(INDEX(Kalshi!$D$31:$D$501,MATCH($A32,Kalshi!$A$31:$A$501,0))=0,"",INDEX(Kalshi!$D$31:$D$501,MATCH($A32,Kalshi!$A$31:$A$501,0))),"")</f>
        <v/>
      </c>
      <c r="D32" s="31">
        <f>IF(AND(ISNUMBER(B32),ISNUMBER(C32)),B32-C32,"")</f>
        <v/>
      </c>
      <c r="E32" s="29">
        <f>IF(ISNUMBER(D32),ABS(D32),"")</f>
        <v/>
      </c>
      <c r="F32" s="101">
        <f>IFERROR(IF(INDEX(Polymarket!$C$25:$C$316,MATCH($A32,Polymarket!$A$25:$A$316,0))=0,"",INDEX(Polymarket!$C$25:$C$316,MATCH($A32,Polymarket!$A$25:$A$316,0))),"")</f>
        <v/>
      </c>
      <c r="G32" s="101">
        <f>IFERROR(IF(INDEX(Kalshi!$G$31:$G$501,MATCH($A32,Kalshi!$A$31:$A$501,0))=0,"",INDEX(Kalshi!$G$31:$G$501,MATCH($A32,Kalshi!$A$31:$A$501,0))),"")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IFERROR(IF(INDEX(Polymarket!$B$25:$B$316,MATCH($A33,Polymarket!$A$25:$A$316,0))=0,"",INDEX(Polymarket!$B$25:$B$316,MATCH($A33,Polymarket!$A$25:$A$316,0))),"")</f>
        <v/>
      </c>
      <c r="C33" s="100">
        <f>IFERROR(IF(INDEX(Kalshi!$D$31:$D$501,MATCH($A33,Kalshi!$A$31:$A$501,0))=0,"",INDEX(Kalshi!$D$31:$D$501,MATCH($A33,Kalshi!$A$31:$A$501,0))),"")</f>
        <v/>
      </c>
      <c r="D33" s="18">
        <f>IF(AND(ISNUMBER(B33),ISNUMBER(C33)),B33-C33,"")</f>
        <v/>
      </c>
      <c r="E33" s="17">
        <f>IF(ISNUMBER(D33),ABS(D33),"")</f>
        <v/>
      </c>
      <c r="F33" s="100">
        <f>IFERROR(IF(INDEX(Polymarket!$C$25:$C$316,MATCH($A33,Polymarket!$A$25:$A$316,0))=0,"",INDEX(Polymarket!$C$25:$C$316,MATCH($A33,Polymarket!$A$25:$A$316,0))),"")</f>
        <v/>
      </c>
      <c r="G33" s="100">
        <f>IFERROR(IF(INDEX(Kalshi!$G$31:$G$501,MATCH($A33,Kalshi!$A$31:$A$501,0))=0,"",INDEX(Kalshi!$G$31:$G$501,MATCH($A33,Kalshi!$A$31:$A$501,0))),"")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IFERROR(IF(INDEX(Polymarket!$B$25:$B$316,MATCH($A34,Polymarket!$A$25:$A$316,0))=0,"",INDEX(Polymarket!$B$25:$B$316,MATCH($A34,Polymarket!$A$25:$A$316,0))),"")</f>
        <v/>
      </c>
      <c r="C34" s="101">
        <f>IFERROR(IF(INDEX(Kalshi!$D$31:$D$501,MATCH($A34,Kalshi!$A$31:$A$501,0))=0,"",INDEX(Kalshi!$D$31:$D$501,MATCH($A34,Kalshi!$A$31:$A$501,0))),"")</f>
        <v/>
      </c>
      <c r="D34" s="31">
        <f>IF(AND(ISNUMBER(B34),ISNUMBER(C34)),B34-C34,"")</f>
        <v/>
      </c>
      <c r="E34" s="29">
        <f>IF(ISNUMBER(D34),ABS(D34),"")</f>
        <v/>
      </c>
      <c r="F34" s="101">
        <f>IFERROR(IF(INDEX(Polymarket!$C$25:$C$316,MATCH($A34,Polymarket!$A$25:$A$316,0))=0,"",INDEX(Polymarket!$C$25:$C$316,MATCH($A34,Polymarket!$A$25:$A$316,0))),"")</f>
        <v/>
      </c>
      <c r="G34" s="101">
        <f>IFERROR(IF(INDEX(Kalshi!$G$31:$G$501,MATCH($A34,Kalshi!$A$31:$A$501,0))=0,"",INDEX(Kalshi!$G$31:$G$501,MATCH($A34,Kalshi!$A$31:$A$501,0))),"")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IFERROR(IF(INDEX(Polymarket!$B$25:$B$316,MATCH($A35,Polymarket!$A$25:$A$316,0))=0,"",INDEX(Polymarket!$B$25:$B$316,MATCH($A35,Polymarket!$A$25:$A$316,0))),"")</f>
        <v/>
      </c>
      <c r="C35" s="100">
        <f>IFERROR(IF(INDEX(Kalshi!$D$31:$D$501,MATCH($A35,Kalshi!$A$31:$A$501,0))=0,"",INDEX(Kalshi!$D$31:$D$501,MATCH($A35,Kalshi!$A$31:$A$501,0))),"")</f>
        <v/>
      </c>
      <c r="D35" s="18">
        <f>IF(AND(ISNUMBER(B35),ISNUMBER(C35)),B35-C35,"")</f>
        <v/>
      </c>
      <c r="E35" s="17">
        <f>IF(ISNUMBER(D35),ABS(D35),"")</f>
        <v/>
      </c>
      <c r="F35" s="100">
        <f>IFERROR(IF(INDEX(Polymarket!$C$25:$C$316,MATCH($A35,Polymarket!$A$25:$A$316,0))=0,"",INDEX(Polymarket!$C$25:$C$316,MATCH($A35,Polymarket!$A$25:$A$316,0))),"")</f>
        <v/>
      </c>
      <c r="G35" s="100">
        <f>IFERROR(IF(INDEX(Kalshi!$G$31:$G$501,MATCH($A35,Kalshi!$A$31:$A$501,0))=0,"",INDEX(Kalshi!$G$31:$G$501,MATCH($A35,Kalshi!$A$31:$A$501,0))),"")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IFERROR(IF(INDEX(Polymarket!$B$25:$B$316,MATCH($A36,Polymarket!$A$25:$A$316,0))=0,"",INDEX(Polymarket!$B$25:$B$316,MATCH($A36,Polymarket!$A$25:$A$316,0))),"")</f>
        <v/>
      </c>
      <c r="C36" s="101">
        <f>IFERROR(IF(INDEX(Kalshi!$D$31:$D$501,MATCH($A36,Kalshi!$A$31:$A$501,0))=0,"",INDEX(Kalshi!$D$31:$D$501,MATCH($A36,Kalshi!$A$31:$A$501,0))),"")</f>
        <v/>
      </c>
      <c r="D36" s="31">
        <f>IF(AND(ISNUMBER(B36),ISNUMBER(C36)),B36-C36,"")</f>
        <v/>
      </c>
      <c r="E36" s="29">
        <f>IF(ISNUMBER(D36),ABS(D36),"")</f>
        <v/>
      </c>
      <c r="F36" s="101">
        <f>IFERROR(IF(INDEX(Polymarket!$C$25:$C$316,MATCH($A36,Polymarket!$A$25:$A$316,0))=0,"",INDEX(Polymarket!$C$25:$C$316,MATCH($A36,Polymarket!$A$25:$A$316,0))),"")</f>
        <v/>
      </c>
      <c r="G36" s="101">
        <f>IFERROR(IF(INDEX(Kalshi!$G$31:$G$501,MATCH($A36,Kalshi!$A$31:$A$501,0))=0,"",INDEX(Kalshi!$G$31:$G$501,MATCH($A36,Kalshi!$A$31:$A$501,0))),"")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IFERROR(IF(INDEX(Polymarket!$B$25:$B$316,MATCH($A37,Polymarket!$A$25:$A$316,0))=0,"",INDEX(Polymarket!$B$25:$B$316,MATCH($A37,Polymarket!$A$25:$A$316,0))),"")</f>
        <v/>
      </c>
      <c r="C37" s="100">
        <f>IFERROR(IF(INDEX(Kalshi!$D$31:$D$501,MATCH($A37,Kalshi!$A$31:$A$501,0))=0,"",INDEX(Kalshi!$D$31:$D$501,MATCH($A37,Kalshi!$A$31:$A$501,0))),"")</f>
        <v/>
      </c>
      <c r="D37" s="18">
        <f>IF(AND(ISNUMBER(B37),ISNUMBER(C37)),B37-C37,"")</f>
        <v/>
      </c>
      <c r="E37" s="17">
        <f>IF(ISNUMBER(D37),ABS(D37),"")</f>
        <v/>
      </c>
      <c r="F37" s="100">
        <f>IFERROR(IF(INDEX(Polymarket!$C$25:$C$316,MATCH($A37,Polymarket!$A$25:$A$316,0))=0,"",INDEX(Polymarket!$C$25:$C$316,MATCH($A37,Polymarket!$A$25:$A$316,0))),"")</f>
        <v/>
      </c>
      <c r="G37" s="100">
        <f>IFERROR(IF(INDEX(Kalshi!$G$31:$G$501,MATCH($A37,Kalshi!$A$31:$A$501,0))=0,"",INDEX(Kalshi!$G$31:$G$501,MATCH($A37,Kalshi!$A$31:$A$501,0))),"")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IFERROR(IF(INDEX(Polymarket!$B$25:$B$316,MATCH($A38,Polymarket!$A$25:$A$316,0))=0,"",INDEX(Polymarket!$B$25:$B$316,MATCH($A38,Polymarket!$A$25:$A$316,0))),"")</f>
        <v/>
      </c>
      <c r="C38" s="101">
        <f>IFERROR(IF(INDEX(Kalshi!$D$31:$D$501,MATCH($A38,Kalshi!$A$31:$A$501,0))=0,"",INDEX(Kalshi!$D$31:$D$501,MATCH($A38,Kalshi!$A$31:$A$501,0))),"")</f>
        <v/>
      </c>
      <c r="D38" s="31">
        <f>IF(AND(ISNUMBER(B38),ISNUMBER(C38)),B38-C38,"")</f>
        <v/>
      </c>
      <c r="E38" s="29">
        <f>IF(ISNUMBER(D38),ABS(D38),"")</f>
        <v/>
      </c>
      <c r="F38" s="101">
        <f>IFERROR(IF(INDEX(Polymarket!$C$25:$C$316,MATCH($A38,Polymarket!$A$25:$A$316,0))=0,"",INDEX(Polymarket!$C$25:$C$316,MATCH($A38,Polymarket!$A$25:$A$316,0))),"")</f>
        <v/>
      </c>
      <c r="G38" s="101">
        <f>IFERROR(IF(INDEX(Kalshi!$G$31:$G$501,MATCH($A38,Kalshi!$A$31:$A$501,0))=0,"",INDEX(Kalshi!$G$31:$G$501,MATCH($A38,Kalshi!$A$31:$A$501,0))),"")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IFERROR(IF(INDEX(Polymarket!$B$25:$B$316,MATCH($A39,Polymarket!$A$25:$A$316,0))=0,"",INDEX(Polymarket!$B$25:$B$316,MATCH($A39,Polymarket!$A$25:$A$316,0))),"")</f>
        <v/>
      </c>
      <c r="C39" s="100">
        <f>IFERROR(IF(INDEX(Kalshi!$D$31:$D$501,MATCH($A39,Kalshi!$A$31:$A$501,0))=0,"",INDEX(Kalshi!$D$31:$D$501,MATCH($A39,Kalshi!$A$31:$A$501,0))),"")</f>
        <v/>
      </c>
      <c r="D39" s="18">
        <f>IF(AND(ISNUMBER(B39),ISNUMBER(C39)),B39-C39,"")</f>
        <v/>
      </c>
      <c r="E39" s="17">
        <f>IF(ISNUMBER(D39),ABS(D39),"")</f>
        <v/>
      </c>
      <c r="F39" s="100">
        <f>IFERROR(IF(INDEX(Polymarket!$C$25:$C$316,MATCH($A39,Polymarket!$A$25:$A$316,0))=0,"",INDEX(Polymarket!$C$25:$C$316,MATCH($A39,Polymarket!$A$25:$A$316,0))),"")</f>
        <v/>
      </c>
      <c r="G39" s="100">
        <f>IFERROR(IF(INDEX(Kalshi!$G$31:$G$501,MATCH($A39,Kalshi!$A$31:$A$501,0))=0,"",INDEX(Kalshi!$G$31:$G$501,MATCH($A39,Kalshi!$A$31:$A$501,0))),"")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IFERROR(IF(INDEX(Polymarket!$B$25:$B$316,MATCH($A40,Polymarket!$A$25:$A$316,0))=0,"",INDEX(Polymarket!$B$25:$B$316,MATCH($A40,Polymarket!$A$25:$A$316,0))),"")</f>
        <v/>
      </c>
      <c r="C40" s="101">
        <f>IFERROR(IF(INDEX(Kalshi!$D$31:$D$501,MATCH($A40,Kalshi!$A$31:$A$501,0))=0,"",INDEX(Kalshi!$D$31:$D$501,MATCH($A40,Kalshi!$A$31:$A$501,0))),"")</f>
        <v/>
      </c>
      <c r="D40" s="31">
        <f>IF(AND(ISNUMBER(B40),ISNUMBER(C40)),B40-C40,"")</f>
        <v/>
      </c>
      <c r="E40" s="29">
        <f>IF(ISNUMBER(D40),ABS(D40),"")</f>
        <v/>
      </c>
      <c r="F40" s="101">
        <f>IFERROR(IF(INDEX(Polymarket!$C$25:$C$316,MATCH($A40,Polymarket!$A$25:$A$316,0))=0,"",INDEX(Polymarket!$C$25:$C$316,MATCH($A40,Polymarket!$A$25:$A$316,0))),"")</f>
        <v/>
      </c>
      <c r="G40" s="101">
        <f>IFERROR(IF(INDEX(Kalshi!$G$31:$G$501,MATCH($A40,Kalshi!$A$31:$A$501,0))=0,"",INDEX(Kalshi!$G$31:$G$501,MATCH($A40,Kalshi!$A$31:$A$501,0))),"")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IFERROR(IF(INDEX(Polymarket!$B$25:$B$316,MATCH($A41,Polymarket!$A$25:$A$316,0))=0,"",INDEX(Polymarket!$B$25:$B$316,MATCH($A41,Polymarket!$A$25:$A$316,0))),"")</f>
        <v/>
      </c>
      <c r="C41" s="100">
        <f>IFERROR(IF(INDEX(Kalshi!$D$31:$D$501,MATCH($A41,Kalshi!$A$31:$A$501,0))=0,"",INDEX(Kalshi!$D$31:$D$501,MATCH($A41,Kalshi!$A$31:$A$501,0))),"")</f>
        <v/>
      </c>
      <c r="D41" s="18">
        <f>IF(AND(ISNUMBER(B41),ISNUMBER(C41)),B41-C41,"")</f>
        <v/>
      </c>
      <c r="E41" s="17">
        <f>IF(ISNUMBER(D41),ABS(D41),"")</f>
        <v/>
      </c>
      <c r="F41" s="100">
        <f>IFERROR(IF(INDEX(Polymarket!$C$25:$C$316,MATCH($A41,Polymarket!$A$25:$A$316,0))=0,"",INDEX(Polymarket!$C$25:$C$316,MATCH($A41,Polymarket!$A$25:$A$316,0))),"")</f>
        <v/>
      </c>
      <c r="G41" s="100">
        <f>IFERROR(IF(INDEX(Kalshi!$G$31:$G$501,MATCH($A41,Kalshi!$A$31:$A$501,0))=0,"",INDEX(Kalshi!$G$31:$G$501,MATCH($A41,Kalshi!$A$31:$A$501,0))),"")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IFERROR(IF(INDEX(Polymarket!$B$25:$B$316,MATCH($A42,Polymarket!$A$25:$A$316,0))=0,"",INDEX(Polymarket!$B$25:$B$316,MATCH($A42,Polymarket!$A$25:$A$316,0))),"")</f>
        <v/>
      </c>
      <c r="C42" s="101">
        <f>IFERROR(IF(INDEX(Kalshi!$D$31:$D$501,MATCH($A42,Kalshi!$A$31:$A$501,0))=0,"",INDEX(Kalshi!$D$31:$D$501,MATCH($A42,Kalshi!$A$31:$A$501,0))),"")</f>
        <v/>
      </c>
      <c r="D42" s="31">
        <f>IF(AND(ISNUMBER(B42),ISNUMBER(C42)),B42-C42,"")</f>
        <v/>
      </c>
      <c r="E42" s="29">
        <f>IF(ISNUMBER(D42),ABS(D42),"")</f>
        <v/>
      </c>
      <c r="F42" s="101">
        <f>IFERROR(IF(INDEX(Polymarket!$C$25:$C$316,MATCH($A42,Polymarket!$A$25:$A$316,0))=0,"",INDEX(Polymarket!$C$25:$C$316,MATCH($A42,Polymarket!$A$25:$A$316,0))),"")</f>
        <v/>
      </c>
      <c r="G42" s="101">
        <f>IFERROR(IF(INDEX(Kalshi!$G$31:$G$501,MATCH($A42,Kalshi!$A$31:$A$501,0))=0,"",INDEX(Kalshi!$G$31:$G$501,MATCH($A42,Kalshi!$A$31:$A$501,0))),"")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IFERROR(IF(INDEX(Polymarket!$B$25:$B$316,MATCH($A43,Polymarket!$A$25:$A$316,0))=0,"",INDEX(Polymarket!$B$25:$B$316,MATCH($A43,Polymarket!$A$25:$A$316,0))),"")</f>
        <v/>
      </c>
      <c r="C43" s="100">
        <f>IFERROR(IF(INDEX(Kalshi!$D$31:$D$501,MATCH($A43,Kalshi!$A$31:$A$501,0))=0,"",INDEX(Kalshi!$D$31:$D$501,MATCH($A43,Kalshi!$A$31:$A$501,0))),"")</f>
        <v/>
      </c>
      <c r="D43" s="18">
        <f>IF(AND(ISNUMBER(B43),ISNUMBER(C43)),B43-C43,"")</f>
        <v/>
      </c>
      <c r="E43" s="17">
        <f>IF(ISNUMBER(D43),ABS(D43),"")</f>
        <v/>
      </c>
      <c r="F43" s="100">
        <f>IFERROR(IF(INDEX(Polymarket!$C$25:$C$316,MATCH($A43,Polymarket!$A$25:$A$316,0))=0,"",INDEX(Polymarket!$C$25:$C$316,MATCH($A43,Polymarket!$A$25:$A$316,0))),"")</f>
        <v/>
      </c>
      <c r="G43" s="100">
        <f>IFERROR(IF(INDEX(Kalshi!$G$31:$G$501,MATCH($A43,Kalshi!$A$31:$A$501,0))=0,"",INDEX(Kalshi!$G$31:$G$501,MATCH($A43,Kalshi!$A$31:$A$501,0))),"")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IFERROR(IF(INDEX(Polymarket!$B$25:$B$316,MATCH($A44,Polymarket!$A$25:$A$316,0))=0,"",INDEX(Polymarket!$B$25:$B$316,MATCH($A44,Polymarket!$A$25:$A$316,0))),"")</f>
        <v/>
      </c>
      <c r="C44" s="101">
        <f>IFERROR(IF(INDEX(Kalshi!$D$31:$D$501,MATCH($A44,Kalshi!$A$31:$A$501,0))=0,"",INDEX(Kalshi!$D$31:$D$501,MATCH($A44,Kalshi!$A$31:$A$501,0))),"")</f>
        <v/>
      </c>
      <c r="D44" s="31">
        <f>IF(AND(ISNUMBER(B44),ISNUMBER(C44)),B44-C44,"")</f>
        <v/>
      </c>
      <c r="E44" s="29">
        <f>IF(ISNUMBER(D44),ABS(D44),"")</f>
        <v/>
      </c>
      <c r="F44" s="101">
        <f>IFERROR(IF(INDEX(Polymarket!$C$25:$C$316,MATCH($A44,Polymarket!$A$25:$A$316,0))=0,"",INDEX(Polymarket!$C$25:$C$316,MATCH($A44,Polymarket!$A$25:$A$316,0))),"")</f>
        <v/>
      </c>
      <c r="G44" s="101">
        <f>IFERROR(IF(INDEX(Kalshi!$G$31:$G$501,MATCH($A44,Kalshi!$A$31:$A$501,0))=0,"",INDEX(Kalshi!$G$31:$G$501,MATCH($A44,Kalshi!$A$31:$A$501,0))),"")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IFERROR(IF(INDEX(Polymarket!$B$25:$B$316,MATCH($A45,Polymarket!$A$25:$A$316,0))=0,"",INDEX(Polymarket!$B$25:$B$316,MATCH($A45,Polymarket!$A$25:$A$316,0))),"")</f>
        <v/>
      </c>
      <c r="C45" s="100">
        <f>IFERROR(IF(INDEX(Kalshi!$D$31:$D$501,MATCH($A45,Kalshi!$A$31:$A$501,0))=0,"",INDEX(Kalshi!$D$31:$D$501,MATCH($A45,Kalshi!$A$31:$A$501,0))),"")</f>
        <v/>
      </c>
      <c r="D45" s="18">
        <f>IF(AND(ISNUMBER(B45),ISNUMBER(C45)),B45-C45,"")</f>
        <v/>
      </c>
      <c r="E45" s="17">
        <f>IF(ISNUMBER(D45),ABS(D45),"")</f>
        <v/>
      </c>
      <c r="F45" s="100">
        <f>IFERROR(IF(INDEX(Polymarket!$C$25:$C$316,MATCH($A45,Polymarket!$A$25:$A$316,0))=0,"",INDEX(Polymarket!$C$25:$C$316,MATCH($A45,Polymarket!$A$25:$A$316,0))),"")</f>
        <v/>
      </c>
      <c r="G45" s="100">
        <f>IFERROR(IF(INDEX(Kalshi!$G$31:$G$501,MATCH($A45,Kalshi!$A$31:$A$501,0))=0,"",INDEX(Kalshi!$G$31:$G$501,MATCH($A45,Kalshi!$A$31:$A$501,0))),"")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IFERROR(IF(INDEX(Polymarket!$B$25:$B$316,MATCH($A46,Polymarket!$A$25:$A$316,0))=0,"",INDEX(Polymarket!$B$25:$B$316,MATCH($A46,Polymarket!$A$25:$A$316,0))),"")</f>
        <v/>
      </c>
      <c r="C46" s="101">
        <f>IFERROR(IF(INDEX(Kalshi!$D$31:$D$501,MATCH($A46,Kalshi!$A$31:$A$501,0))=0,"",INDEX(Kalshi!$D$31:$D$501,MATCH($A46,Kalshi!$A$31:$A$501,0))),"")</f>
        <v/>
      </c>
      <c r="D46" s="31">
        <f>IF(AND(ISNUMBER(B46),ISNUMBER(C46)),B46-C46,"")</f>
        <v/>
      </c>
      <c r="E46" s="29">
        <f>IF(ISNUMBER(D46),ABS(D46),"")</f>
        <v/>
      </c>
      <c r="F46" s="101">
        <f>IFERROR(IF(INDEX(Polymarket!$C$25:$C$316,MATCH($A46,Polymarket!$A$25:$A$316,0))=0,"",INDEX(Polymarket!$C$25:$C$316,MATCH($A46,Polymarket!$A$25:$A$316,0))),"")</f>
        <v/>
      </c>
      <c r="G46" s="101">
        <f>IFERROR(IF(INDEX(Kalshi!$G$31:$G$501,MATCH($A46,Kalshi!$A$31:$A$501,0))=0,"",INDEX(Kalshi!$G$31:$G$501,MATCH($A46,Kalshi!$A$31:$A$501,0))),"")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IFERROR(IF(INDEX(Polymarket!$B$25:$B$316,MATCH($A47,Polymarket!$A$25:$A$316,0))=0,"",INDEX(Polymarket!$B$25:$B$316,MATCH($A47,Polymarket!$A$25:$A$316,0))),"")</f>
        <v/>
      </c>
      <c r="C47" s="100">
        <f>IFERROR(IF(INDEX(Kalshi!$D$31:$D$501,MATCH($A47,Kalshi!$A$31:$A$501,0))=0,"",INDEX(Kalshi!$D$31:$D$501,MATCH($A47,Kalshi!$A$31:$A$501,0))),"")</f>
        <v/>
      </c>
      <c r="D47" s="18">
        <f>IF(AND(ISNUMBER(B47),ISNUMBER(C47)),B47-C47,"")</f>
        <v/>
      </c>
      <c r="E47" s="17">
        <f>IF(ISNUMBER(D47),ABS(D47),"")</f>
        <v/>
      </c>
      <c r="F47" s="100">
        <f>IFERROR(IF(INDEX(Polymarket!$C$25:$C$316,MATCH($A47,Polymarket!$A$25:$A$316,0))=0,"",INDEX(Polymarket!$C$25:$C$316,MATCH($A47,Polymarket!$A$25:$A$316,0))),"")</f>
        <v/>
      </c>
      <c r="G47" s="100">
        <f>IFERROR(IF(INDEX(Kalshi!$G$31:$G$501,MATCH($A47,Kalshi!$A$31:$A$501,0))=0,"",INDEX(Kalshi!$G$31:$G$501,MATCH($A47,Kalshi!$A$31:$A$501,0))),"")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IFERROR(IF(INDEX(Polymarket!$B$25:$B$316,MATCH($A48,Polymarket!$A$25:$A$316,0))=0,"",INDEX(Polymarket!$B$25:$B$316,MATCH($A48,Polymarket!$A$25:$A$316,0))),"")</f>
        <v/>
      </c>
      <c r="C48" s="101">
        <f>IFERROR(IF(INDEX(Kalshi!$D$31:$D$501,MATCH($A48,Kalshi!$A$31:$A$501,0))=0,"",INDEX(Kalshi!$D$31:$D$501,MATCH($A48,Kalshi!$A$31:$A$501,0))),"")</f>
        <v/>
      </c>
      <c r="D48" s="31">
        <f>IF(AND(ISNUMBER(B48),ISNUMBER(C48)),B48-C48,"")</f>
        <v/>
      </c>
      <c r="E48" s="29">
        <f>IF(ISNUMBER(D48),ABS(D48),"")</f>
        <v/>
      </c>
      <c r="F48" s="101">
        <f>IFERROR(IF(INDEX(Polymarket!$C$25:$C$316,MATCH($A48,Polymarket!$A$25:$A$316,0))=0,"",INDEX(Polymarket!$C$25:$C$316,MATCH($A48,Polymarket!$A$25:$A$316,0))),"")</f>
        <v/>
      </c>
      <c r="G48" s="101">
        <f>IFERROR(IF(INDEX(Kalshi!$G$31:$G$501,MATCH($A48,Kalshi!$A$31:$A$501,0))=0,"",INDEX(Kalshi!$G$31:$G$501,MATCH($A48,Kalshi!$A$31:$A$501,0))),"")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IFERROR(IF(INDEX(Polymarket!$B$25:$B$316,MATCH($A49,Polymarket!$A$25:$A$316,0))=0,"",INDEX(Polymarket!$B$25:$B$316,MATCH($A49,Polymarket!$A$25:$A$316,0))),"")</f>
        <v/>
      </c>
      <c r="C49" s="100">
        <f>IFERROR(IF(INDEX(Kalshi!$D$31:$D$501,MATCH($A49,Kalshi!$A$31:$A$501,0))=0,"",INDEX(Kalshi!$D$31:$D$501,MATCH($A49,Kalshi!$A$31:$A$501,0))),"")</f>
        <v/>
      </c>
      <c r="D49" s="18">
        <f>IF(AND(ISNUMBER(B49),ISNUMBER(C49)),B49-C49,"")</f>
        <v/>
      </c>
      <c r="E49" s="17">
        <f>IF(ISNUMBER(D49),ABS(D49),"")</f>
        <v/>
      </c>
      <c r="F49" s="100">
        <f>IFERROR(IF(INDEX(Polymarket!$C$25:$C$316,MATCH($A49,Polymarket!$A$25:$A$316,0))=0,"",INDEX(Polymarket!$C$25:$C$316,MATCH($A49,Polymarket!$A$25:$A$316,0))),"")</f>
        <v/>
      </c>
      <c r="G49" s="100">
        <f>IFERROR(IF(INDEX(Kalshi!$G$31:$G$501,MATCH($A49,Kalshi!$A$31:$A$501,0))=0,"",INDEX(Kalshi!$G$31:$G$501,MATCH($A49,Kalshi!$A$31:$A$501,0))),"")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IFERROR(IF(INDEX(Polymarket!$B$25:$B$316,MATCH($A50,Polymarket!$A$25:$A$316,0))=0,"",INDEX(Polymarket!$B$25:$B$316,MATCH($A50,Polymarket!$A$25:$A$316,0))),"")</f>
        <v/>
      </c>
      <c r="C50" s="101">
        <f>IFERROR(IF(INDEX(Kalshi!$D$31:$D$501,MATCH($A50,Kalshi!$A$31:$A$501,0))=0,"",INDEX(Kalshi!$D$31:$D$501,MATCH($A50,Kalshi!$A$31:$A$501,0))),"")</f>
        <v/>
      </c>
      <c r="D50" s="31">
        <f>IF(AND(ISNUMBER(B50),ISNUMBER(C50)),B50-C50,"")</f>
        <v/>
      </c>
      <c r="E50" s="29">
        <f>IF(ISNUMBER(D50),ABS(D50),"")</f>
        <v/>
      </c>
      <c r="F50" s="101">
        <f>IFERROR(IF(INDEX(Polymarket!$C$25:$C$316,MATCH($A50,Polymarket!$A$25:$A$316,0))=0,"",INDEX(Polymarket!$C$25:$C$316,MATCH($A50,Polymarket!$A$25:$A$316,0))),"")</f>
        <v/>
      </c>
      <c r="G50" s="101">
        <f>IFERROR(IF(INDEX(Kalshi!$G$31:$G$501,MATCH($A50,Kalshi!$A$31:$A$501,0))=0,"",INDEX(Kalshi!$G$31:$G$501,MATCH($A50,Kalshi!$A$31:$A$501,0))),"")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IFERROR(IF(INDEX(Polymarket!$B$25:$B$316,MATCH($A51,Polymarket!$A$25:$A$316,0))=0,"",INDEX(Polymarket!$B$25:$B$316,MATCH($A51,Polymarket!$A$25:$A$316,0))),"")</f>
        <v/>
      </c>
      <c r="C51" s="100">
        <f>IFERROR(IF(INDEX(Kalshi!$D$31:$D$501,MATCH($A51,Kalshi!$A$31:$A$501,0))=0,"",INDEX(Kalshi!$D$31:$D$501,MATCH($A51,Kalshi!$A$31:$A$501,0))),"")</f>
        <v/>
      </c>
      <c r="D51" s="18">
        <f>IF(AND(ISNUMBER(B51),ISNUMBER(C51)),B51-C51,"")</f>
        <v/>
      </c>
      <c r="E51" s="17">
        <f>IF(ISNUMBER(D51),ABS(D51),"")</f>
        <v/>
      </c>
      <c r="F51" s="100">
        <f>IFERROR(IF(INDEX(Polymarket!$C$25:$C$316,MATCH($A51,Polymarket!$A$25:$A$316,0))=0,"",INDEX(Polymarket!$C$25:$C$316,MATCH($A51,Polymarket!$A$25:$A$316,0))),"")</f>
        <v/>
      </c>
      <c r="G51" s="100">
        <f>IFERROR(IF(INDEX(Kalshi!$G$31:$G$501,MATCH($A51,Kalshi!$A$31:$A$501,0))=0,"",INDEX(Kalshi!$G$31:$G$501,MATCH($A51,Kalshi!$A$31:$A$501,0))),"")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IFERROR(IF(INDEX(Polymarket!$B$25:$B$316,MATCH($A52,Polymarket!$A$25:$A$316,0))=0,"",INDEX(Polymarket!$B$25:$B$316,MATCH($A52,Polymarket!$A$25:$A$316,0))),"")</f>
        <v/>
      </c>
      <c r="C52" s="101">
        <f>IFERROR(IF(INDEX(Kalshi!$D$31:$D$501,MATCH($A52,Kalshi!$A$31:$A$501,0))=0,"",INDEX(Kalshi!$D$31:$D$501,MATCH($A52,Kalshi!$A$31:$A$501,0))),"")</f>
        <v/>
      </c>
      <c r="D52" s="31">
        <f>IF(AND(ISNUMBER(B52),ISNUMBER(C52)),B52-C52,"")</f>
        <v/>
      </c>
      <c r="E52" s="29">
        <f>IF(ISNUMBER(D52),ABS(D52),"")</f>
        <v/>
      </c>
      <c r="F52" s="101">
        <f>IFERROR(IF(INDEX(Polymarket!$C$25:$C$316,MATCH($A52,Polymarket!$A$25:$A$316,0))=0,"",INDEX(Polymarket!$C$25:$C$316,MATCH($A52,Polymarket!$A$25:$A$316,0))),"")</f>
        <v/>
      </c>
      <c r="G52" s="101">
        <f>IFERROR(IF(INDEX(Kalshi!$G$31:$G$501,MATCH($A52,Kalshi!$A$31:$A$501,0))=0,"",INDEX(Kalshi!$G$31:$G$501,MATCH($A52,Kalshi!$A$31:$A$501,0))),"")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IFERROR(IF(INDEX(Polymarket!$B$25:$B$316,MATCH($A53,Polymarket!$A$25:$A$316,0))=0,"",INDEX(Polymarket!$B$25:$B$316,MATCH($A53,Polymarket!$A$25:$A$316,0))),"")</f>
        <v/>
      </c>
      <c r="C53" s="100">
        <f>IFERROR(IF(INDEX(Kalshi!$D$31:$D$501,MATCH($A53,Kalshi!$A$31:$A$501,0))=0,"",INDEX(Kalshi!$D$31:$D$501,MATCH($A53,Kalshi!$A$31:$A$501,0))),"")</f>
        <v/>
      </c>
      <c r="D53" s="18">
        <f>IF(AND(ISNUMBER(B53),ISNUMBER(C53)),B53-C53,"")</f>
        <v/>
      </c>
      <c r="E53" s="17">
        <f>IF(ISNUMBER(D53),ABS(D53),"")</f>
        <v/>
      </c>
      <c r="F53" s="100">
        <f>IFERROR(IF(INDEX(Polymarket!$C$25:$C$316,MATCH($A53,Polymarket!$A$25:$A$316,0))=0,"",INDEX(Polymarket!$C$25:$C$316,MATCH($A53,Polymarket!$A$25:$A$316,0))),"")</f>
        <v/>
      </c>
      <c r="G53" s="100">
        <f>IFERROR(IF(INDEX(Kalshi!$G$31:$G$501,MATCH($A53,Kalshi!$A$31:$A$501,0))=0,"",INDEX(Kalshi!$G$31:$G$501,MATCH($A53,Kalshi!$A$31:$A$501,0))),"")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IFERROR(IF(INDEX(Polymarket!$B$25:$B$316,MATCH($A54,Polymarket!$A$25:$A$316,0))=0,"",INDEX(Polymarket!$B$25:$B$316,MATCH($A54,Polymarket!$A$25:$A$316,0))),"")</f>
        <v/>
      </c>
      <c r="C54" s="101">
        <f>IFERROR(IF(INDEX(Kalshi!$D$31:$D$501,MATCH($A54,Kalshi!$A$31:$A$501,0))=0,"",INDEX(Kalshi!$D$31:$D$501,MATCH($A54,Kalshi!$A$31:$A$501,0))),"")</f>
        <v/>
      </c>
      <c r="D54" s="31">
        <f>IF(AND(ISNUMBER(B54),ISNUMBER(C54)),B54-C54,"")</f>
        <v/>
      </c>
      <c r="E54" s="29">
        <f>IF(ISNUMBER(D54),ABS(D54),"")</f>
        <v/>
      </c>
      <c r="F54" s="101">
        <f>IFERROR(IF(INDEX(Polymarket!$C$25:$C$316,MATCH($A54,Polymarket!$A$25:$A$316,0))=0,"",INDEX(Polymarket!$C$25:$C$316,MATCH($A54,Polymarket!$A$25:$A$316,0))),"")</f>
        <v/>
      </c>
      <c r="G54" s="101">
        <f>IFERROR(IF(INDEX(Kalshi!$G$31:$G$501,MATCH($A54,Kalshi!$A$31:$A$501,0))=0,"",INDEX(Kalshi!$G$31:$G$501,MATCH($A54,Kalshi!$A$31:$A$501,0))),"")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IFERROR(IF(INDEX(Polymarket!$B$25:$B$316,MATCH($A55,Polymarket!$A$25:$A$316,0))=0,"",INDEX(Polymarket!$B$25:$B$316,MATCH($A55,Polymarket!$A$25:$A$316,0))),"")</f>
        <v/>
      </c>
      <c r="C55" s="100">
        <f>IFERROR(IF(INDEX(Kalshi!$D$31:$D$501,MATCH($A55,Kalshi!$A$31:$A$501,0))=0,"",INDEX(Kalshi!$D$31:$D$501,MATCH($A55,Kalshi!$A$31:$A$501,0))),"")</f>
        <v/>
      </c>
      <c r="D55" s="18">
        <f>IF(AND(ISNUMBER(B55),ISNUMBER(C55)),B55-C55,"")</f>
        <v/>
      </c>
      <c r="E55" s="17">
        <f>IF(ISNUMBER(D55),ABS(D55),"")</f>
        <v/>
      </c>
      <c r="F55" s="100">
        <f>IFERROR(IF(INDEX(Polymarket!$C$25:$C$316,MATCH($A55,Polymarket!$A$25:$A$316,0))=0,"",INDEX(Polymarket!$C$25:$C$316,MATCH($A55,Polymarket!$A$25:$A$316,0))),"")</f>
        <v/>
      </c>
      <c r="G55" s="100">
        <f>IFERROR(IF(INDEX(Kalshi!$G$31:$G$501,MATCH($A55,Kalshi!$A$31:$A$501,0))=0,"",INDEX(Kalshi!$G$31:$G$501,MATCH($A55,Kalshi!$A$31:$A$501,0))),"")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IFERROR(IF(INDEX(Polymarket!$B$25:$B$316,MATCH($A56,Polymarket!$A$25:$A$316,0))=0,"",INDEX(Polymarket!$B$25:$B$316,MATCH($A56,Polymarket!$A$25:$A$316,0))),"")</f>
        <v/>
      </c>
      <c r="C56" s="101">
        <f>IFERROR(IF(INDEX(Kalshi!$D$31:$D$501,MATCH($A56,Kalshi!$A$31:$A$501,0))=0,"",INDEX(Kalshi!$D$31:$D$501,MATCH($A56,Kalshi!$A$31:$A$501,0))),"")</f>
        <v/>
      </c>
      <c r="D56" s="31">
        <f>IF(AND(ISNUMBER(B56),ISNUMBER(C56)),B56-C56,"")</f>
        <v/>
      </c>
      <c r="E56" s="29">
        <f>IF(ISNUMBER(D56),ABS(D56),"")</f>
        <v/>
      </c>
      <c r="F56" s="101">
        <f>IFERROR(IF(INDEX(Polymarket!$C$25:$C$316,MATCH($A56,Polymarket!$A$25:$A$316,0))=0,"",INDEX(Polymarket!$C$25:$C$316,MATCH($A56,Polymarket!$A$25:$A$316,0))),"")</f>
        <v/>
      </c>
      <c r="G56" s="101">
        <f>IFERROR(IF(INDEX(Kalshi!$G$31:$G$501,MATCH($A56,Kalshi!$A$31:$A$501,0))=0,"",INDEX(Kalshi!$G$31:$G$501,MATCH($A56,Kalshi!$A$31:$A$501,0))),"")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IFERROR(IF(INDEX(Polymarket!$B$25:$B$316,MATCH($A57,Polymarket!$A$25:$A$316,0))=0,"",INDEX(Polymarket!$B$25:$B$316,MATCH($A57,Polymarket!$A$25:$A$316,0))),"")</f>
        <v/>
      </c>
      <c r="C57" s="100">
        <f>IFERROR(IF(INDEX(Kalshi!$D$31:$D$501,MATCH($A57,Kalshi!$A$31:$A$501,0))=0,"",INDEX(Kalshi!$D$31:$D$501,MATCH($A57,Kalshi!$A$31:$A$501,0))),"")</f>
        <v/>
      </c>
      <c r="D57" s="18">
        <f>IF(AND(ISNUMBER(B57),ISNUMBER(C57)),B57-C57,"")</f>
        <v/>
      </c>
      <c r="E57" s="17">
        <f>IF(ISNUMBER(D57),ABS(D57),"")</f>
        <v/>
      </c>
      <c r="F57" s="100">
        <f>IFERROR(IF(INDEX(Polymarket!$C$25:$C$316,MATCH($A57,Polymarket!$A$25:$A$316,0))=0,"",INDEX(Polymarket!$C$25:$C$316,MATCH($A57,Polymarket!$A$25:$A$316,0))),"")</f>
        <v/>
      </c>
      <c r="G57" s="100">
        <f>IFERROR(IF(INDEX(Kalshi!$G$31:$G$501,MATCH($A57,Kalshi!$A$31:$A$501,0))=0,"",INDEX(Kalshi!$G$31:$G$501,MATCH($A57,Kalshi!$A$31:$A$501,0))),"")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IFERROR(IF(INDEX(Polymarket!$B$25:$B$316,MATCH($A58,Polymarket!$A$25:$A$316,0))=0,"",INDEX(Polymarket!$B$25:$B$316,MATCH($A58,Polymarket!$A$25:$A$316,0))),"")</f>
        <v/>
      </c>
      <c r="C58" s="101">
        <f>IFERROR(IF(INDEX(Kalshi!$D$31:$D$501,MATCH($A58,Kalshi!$A$31:$A$501,0))=0,"",INDEX(Kalshi!$D$31:$D$501,MATCH($A58,Kalshi!$A$31:$A$501,0))),"")</f>
        <v/>
      </c>
      <c r="D58" s="31">
        <f>IF(AND(ISNUMBER(B58),ISNUMBER(C58)),B58-C58,"")</f>
        <v/>
      </c>
      <c r="E58" s="29">
        <f>IF(ISNUMBER(D58),ABS(D58),"")</f>
        <v/>
      </c>
      <c r="F58" s="101">
        <f>IFERROR(IF(INDEX(Polymarket!$C$25:$C$316,MATCH($A58,Polymarket!$A$25:$A$316,0))=0,"",INDEX(Polymarket!$C$25:$C$316,MATCH($A58,Polymarket!$A$25:$A$316,0))),"")</f>
        <v/>
      </c>
      <c r="G58" s="101">
        <f>IFERROR(IF(INDEX(Kalshi!$G$31:$G$501,MATCH($A58,Kalshi!$A$31:$A$501,0))=0,"",INDEX(Kalshi!$G$31:$G$501,MATCH($A58,Kalshi!$A$31:$A$501,0))),"")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IFERROR(IF(INDEX(Polymarket!$B$25:$B$316,MATCH($A59,Polymarket!$A$25:$A$316,0))=0,"",INDEX(Polymarket!$B$25:$B$316,MATCH($A59,Polymarket!$A$25:$A$316,0))),"")</f>
        <v/>
      </c>
      <c r="C59" s="100">
        <f>IFERROR(IF(INDEX(Kalshi!$D$31:$D$501,MATCH($A59,Kalshi!$A$31:$A$501,0))=0,"",INDEX(Kalshi!$D$31:$D$501,MATCH($A59,Kalshi!$A$31:$A$501,0))),"")</f>
        <v/>
      </c>
      <c r="D59" s="18">
        <f>IF(AND(ISNUMBER(B59),ISNUMBER(C59)),B59-C59,"")</f>
        <v/>
      </c>
      <c r="E59" s="17">
        <f>IF(ISNUMBER(D59),ABS(D59),"")</f>
        <v/>
      </c>
      <c r="F59" s="100">
        <f>IFERROR(IF(INDEX(Polymarket!$C$25:$C$316,MATCH($A59,Polymarket!$A$25:$A$316,0))=0,"",INDEX(Polymarket!$C$25:$C$316,MATCH($A59,Polymarket!$A$25:$A$316,0))),"")</f>
        <v/>
      </c>
      <c r="G59" s="100">
        <f>IFERROR(IF(INDEX(Kalshi!$G$31:$G$501,MATCH($A59,Kalshi!$A$31:$A$501,0))=0,"",INDEX(Kalshi!$G$31:$G$501,MATCH($A59,Kalshi!$A$31:$A$501,0))),"")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IFERROR(IF(INDEX(Polymarket!$B$25:$B$316,MATCH($A60,Polymarket!$A$25:$A$316,0))=0,"",INDEX(Polymarket!$B$25:$B$316,MATCH($A60,Polymarket!$A$25:$A$316,0))),"")</f>
        <v/>
      </c>
      <c r="C60" s="101">
        <f>IFERROR(IF(INDEX(Kalshi!$D$31:$D$501,MATCH($A60,Kalshi!$A$31:$A$501,0))=0,"",INDEX(Kalshi!$D$31:$D$501,MATCH($A60,Kalshi!$A$31:$A$501,0))),"")</f>
        <v/>
      </c>
      <c r="D60" s="31">
        <f>IF(AND(ISNUMBER(B60),ISNUMBER(C60)),B60-C60,"")</f>
        <v/>
      </c>
      <c r="E60" s="29">
        <f>IF(ISNUMBER(D60),ABS(D60),"")</f>
        <v/>
      </c>
      <c r="F60" s="101">
        <f>IFERROR(IF(INDEX(Polymarket!$C$25:$C$316,MATCH($A60,Polymarket!$A$25:$A$316,0))=0,"",INDEX(Polymarket!$C$25:$C$316,MATCH($A60,Polymarket!$A$25:$A$316,0))),"")</f>
        <v/>
      </c>
      <c r="G60" s="101">
        <f>IFERROR(IF(INDEX(Kalshi!$G$31:$G$501,MATCH($A60,Kalshi!$A$31:$A$501,0))=0,"",INDEX(Kalshi!$G$31:$G$501,MATCH($A60,Kalshi!$A$31:$A$501,0))),"")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IFERROR(IF(INDEX(Polymarket!$B$25:$B$316,MATCH($A61,Polymarket!$A$25:$A$316,0))=0,"",INDEX(Polymarket!$B$25:$B$316,MATCH($A61,Polymarket!$A$25:$A$316,0))),"")</f>
        <v/>
      </c>
      <c r="C61" s="100">
        <f>IFERROR(IF(INDEX(Kalshi!$D$31:$D$501,MATCH($A61,Kalshi!$A$31:$A$501,0))=0,"",INDEX(Kalshi!$D$31:$D$501,MATCH($A61,Kalshi!$A$31:$A$501,0))),"")</f>
        <v/>
      </c>
      <c r="D61" s="18">
        <f>IF(AND(ISNUMBER(B61),ISNUMBER(C61)),B61-C61,"")</f>
        <v/>
      </c>
      <c r="E61" s="17">
        <f>IF(ISNUMBER(D61),ABS(D61),"")</f>
        <v/>
      </c>
      <c r="F61" s="100">
        <f>IFERROR(IF(INDEX(Polymarket!$C$25:$C$316,MATCH($A61,Polymarket!$A$25:$A$316,0))=0,"",INDEX(Polymarket!$C$25:$C$316,MATCH($A61,Polymarket!$A$25:$A$316,0))),"")</f>
        <v/>
      </c>
      <c r="G61" s="100">
        <f>IFERROR(IF(INDEX(Kalshi!$G$31:$G$501,MATCH($A61,Kalshi!$A$31:$A$501,0))=0,"",INDEX(Kalshi!$G$31:$G$501,MATCH($A61,Kalshi!$A$31:$A$501,0))),"")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IFERROR(IF(INDEX(Polymarket!$B$25:$B$316,MATCH($A62,Polymarket!$A$25:$A$316,0))=0,"",INDEX(Polymarket!$B$25:$B$316,MATCH($A62,Polymarket!$A$25:$A$316,0))),"")</f>
        <v/>
      </c>
      <c r="C62" s="101">
        <f>IFERROR(IF(INDEX(Kalshi!$D$31:$D$501,MATCH($A62,Kalshi!$A$31:$A$501,0))=0,"",INDEX(Kalshi!$D$31:$D$501,MATCH($A62,Kalshi!$A$31:$A$501,0))),"")</f>
        <v/>
      </c>
      <c r="D62" s="31">
        <f>IF(AND(ISNUMBER(B62),ISNUMBER(C62)),B62-C62,"")</f>
        <v/>
      </c>
      <c r="E62" s="29">
        <f>IF(ISNUMBER(D62),ABS(D62),"")</f>
        <v/>
      </c>
      <c r="F62" s="101">
        <f>IFERROR(IF(INDEX(Polymarket!$C$25:$C$316,MATCH($A62,Polymarket!$A$25:$A$316,0))=0,"",INDEX(Polymarket!$C$25:$C$316,MATCH($A62,Polymarket!$A$25:$A$316,0))),"")</f>
        <v/>
      </c>
      <c r="G62" s="101">
        <f>IFERROR(IF(INDEX(Kalshi!$G$31:$G$501,MATCH($A62,Kalshi!$A$31:$A$501,0))=0,"",INDEX(Kalshi!$G$31:$G$501,MATCH($A62,Kalshi!$A$31:$A$501,0))),"")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IFERROR(IF(INDEX(Polymarket!$B$25:$B$316,MATCH($A63,Polymarket!$A$25:$A$316,0))=0,"",INDEX(Polymarket!$B$25:$B$316,MATCH($A63,Polymarket!$A$25:$A$316,0))),"")</f>
        <v/>
      </c>
      <c r="C63" s="100">
        <f>IFERROR(IF(INDEX(Kalshi!$D$31:$D$501,MATCH($A63,Kalshi!$A$31:$A$501,0))=0,"",INDEX(Kalshi!$D$31:$D$501,MATCH($A63,Kalshi!$A$31:$A$501,0))),"")</f>
        <v/>
      </c>
      <c r="D63" s="18">
        <f>IF(AND(ISNUMBER(B63),ISNUMBER(C63)),B63-C63,"")</f>
        <v/>
      </c>
      <c r="E63" s="17">
        <f>IF(ISNUMBER(D63),ABS(D63),"")</f>
        <v/>
      </c>
      <c r="F63" s="100">
        <f>IFERROR(IF(INDEX(Polymarket!$C$25:$C$316,MATCH($A63,Polymarket!$A$25:$A$316,0))=0,"",INDEX(Polymarket!$C$25:$C$316,MATCH($A63,Polymarket!$A$25:$A$316,0))),"")</f>
        <v/>
      </c>
      <c r="G63" s="100">
        <f>IFERROR(IF(INDEX(Kalshi!$G$31:$G$501,MATCH($A63,Kalshi!$A$31:$A$501,0))=0,"",INDEX(Kalshi!$G$31:$G$501,MATCH($A63,Kalshi!$A$31:$A$501,0))),"")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IFERROR(IF(INDEX(Polymarket!$B$25:$B$316,MATCH($A64,Polymarket!$A$25:$A$316,0))=0,"",INDEX(Polymarket!$B$25:$B$316,MATCH($A64,Polymarket!$A$25:$A$316,0))),"")</f>
        <v/>
      </c>
      <c r="C64" s="101">
        <f>IFERROR(IF(INDEX(Kalshi!$D$31:$D$501,MATCH($A64,Kalshi!$A$31:$A$501,0))=0,"",INDEX(Kalshi!$D$31:$D$501,MATCH($A64,Kalshi!$A$31:$A$501,0))),"")</f>
        <v/>
      </c>
      <c r="D64" s="31">
        <f>IF(AND(ISNUMBER(B64),ISNUMBER(C64)),B64-C64,"")</f>
        <v/>
      </c>
      <c r="E64" s="29">
        <f>IF(ISNUMBER(D64),ABS(D64),"")</f>
        <v/>
      </c>
      <c r="F64" s="101">
        <f>IFERROR(IF(INDEX(Polymarket!$C$25:$C$316,MATCH($A64,Polymarket!$A$25:$A$316,0))=0,"",INDEX(Polymarket!$C$25:$C$316,MATCH($A64,Polymarket!$A$25:$A$316,0))),"")</f>
        <v/>
      </c>
      <c r="G64" s="101">
        <f>IFERROR(IF(INDEX(Kalshi!$G$31:$G$501,MATCH($A64,Kalshi!$A$31:$A$501,0))=0,"",INDEX(Kalshi!$G$31:$G$501,MATCH($A64,Kalshi!$A$31:$A$501,0))),"")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IFERROR(IF(INDEX(Polymarket!$B$25:$B$316,MATCH($A65,Polymarket!$A$25:$A$316,0))=0,"",INDEX(Polymarket!$B$25:$B$316,MATCH($A65,Polymarket!$A$25:$A$316,0))),"")</f>
        <v/>
      </c>
      <c r="C65" s="100">
        <f>IFERROR(IF(INDEX(Kalshi!$D$31:$D$501,MATCH($A65,Kalshi!$A$31:$A$501,0))=0,"",INDEX(Kalshi!$D$31:$D$501,MATCH($A65,Kalshi!$A$31:$A$501,0))),"")</f>
        <v/>
      </c>
      <c r="D65" s="18">
        <f>IF(AND(ISNUMBER(B65),ISNUMBER(C65)),B65-C65,"")</f>
        <v/>
      </c>
      <c r="E65" s="17">
        <f>IF(ISNUMBER(D65),ABS(D65),"")</f>
        <v/>
      </c>
      <c r="F65" s="100">
        <f>IFERROR(IF(INDEX(Polymarket!$C$25:$C$316,MATCH($A65,Polymarket!$A$25:$A$316,0))=0,"",INDEX(Polymarket!$C$25:$C$316,MATCH($A65,Polymarket!$A$25:$A$316,0))),"")</f>
        <v/>
      </c>
      <c r="G65" s="100">
        <f>IFERROR(IF(INDEX(Kalshi!$G$31:$G$501,MATCH($A65,Kalshi!$A$31:$A$501,0))=0,"",INDEX(Kalshi!$G$31:$G$501,MATCH($A65,Kalshi!$A$31:$A$501,0))),"")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IFERROR(IF(INDEX(Polymarket!$B$25:$B$316,MATCH($A66,Polymarket!$A$25:$A$316,0))=0,"",INDEX(Polymarket!$B$25:$B$316,MATCH($A66,Polymarket!$A$25:$A$316,0))),"")</f>
        <v/>
      </c>
      <c r="C66" s="101">
        <f>IFERROR(IF(INDEX(Kalshi!$D$31:$D$501,MATCH($A66,Kalshi!$A$31:$A$501,0))=0,"",INDEX(Kalshi!$D$31:$D$501,MATCH($A66,Kalshi!$A$31:$A$501,0))),"")</f>
        <v/>
      </c>
      <c r="D66" s="31">
        <f>IF(AND(ISNUMBER(B66),ISNUMBER(C66)),B66-C66,"")</f>
        <v/>
      </c>
      <c r="E66" s="29">
        <f>IF(ISNUMBER(D66),ABS(D66),"")</f>
        <v/>
      </c>
      <c r="F66" s="101">
        <f>IFERROR(IF(INDEX(Polymarket!$C$25:$C$316,MATCH($A66,Polymarket!$A$25:$A$316,0))=0,"",INDEX(Polymarket!$C$25:$C$316,MATCH($A66,Polymarket!$A$25:$A$316,0))),"")</f>
        <v/>
      </c>
      <c r="G66" s="101">
        <f>IFERROR(IF(INDEX(Kalshi!$G$31:$G$501,MATCH($A66,Kalshi!$A$31:$A$501,0))=0,"",INDEX(Kalshi!$G$31:$G$501,MATCH($A66,Kalshi!$A$31:$A$501,0))),"")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IFERROR(IF(INDEX(Polymarket!$B$25:$B$316,MATCH($A67,Polymarket!$A$25:$A$316,0))=0,"",INDEX(Polymarket!$B$25:$B$316,MATCH($A67,Polymarket!$A$25:$A$316,0))),"")</f>
        <v/>
      </c>
      <c r="C67" s="100">
        <f>IFERROR(IF(INDEX(Kalshi!$D$31:$D$501,MATCH($A67,Kalshi!$A$31:$A$501,0))=0,"",INDEX(Kalshi!$D$31:$D$501,MATCH($A67,Kalshi!$A$31:$A$501,0))),"")</f>
        <v/>
      </c>
      <c r="D67" s="18">
        <f>IF(AND(ISNUMBER(B67),ISNUMBER(C67)),B67-C67,"")</f>
        <v/>
      </c>
      <c r="E67" s="17">
        <f>IF(ISNUMBER(D67),ABS(D67),"")</f>
        <v/>
      </c>
      <c r="F67" s="100">
        <f>IFERROR(IF(INDEX(Polymarket!$C$25:$C$316,MATCH($A67,Polymarket!$A$25:$A$316,0))=0,"",INDEX(Polymarket!$C$25:$C$316,MATCH($A67,Polymarket!$A$25:$A$316,0))),"")</f>
        <v/>
      </c>
      <c r="G67" s="100">
        <f>IFERROR(IF(INDEX(Kalshi!$G$31:$G$501,MATCH($A67,Kalshi!$A$31:$A$501,0))=0,"",INDEX(Kalshi!$G$31:$G$501,MATCH($A67,Kalshi!$A$31:$A$501,0))),"")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IFERROR(IF(INDEX(Polymarket!$B$25:$B$316,MATCH($A68,Polymarket!$A$25:$A$316,0))=0,"",INDEX(Polymarket!$B$25:$B$316,MATCH($A68,Polymarket!$A$25:$A$316,0))),"")</f>
        <v/>
      </c>
      <c r="C68" s="101">
        <f>IFERROR(IF(INDEX(Kalshi!$D$31:$D$501,MATCH($A68,Kalshi!$A$31:$A$501,0))=0,"",INDEX(Kalshi!$D$31:$D$501,MATCH($A68,Kalshi!$A$31:$A$501,0))),"")</f>
        <v/>
      </c>
      <c r="D68" s="31">
        <f>IF(AND(ISNUMBER(B68),ISNUMBER(C68)),B68-C68,"")</f>
        <v/>
      </c>
      <c r="E68" s="29">
        <f>IF(ISNUMBER(D68),ABS(D68),"")</f>
        <v/>
      </c>
      <c r="F68" s="101">
        <f>IFERROR(IF(INDEX(Polymarket!$C$25:$C$316,MATCH($A68,Polymarket!$A$25:$A$316,0))=0,"",INDEX(Polymarket!$C$25:$C$316,MATCH($A68,Polymarket!$A$25:$A$316,0))),"")</f>
        <v/>
      </c>
      <c r="G68" s="101">
        <f>IFERROR(IF(INDEX(Kalshi!$G$31:$G$501,MATCH($A68,Kalshi!$A$31:$A$501,0))=0,"",INDEX(Kalshi!$G$31:$G$501,MATCH($A68,Kalshi!$A$31:$A$501,0))),"")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IFERROR(IF(INDEX(Polymarket!$B$25:$B$316,MATCH($A69,Polymarket!$A$25:$A$316,0))=0,"",INDEX(Polymarket!$B$25:$B$316,MATCH($A69,Polymarket!$A$25:$A$316,0))),"")</f>
        <v/>
      </c>
      <c r="C69" s="100">
        <f>IFERROR(IF(INDEX(Kalshi!$D$31:$D$501,MATCH($A69,Kalshi!$A$31:$A$501,0))=0,"",INDEX(Kalshi!$D$31:$D$501,MATCH($A69,Kalshi!$A$31:$A$501,0))),"")</f>
        <v/>
      </c>
      <c r="D69" s="18">
        <f>IF(AND(ISNUMBER(B69),ISNUMBER(C69)),B69-C69,"")</f>
        <v/>
      </c>
      <c r="E69" s="17">
        <f>IF(ISNUMBER(D69),ABS(D69),"")</f>
        <v/>
      </c>
      <c r="F69" s="100">
        <f>IFERROR(IF(INDEX(Polymarket!$C$25:$C$316,MATCH($A69,Polymarket!$A$25:$A$316,0))=0,"",INDEX(Polymarket!$C$25:$C$316,MATCH($A69,Polymarket!$A$25:$A$316,0))),"")</f>
        <v/>
      </c>
      <c r="G69" s="100">
        <f>IFERROR(IF(INDEX(Kalshi!$G$31:$G$501,MATCH($A69,Kalshi!$A$31:$A$501,0))=0,"",INDEX(Kalshi!$G$31:$G$501,MATCH($A69,Kalshi!$A$31:$A$501,0))),"")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IFERROR(IF(INDEX(Polymarket!$B$25:$B$316,MATCH($A70,Polymarket!$A$25:$A$316,0))=0,"",INDEX(Polymarket!$B$25:$B$316,MATCH($A70,Polymarket!$A$25:$A$316,0))),"")</f>
        <v/>
      </c>
      <c r="C70" s="101">
        <f>IFERROR(IF(INDEX(Kalshi!$D$31:$D$501,MATCH($A70,Kalshi!$A$31:$A$501,0))=0,"",INDEX(Kalshi!$D$31:$D$501,MATCH($A70,Kalshi!$A$31:$A$501,0))),"")</f>
        <v/>
      </c>
      <c r="D70" s="31">
        <f>IF(AND(ISNUMBER(B70),ISNUMBER(C70)),B70-C70,"")</f>
        <v/>
      </c>
      <c r="E70" s="29">
        <f>IF(ISNUMBER(D70),ABS(D70),"")</f>
        <v/>
      </c>
      <c r="F70" s="101">
        <f>IFERROR(IF(INDEX(Polymarket!$C$25:$C$316,MATCH($A70,Polymarket!$A$25:$A$316,0))=0,"",INDEX(Polymarket!$C$25:$C$316,MATCH($A70,Polymarket!$A$25:$A$316,0))),"")</f>
        <v/>
      </c>
      <c r="G70" s="101">
        <f>IFERROR(IF(INDEX(Kalshi!$G$31:$G$501,MATCH($A70,Kalshi!$A$31:$A$501,0))=0,"",INDEX(Kalshi!$G$31:$G$501,MATCH($A70,Kalshi!$A$31:$A$501,0))),"")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IFERROR(IF(INDEX(Polymarket!$B$25:$B$316,MATCH($A71,Polymarket!$A$25:$A$316,0))=0,"",INDEX(Polymarket!$B$25:$B$316,MATCH($A71,Polymarket!$A$25:$A$316,0))),"")</f>
        <v/>
      </c>
      <c r="C71" s="100">
        <f>IFERROR(IF(INDEX(Kalshi!$D$31:$D$501,MATCH($A71,Kalshi!$A$31:$A$501,0))=0,"",INDEX(Kalshi!$D$31:$D$501,MATCH($A71,Kalshi!$A$31:$A$501,0))),"")</f>
        <v/>
      </c>
      <c r="D71" s="18">
        <f>IF(AND(ISNUMBER(B71),ISNUMBER(C71)),B71-C71,"")</f>
        <v/>
      </c>
      <c r="E71" s="17">
        <f>IF(ISNUMBER(D71),ABS(D71),"")</f>
        <v/>
      </c>
      <c r="F71" s="100">
        <f>IFERROR(IF(INDEX(Polymarket!$C$25:$C$316,MATCH($A71,Polymarket!$A$25:$A$316,0))=0,"",INDEX(Polymarket!$C$25:$C$316,MATCH($A71,Polymarket!$A$25:$A$316,0))),"")</f>
        <v/>
      </c>
      <c r="G71" s="100">
        <f>IFERROR(IF(INDEX(Kalshi!$G$31:$G$501,MATCH($A71,Kalshi!$A$31:$A$501,0))=0,"",INDEX(Kalshi!$G$31:$G$501,MATCH($A71,Kalshi!$A$31:$A$501,0))),"")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IFERROR(IF(INDEX(Polymarket!$B$25:$B$316,MATCH($A72,Polymarket!$A$25:$A$316,0))=0,"",INDEX(Polymarket!$B$25:$B$316,MATCH($A72,Polymarket!$A$25:$A$316,0))),"")</f>
        <v/>
      </c>
      <c r="C72" s="101">
        <f>IFERROR(IF(INDEX(Kalshi!$D$31:$D$501,MATCH($A72,Kalshi!$A$31:$A$501,0))=0,"",INDEX(Kalshi!$D$31:$D$501,MATCH($A72,Kalshi!$A$31:$A$501,0))),"")</f>
        <v/>
      </c>
      <c r="D72" s="31">
        <f>IF(AND(ISNUMBER(B72),ISNUMBER(C72)),B72-C72,"")</f>
        <v/>
      </c>
      <c r="E72" s="29">
        <f>IF(ISNUMBER(D72),ABS(D72),"")</f>
        <v/>
      </c>
      <c r="F72" s="101">
        <f>IFERROR(IF(INDEX(Polymarket!$C$25:$C$316,MATCH($A72,Polymarket!$A$25:$A$316,0))=0,"",INDEX(Polymarket!$C$25:$C$316,MATCH($A72,Polymarket!$A$25:$A$316,0))),"")</f>
        <v/>
      </c>
      <c r="G72" s="101">
        <f>IFERROR(IF(INDEX(Kalshi!$G$31:$G$501,MATCH($A72,Kalshi!$A$31:$A$501,0))=0,"",INDEX(Kalshi!$G$31:$G$501,MATCH($A72,Kalshi!$A$31:$A$501,0))),"")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IFERROR(IF(INDEX(Polymarket!$B$25:$B$316,MATCH($A73,Polymarket!$A$25:$A$316,0))=0,"",INDEX(Polymarket!$B$25:$B$316,MATCH($A73,Polymarket!$A$25:$A$316,0))),"")</f>
        <v/>
      </c>
      <c r="C73" s="100">
        <f>IFERROR(IF(INDEX(Kalshi!$D$31:$D$501,MATCH($A73,Kalshi!$A$31:$A$501,0))=0,"",INDEX(Kalshi!$D$31:$D$501,MATCH($A73,Kalshi!$A$31:$A$501,0))),"")</f>
        <v/>
      </c>
      <c r="D73" s="18">
        <f>IF(AND(ISNUMBER(B73),ISNUMBER(C73)),B73-C73,"")</f>
        <v/>
      </c>
      <c r="E73" s="17">
        <f>IF(ISNUMBER(D73),ABS(D73),"")</f>
        <v/>
      </c>
      <c r="F73" s="100">
        <f>IFERROR(IF(INDEX(Polymarket!$C$25:$C$316,MATCH($A73,Polymarket!$A$25:$A$316,0))=0,"",INDEX(Polymarket!$C$25:$C$316,MATCH($A73,Polymarket!$A$25:$A$316,0))),"")</f>
        <v/>
      </c>
      <c r="G73" s="100">
        <f>IFERROR(IF(INDEX(Kalshi!$G$31:$G$501,MATCH($A73,Kalshi!$A$31:$A$501,0))=0,"",INDEX(Kalshi!$G$31:$G$501,MATCH($A73,Kalshi!$A$31:$A$501,0))),"")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IFERROR(IF(INDEX(Polymarket!$B$25:$B$316,MATCH($A74,Polymarket!$A$25:$A$316,0))=0,"",INDEX(Polymarket!$B$25:$B$316,MATCH($A74,Polymarket!$A$25:$A$316,0))),"")</f>
        <v/>
      </c>
      <c r="C74" s="101">
        <f>IFERROR(IF(INDEX(Kalshi!$D$31:$D$501,MATCH($A74,Kalshi!$A$31:$A$501,0))=0,"",INDEX(Kalshi!$D$31:$D$501,MATCH($A74,Kalshi!$A$31:$A$501,0))),"")</f>
        <v/>
      </c>
      <c r="D74" s="31">
        <f>IF(AND(ISNUMBER(B74),ISNUMBER(C74)),B74-C74,"")</f>
        <v/>
      </c>
      <c r="E74" s="29">
        <f>IF(ISNUMBER(D74),ABS(D74),"")</f>
        <v/>
      </c>
      <c r="F74" s="101">
        <f>IFERROR(IF(INDEX(Polymarket!$C$25:$C$316,MATCH($A74,Polymarket!$A$25:$A$316,0))=0,"",INDEX(Polymarket!$C$25:$C$316,MATCH($A74,Polymarket!$A$25:$A$316,0))),"")</f>
        <v/>
      </c>
      <c r="G74" s="101">
        <f>IFERROR(IF(INDEX(Kalshi!$G$31:$G$501,MATCH($A74,Kalshi!$A$31:$A$501,0))=0,"",INDEX(Kalshi!$G$31:$G$501,MATCH($A74,Kalshi!$A$31:$A$501,0))),"")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IFERROR(IF(INDEX(Polymarket!$B$25:$B$316,MATCH($A75,Polymarket!$A$25:$A$316,0))=0,"",INDEX(Polymarket!$B$25:$B$316,MATCH($A75,Polymarket!$A$25:$A$316,0))),"")</f>
        <v/>
      </c>
      <c r="C75" s="100">
        <f>IFERROR(IF(INDEX(Kalshi!$D$31:$D$501,MATCH($A75,Kalshi!$A$31:$A$501,0))=0,"",INDEX(Kalshi!$D$31:$D$501,MATCH($A75,Kalshi!$A$31:$A$501,0))),"")</f>
        <v/>
      </c>
      <c r="D75" s="18">
        <f>IF(AND(ISNUMBER(B75),ISNUMBER(C75)),B75-C75,"")</f>
        <v/>
      </c>
      <c r="E75" s="17">
        <f>IF(ISNUMBER(D75),ABS(D75),"")</f>
        <v/>
      </c>
      <c r="F75" s="100">
        <f>IFERROR(IF(INDEX(Polymarket!$C$25:$C$316,MATCH($A75,Polymarket!$A$25:$A$316,0))=0,"",INDEX(Polymarket!$C$25:$C$316,MATCH($A75,Polymarket!$A$25:$A$316,0))),"")</f>
        <v/>
      </c>
      <c r="G75" s="100">
        <f>IFERROR(IF(INDEX(Kalshi!$G$31:$G$501,MATCH($A75,Kalshi!$A$31:$A$501,0))=0,"",INDEX(Kalshi!$G$31:$G$501,MATCH($A75,Kalshi!$A$31:$A$501,0))),"")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IFERROR(IF(INDEX(Polymarket!$B$25:$B$316,MATCH($A76,Polymarket!$A$25:$A$316,0))=0,"",INDEX(Polymarket!$B$25:$B$316,MATCH($A76,Polymarket!$A$25:$A$316,0))),"")</f>
        <v/>
      </c>
      <c r="C76" s="101">
        <f>IFERROR(IF(INDEX(Kalshi!$D$31:$D$501,MATCH($A76,Kalshi!$A$31:$A$501,0))=0,"",INDEX(Kalshi!$D$31:$D$501,MATCH($A76,Kalshi!$A$31:$A$501,0))),"")</f>
        <v/>
      </c>
      <c r="D76" s="31">
        <f>IF(AND(ISNUMBER(B76),ISNUMBER(C76)),B76-C76,"")</f>
        <v/>
      </c>
      <c r="E76" s="29">
        <f>IF(ISNUMBER(D76),ABS(D76),"")</f>
        <v/>
      </c>
      <c r="F76" s="101">
        <f>IFERROR(IF(INDEX(Polymarket!$C$25:$C$316,MATCH($A76,Polymarket!$A$25:$A$316,0))=0,"",INDEX(Polymarket!$C$25:$C$316,MATCH($A76,Polymarket!$A$25:$A$316,0))),"")</f>
        <v/>
      </c>
      <c r="G76" s="101">
        <f>IFERROR(IF(INDEX(Kalshi!$G$31:$G$501,MATCH($A76,Kalshi!$A$31:$A$501,0))=0,"",INDEX(Kalshi!$G$31:$G$501,MATCH($A76,Kalshi!$A$31:$A$501,0))),"")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IFERROR(IF(INDEX(Polymarket!$B$25:$B$316,MATCH($A77,Polymarket!$A$25:$A$316,0))=0,"",INDEX(Polymarket!$B$25:$B$316,MATCH($A77,Polymarket!$A$25:$A$316,0))),"")</f>
        <v/>
      </c>
      <c r="C77" s="100">
        <f>IFERROR(IF(INDEX(Kalshi!$D$31:$D$501,MATCH($A77,Kalshi!$A$31:$A$501,0))=0,"",INDEX(Kalshi!$D$31:$D$501,MATCH($A77,Kalshi!$A$31:$A$501,0))),"")</f>
        <v/>
      </c>
      <c r="D77" s="18">
        <f>IF(AND(ISNUMBER(B77),ISNUMBER(C77)),B77-C77,"")</f>
        <v/>
      </c>
      <c r="E77" s="17">
        <f>IF(ISNUMBER(D77),ABS(D77),"")</f>
        <v/>
      </c>
      <c r="F77" s="100">
        <f>IFERROR(IF(INDEX(Polymarket!$C$25:$C$316,MATCH($A77,Polymarket!$A$25:$A$316,0))=0,"",INDEX(Polymarket!$C$25:$C$316,MATCH($A77,Polymarket!$A$25:$A$316,0))),"")</f>
        <v/>
      </c>
      <c r="G77" s="100">
        <f>IFERROR(IF(INDEX(Kalshi!$G$31:$G$501,MATCH($A77,Kalshi!$A$31:$A$501,0))=0,"",INDEX(Kalshi!$G$31:$G$501,MATCH($A77,Kalshi!$A$31:$A$501,0))),"")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IFERROR(IF(INDEX(Polymarket!$B$25:$B$316,MATCH($A78,Polymarket!$A$25:$A$316,0))=0,"",INDEX(Polymarket!$B$25:$B$316,MATCH($A78,Polymarket!$A$25:$A$316,0))),"")</f>
        <v/>
      </c>
      <c r="C78" s="101">
        <f>IFERROR(IF(INDEX(Kalshi!$D$31:$D$501,MATCH($A78,Kalshi!$A$31:$A$501,0))=0,"",INDEX(Kalshi!$D$31:$D$501,MATCH($A78,Kalshi!$A$31:$A$501,0))),"")</f>
        <v/>
      </c>
      <c r="D78" s="31">
        <f>IF(AND(ISNUMBER(B78),ISNUMBER(C78)),B78-C78,"")</f>
        <v/>
      </c>
      <c r="E78" s="29">
        <f>IF(ISNUMBER(D78),ABS(D78),"")</f>
        <v/>
      </c>
      <c r="F78" s="101">
        <f>IFERROR(IF(INDEX(Polymarket!$C$25:$C$316,MATCH($A78,Polymarket!$A$25:$A$316,0))=0,"",INDEX(Polymarket!$C$25:$C$316,MATCH($A78,Polymarket!$A$25:$A$316,0))),"")</f>
        <v/>
      </c>
      <c r="G78" s="101">
        <f>IFERROR(IF(INDEX(Kalshi!$G$31:$G$501,MATCH($A78,Kalshi!$A$31:$A$501,0))=0,"",INDEX(Kalshi!$G$31:$G$501,MATCH($A78,Kalshi!$A$31:$A$501,0))),"")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IFERROR(IF(INDEX(Polymarket!$B$25:$B$316,MATCH($A79,Polymarket!$A$25:$A$316,0))=0,"",INDEX(Polymarket!$B$25:$B$316,MATCH($A79,Polymarket!$A$25:$A$316,0))),"")</f>
        <v/>
      </c>
      <c r="C79" s="100">
        <f>IFERROR(IF(INDEX(Kalshi!$D$31:$D$501,MATCH($A79,Kalshi!$A$31:$A$501,0))=0,"",INDEX(Kalshi!$D$31:$D$501,MATCH($A79,Kalshi!$A$31:$A$501,0))),"")</f>
        <v/>
      </c>
      <c r="D79" s="18">
        <f>IF(AND(ISNUMBER(B79),ISNUMBER(C79)),B79-C79,"")</f>
        <v/>
      </c>
      <c r="E79" s="17">
        <f>IF(ISNUMBER(D79),ABS(D79),"")</f>
        <v/>
      </c>
      <c r="F79" s="100">
        <f>IFERROR(IF(INDEX(Polymarket!$C$25:$C$316,MATCH($A79,Polymarket!$A$25:$A$316,0))=0,"",INDEX(Polymarket!$C$25:$C$316,MATCH($A79,Polymarket!$A$25:$A$316,0))),"")</f>
        <v/>
      </c>
      <c r="G79" s="100">
        <f>IFERROR(IF(INDEX(Kalshi!$G$31:$G$501,MATCH($A79,Kalshi!$A$31:$A$501,0))=0,"",INDEX(Kalshi!$G$31:$G$501,MATCH($A79,Kalshi!$A$31:$A$501,0))),"")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IFERROR(IF(INDEX(Polymarket!$B$25:$B$316,MATCH($A80,Polymarket!$A$25:$A$316,0))=0,"",INDEX(Polymarket!$B$25:$B$316,MATCH($A80,Polymarket!$A$25:$A$316,0))),"")</f>
        <v/>
      </c>
      <c r="C80" s="101">
        <f>IFERROR(IF(INDEX(Kalshi!$D$31:$D$501,MATCH($A80,Kalshi!$A$31:$A$501,0))=0,"",INDEX(Kalshi!$D$31:$D$501,MATCH($A80,Kalshi!$A$31:$A$501,0))),"")</f>
        <v/>
      </c>
      <c r="D80" s="31">
        <f>IF(AND(ISNUMBER(B80),ISNUMBER(C80)),B80-C80,"")</f>
        <v/>
      </c>
      <c r="E80" s="29">
        <f>IF(ISNUMBER(D80),ABS(D80),"")</f>
        <v/>
      </c>
      <c r="F80" s="101">
        <f>IFERROR(IF(INDEX(Polymarket!$C$25:$C$316,MATCH($A80,Polymarket!$A$25:$A$316,0))=0,"",INDEX(Polymarket!$C$25:$C$316,MATCH($A80,Polymarket!$A$25:$A$316,0))),"")</f>
        <v/>
      </c>
      <c r="G80" s="101">
        <f>IFERROR(IF(INDEX(Kalshi!$G$31:$G$501,MATCH($A80,Kalshi!$A$31:$A$501,0))=0,"",INDEX(Kalshi!$G$31:$G$501,MATCH($A80,Kalshi!$A$31:$A$501,0))),"")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IFERROR(IF(INDEX(Polymarket!$B$25:$B$316,MATCH($A81,Polymarket!$A$25:$A$316,0))=0,"",INDEX(Polymarket!$B$25:$B$316,MATCH($A81,Polymarket!$A$25:$A$316,0))),"")</f>
        <v/>
      </c>
      <c r="C81" s="100">
        <f>IFERROR(IF(INDEX(Kalshi!$D$31:$D$501,MATCH($A81,Kalshi!$A$31:$A$501,0))=0,"",INDEX(Kalshi!$D$31:$D$501,MATCH($A81,Kalshi!$A$31:$A$501,0))),"")</f>
        <v/>
      </c>
      <c r="D81" s="18">
        <f>IF(AND(ISNUMBER(B81),ISNUMBER(C81)),B81-C81,"")</f>
        <v/>
      </c>
      <c r="E81" s="17">
        <f>IF(ISNUMBER(D81),ABS(D81),"")</f>
        <v/>
      </c>
      <c r="F81" s="100">
        <f>IFERROR(IF(INDEX(Polymarket!$C$25:$C$316,MATCH($A81,Polymarket!$A$25:$A$316,0))=0,"",INDEX(Polymarket!$C$25:$C$316,MATCH($A81,Polymarket!$A$25:$A$316,0))),"")</f>
        <v/>
      </c>
      <c r="G81" s="100">
        <f>IFERROR(IF(INDEX(Kalshi!$G$31:$G$501,MATCH($A81,Kalshi!$A$31:$A$501,0))=0,"",INDEX(Kalshi!$G$31:$G$501,MATCH($A81,Kalshi!$A$31:$A$501,0))),"")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IFERROR(IF(INDEX(Polymarket!$B$25:$B$316,MATCH($A82,Polymarket!$A$25:$A$316,0))=0,"",INDEX(Polymarket!$B$25:$B$316,MATCH($A82,Polymarket!$A$25:$A$316,0))),"")</f>
        <v/>
      </c>
      <c r="C82" s="101">
        <f>IFERROR(IF(INDEX(Kalshi!$D$31:$D$501,MATCH($A82,Kalshi!$A$31:$A$501,0))=0,"",INDEX(Kalshi!$D$31:$D$501,MATCH($A82,Kalshi!$A$31:$A$501,0))),"")</f>
        <v/>
      </c>
      <c r="D82" s="31">
        <f>IF(AND(ISNUMBER(B82),ISNUMBER(C82)),B82-C82,"")</f>
        <v/>
      </c>
      <c r="E82" s="29">
        <f>IF(ISNUMBER(D82),ABS(D82),"")</f>
        <v/>
      </c>
      <c r="F82" s="101">
        <f>IFERROR(IF(INDEX(Polymarket!$C$25:$C$316,MATCH($A82,Polymarket!$A$25:$A$316,0))=0,"",INDEX(Polymarket!$C$25:$C$316,MATCH($A82,Polymarket!$A$25:$A$316,0))),"")</f>
        <v/>
      </c>
      <c r="G82" s="101">
        <f>IFERROR(IF(INDEX(Kalshi!$G$31:$G$501,MATCH($A82,Kalshi!$A$31:$A$501,0))=0,"",INDEX(Kalshi!$G$31:$G$501,MATCH($A82,Kalshi!$A$31:$A$501,0))),"")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IFERROR(IF(INDEX(Polymarket!$B$25:$B$316,MATCH($A83,Polymarket!$A$25:$A$316,0))=0,"",INDEX(Polymarket!$B$25:$B$316,MATCH($A83,Polymarket!$A$25:$A$316,0))),"")</f>
        <v/>
      </c>
      <c r="C83" s="100">
        <f>IFERROR(IF(INDEX(Kalshi!$D$31:$D$501,MATCH($A83,Kalshi!$A$31:$A$501,0))=0,"",INDEX(Kalshi!$D$31:$D$501,MATCH($A83,Kalshi!$A$31:$A$501,0))),"")</f>
        <v/>
      </c>
      <c r="D83" s="18">
        <f>IF(AND(ISNUMBER(B83),ISNUMBER(C83)),B83-C83,"")</f>
        <v/>
      </c>
      <c r="E83" s="17">
        <f>IF(ISNUMBER(D83),ABS(D83),"")</f>
        <v/>
      </c>
      <c r="F83" s="100">
        <f>IFERROR(IF(INDEX(Polymarket!$C$25:$C$316,MATCH($A83,Polymarket!$A$25:$A$316,0))=0,"",INDEX(Polymarket!$C$25:$C$316,MATCH($A83,Polymarket!$A$25:$A$316,0))),"")</f>
        <v/>
      </c>
      <c r="G83" s="100">
        <f>IFERROR(IF(INDEX(Kalshi!$G$31:$G$501,MATCH($A83,Kalshi!$A$31:$A$501,0))=0,"",INDEX(Kalshi!$G$31:$G$501,MATCH($A83,Kalshi!$A$31:$A$501,0))),"")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IFERROR(IF(INDEX(Polymarket!$B$25:$B$316,MATCH($A84,Polymarket!$A$25:$A$316,0))=0,"",INDEX(Polymarket!$B$25:$B$316,MATCH($A84,Polymarket!$A$25:$A$316,0))),"")</f>
        <v/>
      </c>
      <c r="C84" s="101">
        <f>IFERROR(IF(INDEX(Kalshi!$D$31:$D$501,MATCH($A84,Kalshi!$A$31:$A$501,0))=0,"",INDEX(Kalshi!$D$31:$D$501,MATCH($A84,Kalshi!$A$31:$A$501,0))),"")</f>
        <v/>
      </c>
      <c r="D84" s="31">
        <f>IF(AND(ISNUMBER(B84),ISNUMBER(C84)),B84-C84,"")</f>
        <v/>
      </c>
      <c r="E84" s="29">
        <f>IF(ISNUMBER(D84),ABS(D84),"")</f>
        <v/>
      </c>
      <c r="F84" s="101">
        <f>IFERROR(IF(INDEX(Polymarket!$C$25:$C$316,MATCH($A84,Polymarket!$A$25:$A$316,0))=0,"",INDEX(Polymarket!$C$25:$C$316,MATCH($A84,Polymarket!$A$25:$A$316,0))),"")</f>
        <v/>
      </c>
      <c r="G84" s="101">
        <f>IFERROR(IF(INDEX(Kalshi!$G$31:$G$501,MATCH($A84,Kalshi!$A$31:$A$501,0))=0,"",INDEX(Kalshi!$G$31:$G$501,MATCH($A84,Kalshi!$A$31:$A$501,0))),"")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IFERROR(IF(INDEX(Polymarket!$B$25:$B$316,MATCH($A85,Polymarket!$A$25:$A$316,0))=0,"",INDEX(Polymarket!$B$25:$B$316,MATCH($A85,Polymarket!$A$25:$A$316,0))),"")</f>
        <v/>
      </c>
      <c r="C85" s="100">
        <f>IFERROR(IF(INDEX(Kalshi!$D$31:$D$501,MATCH($A85,Kalshi!$A$31:$A$501,0))=0,"",INDEX(Kalshi!$D$31:$D$501,MATCH($A85,Kalshi!$A$31:$A$501,0))),"")</f>
        <v/>
      </c>
      <c r="D85" s="18">
        <f>IF(AND(ISNUMBER(B85),ISNUMBER(C85)),B85-C85,"")</f>
        <v/>
      </c>
      <c r="E85" s="17">
        <f>IF(ISNUMBER(D85),ABS(D85),"")</f>
        <v/>
      </c>
      <c r="F85" s="100">
        <f>IFERROR(IF(INDEX(Polymarket!$C$25:$C$316,MATCH($A85,Polymarket!$A$25:$A$316,0))=0,"",INDEX(Polymarket!$C$25:$C$316,MATCH($A85,Polymarket!$A$25:$A$316,0))),"")</f>
        <v/>
      </c>
      <c r="G85" s="100">
        <f>IFERROR(IF(INDEX(Kalshi!$G$31:$G$501,MATCH($A85,Kalshi!$A$31:$A$501,0))=0,"",INDEX(Kalshi!$G$31:$G$501,MATCH($A85,Kalshi!$A$31:$A$501,0))),"")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IFERROR(IF(INDEX(Polymarket!$B$25:$B$316,MATCH($A86,Polymarket!$A$25:$A$316,0))=0,"",INDEX(Polymarket!$B$25:$B$316,MATCH($A86,Polymarket!$A$25:$A$316,0))),"")</f>
        <v/>
      </c>
      <c r="C86" s="101">
        <f>IFERROR(IF(INDEX(Kalshi!$D$31:$D$501,MATCH($A86,Kalshi!$A$31:$A$501,0))=0,"",INDEX(Kalshi!$D$31:$D$501,MATCH($A86,Kalshi!$A$31:$A$501,0))),"")</f>
        <v/>
      </c>
      <c r="D86" s="31">
        <f>IF(AND(ISNUMBER(B86),ISNUMBER(C86)),B86-C86,"")</f>
        <v/>
      </c>
      <c r="E86" s="29">
        <f>IF(ISNUMBER(D86),ABS(D86),"")</f>
        <v/>
      </c>
      <c r="F86" s="101">
        <f>IFERROR(IF(INDEX(Polymarket!$C$25:$C$316,MATCH($A86,Polymarket!$A$25:$A$316,0))=0,"",INDEX(Polymarket!$C$25:$C$316,MATCH($A86,Polymarket!$A$25:$A$316,0))),"")</f>
        <v/>
      </c>
      <c r="G86" s="101">
        <f>IFERROR(IF(INDEX(Kalshi!$G$31:$G$501,MATCH($A86,Kalshi!$A$31:$A$501,0))=0,"",INDEX(Kalshi!$G$31:$G$501,MATCH($A86,Kalshi!$A$31:$A$501,0))),"")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IFERROR(IF(INDEX(Polymarket!$B$25:$B$316,MATCH($A87,Polymarket!$A$25:$A$316,0))=0,"",INDEX(Polymarket!$B$25:$B$316,MATCH($A87,Polymarket!$A$25:$A$316,0))),"")</f>
        <v/>
      </c>
      <c r="C87" s="100">
        <f>IFERROR(IF(INDEX(Kalshi!$D$31:$D$501,MATCH($A87,Kalshi!$A$31:$A$501,0))=0,"",INDEX(Kalshi!$D$31:$D$501,MATCH($A87,Kalshi!$A$31:$A$501,0))),"")</f>
        <v/>
      </c>
      <c r="D87" s="18">
        <f>IF(AND(ISNUMBER(B87),ISNUMBER(C87)),B87-C87,"")</f>
        <v/>
      </c>
      <c r="E87" s="17">
        <f>IF(ISNUMBER(D87),ABS(D87),"")</f>
        <v/>
      </c>
      <c r="F87" s="100">
        <f>IFERROR(IF(INDEX(Polymarket!$C$25:$C$316,MATCH($A87,Polymarket!$A$25:$A$316,0))=0,"",INDEX(Polymarket!$C$25:$C$316,MATCH($A87,Polymarket!$A$25:$A$316,0))),"")</f>
        <v/>
      </c>
      <c r="G87" s="100">
        <f>IFERROR(IF(INDEX(Kalshi!$G$31:$G$501,MATCH($A87,Kalshi!$A$31:$A$501,0))=0,"",INDEX(Kalshi!$G$31:$G$501,MATCH($A87,Kalshi!$A$31:$A$501,0))),"")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IFERROR(IF(INDEX(Polymarket!$B$25:$B$316,MATCH($A88,Polymarket!$A$25:$A$316,0))=0,"",INDEX(Polymarket!$B$25:$B$316,MATCH($A88,Polymarket!$A$25:$A$316,0))),"")</f>
        <v/>
      </c>
      <c r="C88" s="101">
        <f>IFERROR(IF(INDEX(Kalshi!$D$31:$D$501,MATCH($A88,Kalshi!$A$31:$A$501,0))=0,"",INDEX(Kalshi!$D$31:$D$501,MATCH($A88,Kalshi!$A$31:$A$501,0))),"")</f>
        <v/>
      </c>
      <c r="D88" s="31">
        <f>IF(AND(ISNUMBER(B88),ISNUMBER(C88)),B88-C88,"")</f>
        <v/>
      </c>
      <c r="E88" s="29">
        <f>IF(ISNUMBER(D88),ABS(D88),"")</f>
        <v/>
      </c>
      <c r="F88" s="101">
        <f>IFERROR(IF(INDEX(Polymarket!$C$25:$C$316,MATCH($A88,Polymarket!$A$25:$A$316,0))=0,"",INDEX(Polymarket!$C$25:$C$316,MATCH($A88,Polymarket!$A$25:$A$316,0))),"")</f>
        <v/>
      </c>
      <c r="G88" s="101">
        <f>IFERROR(IF(INDEX(Kalshi!$G$31:$G$501,MATCH($A88,Kalshi!$A$31:$A$501,0))=0,"",INDEX(Kalshi!$G$31:$G$501,MATCH($A88,Kalshi!$A$31:$A$501,0))),"")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IFERROR(IF(INDEX(Polymarket!$B$25:$B$316,MATCH($A89,Polymarket!$A$25:$A$316,0))=0,"",INDEX(Polymarket!$B$25:$B$316,MATCH($A89,Polymarket!$A$25:$A$316,0))),"")</f>
        <v/>
      </c>
      <c r="C89" s="100">
        <f>IFERROR(IF(INDEX(Kalshi!$D$31:$D$501,MATCH($A89,Kalshi!$A$31:$A$501,0))=0,"",INDEX(Kalshi!$D$31:$D$501,MATCH($A89,Kalshi!$A$31:$A$501,0))),"")</f>
        <v/>
      </c>
      <c r="D89" s="18">
        <f>IF(AND(ISNUMBER(B89),ISNUMBER(C89)),B89-C89,"")</f>
        <v/>
      </c>
      <c r="E89" s="17">
        <f>IF(ISNUMBER(D89),ABS(D89),"")</f>
        <v/>
      </c>
      <c r="F89" s="100">
        <f>IFERROR(IF(INDEX(Polymarket!$C$25:$C$316,MATCH($A89,Polymarket!$A$25:$A$316,0))=0,"",INDEX(Polymarket!$C$25:$C$316,MATCH($A89,Polymarket!$A$25:$A$316,0))),"")</f>
        <v/>
      </c>
      <c r="G89" s="100">
        <f>IFERROR(IF(INDEX(Kalshi!$G$31:$G$501,MATCH($A89,Kalshi!$A$31:$A$501,0))=0,"",INDEX(Kalshi!$G$31:$G$501,MATCH($A89,Kalshi!$A$31:$A$501,0))),"")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IFERROR(IF(INDEX(Polymarket!$B$25:$B$316,MATCH($A90,Polymarket!$A$25:$A$316,0))=0,"",INDEX(Polymarket!$B$25:$B$316,MATCH($A90,Polymarket!$A$25:$A$316,0))),"")</f>
        <v/>
      </c>
      <c r="C90" s="101">
        <f>IFERROR(IF(INDEX(Kalshi!$D$31:$D$501,MATCH($A90,Kalshi!$A$31:$A$501,0))=0,"",INDEX(Kalshi!$D$31:$D$501,MATCH($A90,Kalshi!$A$31:$A$501,0))),"")</f>
        <v/>
      </c>
      <c r="D90" s="31">
        <f>IF(AND(ISNUMBER(B90),ISNUMBER(C90)),B90-C90,"")</f>
        <v/>
      </c>
      <c r="E90" s="29">
        <f>IF(ISNUMBER(D90),ABS(D90),"")</f>
        <v/>
      </c>
      <c r="F90" s="101">
        <f>IFERROR(IF(INDEX(Polymarket!$C$25:$C$316,MATCH($A90,Polymarket!$A$25:$A$316,0))=0,"",INDEX(Polymarket!$C$25:$C$316,MATCH($A90,Polymarket!$A$25:$A$316,0))),"")</f>
        <v/>
      </c>
      <c r="G90" s="101">
        <f>IFERROR(IF(INDEX(Kalshi!$G$31:$G$501,MATCH($A90,Kalshi!$A$31:$A$501,0))=0,"",INDEX(Kalshi!$G$31:$G$501,MATCH($A90,Kalshi!$A$31:$A$501,0))),"")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IFERROR(IF(INDEX(Polymarket!$B$25:$B$316,MATCH($A91,Polymarket!$A$25:$A$316,0))=0,"",INDEX(Polymarket!$B$25:$B$316,MATCH($A91,Polymarket!$A$25:$A$316,0))),"")</f>
        <v/>
      </c>
      <c r="C91" s="100">
        <f>IFERROR(IF(INDEX(Kalshi!$D$31:$D$501,MATCH($A91,Kalshi!$A$31:$A$501,0))=0,"",INDEX(Kalshi!$D$31:$D$501,MATCH($A91,Kalshi!$A$31:$A$501,0))),"")</f>
        <v/>
      </c>
      <c r="D91" s="18">
        <f>IF(AND(ISNUMBER(B91),ISNUMBER(C91)),B91-C91,"")</f>
        <v/>
      </c>
      <c r="E91" s="17">
        <f>IF(ISNUMBER(D91),ABS(D91),"")</f>
        <v/>
      </c>
      <c r="F91" s="100">
        <f>IFERROR(IF(INDEX(Polymarket!$C$25:$C$316,MATCH($A91,Polymarket!$A$25:$A$316,0))=0,"",INDEX(Polymarket!$C$25:$C$316,MATCH($A91,Polymarket!$A$25:$A$316,0))),"")</f>
        <v/>
      </c>
      <c r="G91" s="100">
        <f>IFERROR(IF(INDEX(Kalshi!$G$31:$G$501,MATCH($A91,Kalshi!$A$31:$A$501,0))=0,"",INDEX(Kalshi!$G$31:$G$501,MATCH($A91,Kalshi!$A$31:$A$501,0))),"")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IFERROR(IF(INDEX(Polymarket!$B$25:$B$316,MATCH($A92,Polymarket!$A$25:$A$316,0))=0,"",INDEX(Polymarket!$B$25:$B$316,MATCH($A92,Polymarket!$A$25:$A$316,0))),"")</f>
        <v/>
      </c>
      <c r="C92" s="101">
        <f>IFERROR(IF(INDEX(Kalshi!$D$31:$D$501,MATCH($A92,Kalshi!$A$31:$A$501,0))=0,"",INDEX(Kalshi!$D$31:$D$501,MATCH($A92,Kalshi!$A$31:$A$501,0))),"")</f>
        <v/>
      </c>
      <c r="D92" s="31">
        <f>IF(AND(ISNUMBER(B92),ISNUMBER(C92)),B92-C92,"")</f>
        <v/>
      </c>
      <c r="E92" s="29">
        <f>IF(ISNUMBER(D92),ABS(D92),"")</f>
        <v/>
      </c>
      <c r="F92" s="101">
        <f>IFERROR(IF(INDEX(Polymarket!$C$25:$C$316,MATCH($A92,Polymarket!$A$25:$A$316,0))=0,"",INDEX(Polymarket!$C$25:$C$316,MATCH($A92,Polymarket!$A$25:$A$316,0))),"")</f>
        <v/>
      </c>
      <c r="G92" s="101">
        <f>IFERROR(IF(INDEX(Kalshi!$G$31:$G$501,MATCH($A92,Kalshi!$A$31:$A$501,0))=0,"",INDEX(Kalshi!$G$31:$G$501,MATCH($A92,Kalshi!$A$31:$A$501,0))),"")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IFERROR(IF(INDEX(Polymarket!$B$25:$B$316,MATCH($A93,Polymarket!$A$25:$A$316,0))=0,"",INDEX(Polymarket!$B$25:$B$316,MATCH($A93,Polymarket!$A$25:$A$316,0))),"")</f>
        <v/>
      </c>
      <c r="C93" s="100">
        <f>IFERROR(IF(INDEX(Kalshi!$D$31:$D$501,MATCH($A93,Kalshi!$A$31:$A$501,0))=0,"",INDEX(Kalshi!$D$31:$D$501,MATCH($A93,Kalshi!$A$31:$A$501,0))),"")</f>
        <v/>
      </c>
      <c r="D93" s="18">
        <f>IF(AND(ISNUMBER(B93),ISNUMBER(C93)),B93-C93,"")</f>
        <v/>
      </c>
      <c r="E93" s="17">
        <f>IF(ISNUMBER(D93),ABS(D93),"")</f>
        <v/>
      </c>
      <c r="F93" s="100">
        <f>IFERROR(IF(INDEX(Polymarket!$C$25:$C$316,MATCH($A93,Polymarket!$A$25:$A$316,0))=0,"",INDEX(Polymarket!$C$25:$C$316,MATCH($A93,Polymarket!$A$25:$A$316,0))),"")</f>
        <v/>
      </c>
      <c r="G93" s="100">
        <f>IFERROR(IF(INDEX(Kalshi!$G$31:$G$501,MATCH($A93,Kalshi!$A$31:$A$501,0))=0,"",INDEX(Kalshi!$G$31:$G$501,MATCH($A93,Kalshi!$A$31:$A$501,0))),"")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IFERROR(IF(INDEX(Polymarket!$B$25:$B$316,MATCH($A94,Polymarket!$A$25:$A$316,0))=0,"",INDEX(Polymarket!$B$25:$B$316,MATCH($A94,Polymarket!$A$25:$A$316,0))),"")</f>
        <v/>
      </c>
      <c r="C94" s="101">
        <f>IFERROR(IF(INDEX(Kalshi!$D$31:$D$501,MATCH($A94,Kalshi!$A$31:$A$501,0))=0,"",INDEX(Kalshi!$D$31:$D$501,MATCH($A94,Kalshi!$A$31:$A$501,0))),"")</f>
        <v/>
      </c>
      <c r="D94" s="31">
        <f>IF(AND(ISNUMBER(B94),ISNUMBER(C94)),B94-C94,"")</f>
        <v/>
      </c>
      <c r="E94" s="29">
        <f>IF(ISNUMBER(D94),ABS(D94),"")</f>
        <v/>
      </c>
      <c r="F94" s="101">
        <f>IFERROR(IF(INDEX(Polymarket!$C$25:$C$316,MATCH($A94,Polymarket!$A$25:$A$316,0))=0,"",INDEX(Polymarket!$C$25:$C$316,MATCH($A94,Polymarket!$A$25:$A$316,0))),"")</f>
        <v/>
      </c>
      <c r="G94" s="101">
        <f>IFERROR(IF(INDEX(Kalshi!$G$31:$G$501,MATCH($A94,Kalshi!$A$31:$A$501,0))=0,"",INDEX(Kalshi!$G$31:$G$501,MATCH($A94,Kalshi!$A$31:$A$501,0))),"")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IFERROR(IF(INDEX(Polymarket!$B$25:$B$316,MATCH($A95,Polymarket!$A$25:$A$316,0))=0,"",INDEX(Polymarket!$B$25:$B$316,MATCH($A95,Polymarket!$A$25:$A$316,0))),"")</f>
        <v/>
      </c>
      <c r="C95" s="100">
        <f>IFERROR(IF(INDEX(Kalshi!$D$31:$D$501,MATCH($A95,Kalshi!$A$31:$A$501,0))=0,"",INDEX(Kalshi!$D$31:$D$501,MATCH($A95,Kalshi!$A$31:$A$501,0))),"")</f>
        <v/>
      </c>
      <c r="D95" s="18">
        <f>IF(AND(ISNUMBER(B95),ISNUMBER(C95)),B95-C95,"")</f>
        <v/>
      </c>
      <c r="E95" s="17">
        <f>IF(ISNUMBER(D95),ABS(D95),"")</f>
        <v/>
      </c>
      <c r="F95" s="100">
        <f>IFERROR(IF(INDEX(Polymarket!$C$25:$C$316,MATCH($A95,Polymarket!$A$25:$A$316,0))=0,"",INDEX(Polymarket!$C$25:$C$316,MATCH($A95,Polymarket!$A$25:$A$316,0))),"")</f>
        <v/>
      </c>
      <c r="G95" s="100">
        <f>IFERROR(IF(INDEX(Kalshi!$G$31:$G$501,MATCH($A95,Kalshi!$A$31:$A$501,0))=0,"",INDEX(Kalshi!$G$31:$G$501,MATCH($A95,Kalshi!$A$31:$A$501,0))),"")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IFERROR(IF(INDEX(Polymarket!$B$25:$B$316,MATCH($A96,Polymarket!$A$25:$A$316,0))=0,"",INDEX(Polymarket!$B$25:$B$316,MATCH($A96,Polymarket!$A$25:$A$316,0))),"")</f>
        <v/>
      </c>
      <c r="C96" s="101">
        <f>IFERROR(IF(INDEX(Kalshi!$D$31:$D$501,MATCH($A96,Kalshi!$A$31:$A$501,0))=0,"",INDEX(Kalshi!$D$31:$D$501,MATCH($A96,Kalshi!$A$31:$A$501,0))),"")</f>
        <v/>
      </c>
      <c r="D96" s="31">
        <f>IF(AND(ISNUMBER(B96),ISNUMBER(C96)),B96-C96,"")</f>
        <v/>
      </c>
      <c r="E96" s="29">
        <f>IF(ISNUMBER(D96),ABS(D96),"")</f>
        <v/>
      </c>
      <c r="F96" s="101">
        <f>IFERROR(IF(INDEX(Polymarket!$C$25:$C$316,MATCH($A96,Polymarket!$A$25:$A$316,0))=0,"",INDEX(Polymarket!$C$25:$C$316,MATCH($A96,Polymarket!$A$25:$A$316,0))),"")</f>
        <v/>
      </c>
      <c r="G96" s="101">
        <f>IFERROR(IF(INDEX(Kalshi!$G$31:$G$501,MATCH($A96,Kalshi!$A$31:$A$501,0))=0,"",INDEX(Kalshi!$G$31:$G$501,MATCH($A96,Kalshi!$A$31:$A$501,0))),"")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IFERROR(IF(INDEX(Polymarket!$B$25:$B$316,MATCH($A97,Polymarket!$A$25:$A$316,0))=0,"",INDEX(Polymarket!$B$25:$B$316,MATCH($A97,Polymarket!$A$25:$A$316,0))),"")</f>
        <v/>
      </c>
      <c r="C97" s="100">
        <f>IFERROR(IF(INDEX(Kalshi!$D$31:$D$501,MATCH($A97,Kalshi!$A$31:$A$501,0))=0,"",INDEX(Kalshi!$D$31:$D$501,MATCH($A97,Kalshi!$A$31:$A$501,0))),"")</f>
        <v/>
      </c>
      <c r="D97" s="18">
        <f>IF(AND(ISNUMBER(B97),ISNUMBER(C97)),B97-C97,"")</f>
        <v/>
      </c>
      <c r="E97" s="17">
        <f>IF(ISNUMBER(D97),ABS(D97),"")</f>
        <v/>
      </c>
      <c r="F97" s="100">
        <f>IFERROR(IF(INDEX(Polymarket!$C$25:$C$316,MATCH($A97,Polymarket!$A$25:$A$316,0))=0,"",INDEX(Polymarket!$C$25:$C$316,MATCH($A97,Polymarket!$A$25:$A$316,0))),"")</f>
        <v/>
      </c>
      <c r="G97" s="100">
        <f>IFERROR(IF(INDEX(Kalshi!$G$31:$G$501,MATCH($A97,Kalshi!$A$31:$A$501,0))=0,"",INDEX(Kalshi!$G$31:$G$501,MATCH($A97,Kalshi!$A$31:$A$501,0))),"")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IFERROR(IF(INDEX(Polymarket!$B$25:$B$316,MATCH($A98,Polymarket!$A$25:$A$316,0))=0,"",INDEX(Polymarket!$B$25:$B$316,MATCH($A98,Polymarket!$A$25:$A$316,0))),"")</f>
        <v/>
      </c>
      <c r="C98" s="101">
        <f>IFERROR(IF(INDEX(Kalshi!$D$31:$D$501,MATCH($A98,Kalshi!$A$31:$A$501,0))=0,"",INDEX(Kalshi!$D$31:$D$501,MATCH($A98,Kalshi!$A$31:$A$501,0))),"")</f>
        <v/>
      </c>
      <c r="D98" s="31">
        <f>IF(AND(ISNUMBER(B98),ISNUMBER(C98)),B98-C98,"")</f>
        <v/>
      </c>
      <c r="E98" s="29">
        <f>IF(ISNUMBER(D98),ABS(D98),"")</f>
        <v/>
      </c>
      <c r="F98" s="101">
        <f>IFERROR(IF(INDEX(Polymarket!$C$25:$C$316,MATCH($A98,Polymarket!$A$25:$A$316,0))=0,"",INDEX(Polymarket!$C$25:$C$316,MATCH($A98,Polymarket!$A$25:$A$316,0))),"")</f>
        <v/>
      </c>
      <c r="G98" s="101">
        <f>IFERROR(IF(INDEX(Kalshi!$G$31:$G$501,MATCH($A98,Kalshi!$A$31:$A$501,0))=0,"",INDEX(Kalshi!$G$31:$G$501,MATCH($A98,Kalshi!$A$31:$A$501,0))),"")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IFERROR(IF(INDEX(Polymarket!$B$25:$B$316,MATCH($A99,Polymarket!$A$25:$A$316,0))=0,"",INDEX(Polymarket!$B$25:$B$316,MATCH($A99,Polymarket!$A$25:$A$316,0))),"")</f>
        <v/>
      </c>
      <c r="C99" s="100">
        <f>IFERROR(IF(INDEX(Kalshi!$D$31:$D$501,MATCH($A99,Kalshi!$A$31:$A$501,0))=0,"",INDEX(Kalshi!$D$31:$D$501,MATCH($A99,Kalshi!$A$31:$A$501,0))),"")</f>
        <v/>
      </c>
      <c r="D99" s="18">
        <f>IF(AND(ISNUMBER(B99),ISNUMBER(C99)),B99-C99,"")</f>
        <v/>
      </c>
      <c r="E99" s="17">
        <f>IF(ISNUMBER(D99),ABS(D99),"")</f>
        <v/>
      </c>
      <c r="F99" s="100">
        <f>IFERROR(IF(INDEX(Polymarket!$C$25:$C$316,MATCH($A99,Polymarket!$A$25:$A$316,0))=0,"",INDEX(Polymarket!$C$25:$C$316,MATCH($A99,Polymarket!$A$25:$A$316,0))),"")</f>
        <v/>
      </c>
      <c r="G99" s="100">
        <f>IFERROR(IF(INDEX(Kalshi!$G$31:$G$501,MATCH($A99,Kalshi!$A$31:$A$501,0))=0,"",INDEX(Kalshi!$G$31:$G$501,MATCH($A99,Kalshi!$A$31:$A$501,0))),"")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IFERROR(IF(INDEX(Polymarket!$B$25:$B$316,MATCH($A100,Polymarket!$A$25:$A$316,0))=0,"",INDEX(Polymarket!$B$25:$B$316,MATCH($A100,Polymarket!$A$25:$A$316,0))),"")</f>
        <v/>
      </c>
      <c r="C100" s="101">
        <f>IFERROR(IF(INDEX(Kalshi!$D$31:$D$501,MATCH($A100,Kalshi!$A$31:$A$501,0))=0,"",INDEX(Kalshi!$D$31:$D$501,MATCH($A100,Kalshi!$A$31:$A$501,0))),"")</f>
        <v/>
      </c>
      <c r="D100" s="31">
        <f>IF(AND(ISNUMBER(B100),ISNUMBER(C100)),B100-C100,"")</f>
        <v/>
      </c>
      <c r="E100" s="29">
        <f>IF(ISNUMBER(D100),ABS(D100),"")</f>
        <v/>
      </c>
      <c r="F100" s="101">
        <f>IFERROR(IF(INDEX(Polymarket!$C$25:$C$316,MATCH($A100,Polymarket!$A$25:$A$316,0))=0,"",INDEX(Polymarket!$C$25:$C$316,MATCH($A100,Polymarket!$A$25:$A$316,0))),"")</f>
        <v/>
      </c>
      <c r="G100" s="101">
        <f>IFERROR(IF(INDEX(Kalshi!$G$31:$G$501,MATCH($A100,Kalshi!$A$31:$A$501,0))=0,"",INDEX(Kalshi!$G$31:$G$501,MATCH($A100,Kalshi!$A$31:$A$501,0))),"")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IFERROR(IF(INDEX(Polymarket!$B$25:$B$316,MATCH($A101,Polymarket!$A$25:$A$316,0))=0,"",INDEX(Polymarket!$B$25:$B$316,MATCH($A101,Polymarket!$A$25:$A$316,0))),"")</f>
        <v/>
      </c>
      <c r="C101" s="100">
        <f>IFERROR(IF(INDEX(Kalshi!$D$31:$D$501,MATCH($A101,Kalshi!$A$31:$A$501,0))=0,"",INDEX(Kalshi!$D$31:$D$501,MATCH($A101,Kalshi!$A$31:$A$501,0))),"")</f>
        <v/>
      </c>
      <c r="D101" s="18">
        <f>IF(AND(ISNUMBER(B101),ISNUMBER(C101)),B101-C101,"")</f>
        <v/>
      </c>
      <c r="E101" s="17">
        <f>IF(ISNUMBER(D101),ABS(D101),"")</f>
        <v/>
      </c>
      <c r="F101" s="100">
        <f>IFERROR(IF(INDEX(Polymarket!$C$25:$C$316,MATCH($A101,Polymarket!$A$25:$A$316,0))=0,"",INDEX(Polymarket!$C$25:$C$316,MATCH($A101,Polymarket!$A$25:$A$316,0))),"")</f>
        <v/>
      </c>
      <c r="G101" s="100">
        <f>IFERROR(IF(INDEX(Kalshi!$G$31:$G$501,MATCH($A101,Kalshi!$A$31:$A$501,0))=0,"",INDEX(Kalshi!$G$31:$G$501,MATCH($A101,Kalshi!$A$31:$A$501,0))),"")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IFERROR(IF(INDEX(Polymarket!$B$25:$B$316,MATCH($A102,Polymarket!$A$25:$A$316,0))=0,"",INDEX(Polymarket!$B$25:$B$316,MATCH($A102,Polymarket!$A$25:$A$316,0))),"")</f>
        <v/>
      </c>
      <c r="C102" s="101">
        <f>IFERROR(IF(INDEX(Kalshi!$D$31:$D$501,MATCH($A102,Kalshi!$A$31:$A$501,0))=0,"",INDEX(Kalshi!$D$31:$D$501,MATCH($A102,Kalshi!$A$31:$A$501,0))),"")</f>
        <v/>
      </c>
      <c r="D102" s="31">
        <f>IF(AND(ISNUMBER(B102),ISNUMBER(C102)),B102-C102,"")</f>
        <v/>
      </c>
      <c r="E102" s="29">
        <f>IF(ISNUMBER(D102),ABS(D102),"")</f>
        <v/>
      </c>
      <c r="F102" s="101">
        <f>IFERROR(IF(INDEX(Polymarket!$C$25:$C$316,MATCH($A102,Polymarket!$A$25:$A$316,0))=0,"",INDEX(Polymarket!$C$25:$C$316,MATCH($A102,Polymarket!$A$25:$A$316,0))),"")</f>
        <v/>
      </c>
      <c r="G102" s="101">
        <f>IFERROR(IF(INDEX(Kalshi!$G$31:$G$501,MATCH($A102,Kalshi!$A$31:$A$501,0))=0,"",INDEX(Kalshi!$G$31:$G$501,MATCH($A102,Kalshi!$A$31:$A$501,0))),"")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IFERROR(IF(INDEX(Polymarket!$B$25:$B$316,MATCH($A103,Polymarket!$A$25:$A$316,0))=0,"",INDEX(Polymarket!$B$25:$B$316,MATCH($A103,Polymarket!$A$25:$A$316,0))),"")</f>
        <v/>
      </c>
      <c r="C103" s="100">
        <f>IFERROR(IF(INDEX(Kalshi!$D$31:$D$501,MATCH($A103,Kalshi!$A$31:$A$501,0))=0,"",INDEX(Kalshi!$D$31:$D$501,MATCH($A103,Kalshi!$A$31:$A$501,0))),"")</f>
        <v/>
      </c>
      <c r="D103" s="18">
        <f>IF(AND(ISNUMBER(B103),ISNUMBER(C103)),B103-C103,"")</f>
        <v/>
      </c>
      <c r="E103" s="17">
        <f>IF(ISNUMBER(D103),ABS(D103),"")</f>
        <v/>
      </c>
      <c r="F103" s="100">
        <f>IFERROR(IF(INDEX(Polymarket!$C$25:$C$316,MATCH($A103,Polymarket!$A$25:$A$316,0))=0,"",INDEX(Polymarket!$C$25:$C$316,MATCH($A103,Polymarket!$A$25:$A$316,0))),"")</f>
        <v/>
      </c>
      <c r="G103" s="100">
        <f>IFERROR(IF(INDEX(Kalshi!$G$31:$G$501,MATCH($A103,Kalshi!$A$31:$A$501,0))=0,"",INDEX(Kalshi!$G$31:$G$501,MATCH($A103,Kalshi!$A$31:$A$501,0))),"")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IFERROR(IF(INDEX(Polymarket!$B$25:$B$316,MATCH($A104,Polymarket!$A$25:$A$316,0))=0,"",INDEX(Polymarket!$B$25:$B$316,MATCH($A104,Polymarket!$A$25:$A$316,0))),"")</f>
        <v/>
      </c>
      <c r="C104" s="101">
        <f>IFERROR(IF(INDEX(Kalshi!$D$31:$D$501,MATCH($A104,Kalshi!$A$31:$A$501,0))=0,"",INDEX(Kalshi!$D$31:$D$501,MATCH($A104,Kalshi!$A$31:$A$501,0))),"")</f>
        <v/>
      </c>
      <c r="D104" s="31">
        <f>IF(AND(ISNUMBER(B104),ISNUMBER(C104)),B104-C104,"")</f>
        <v/>
      </c>
      <c r="E104" s="29">
        <f>IF(ISNUMBER(D104),ABS(D104),"")</f>
        <v/>
      </c>
      <c r="F104" s="101">
        <f>IFERROR(IF(INDEX(Polymarket!$C$25:$C$316,MATCH($A104,Polymarket!$A$25:$A$316,0))=0,"",INDEX(Polymarket!$C$25:$C$316,MATCH($A104,Polymarket!$A$25:$A$316,0))),"")</f>
        <v/>
      </c>
      <c r="G104" s="101">
        <f>IFERROR(IF(INDEX(Kalshi!$G$31:$G$501,MATCH($A104,Kalshi!$A$31:$A$501,0))=0,"",INDEX(Kalshi!$G$31:$G$501,MATCH($A104,Kalshi!$A$31:$A$501,0))),"")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IFERROR(IF(INDEX(Polymarket!$B$25:$B$316,MATCH($A105,Polymarket!$A$25:$A$316,0))=0,"",INDEX(Polymarket!$B$25:$B$316,MATCH($A105,Polymarket!$A$25:$A$316,0))),"")</f>
        <v/>
      </c>
      <c r="C105" s="100">
        <f>IFERROR(IF(INDEX(Kalshi!$D$31:$D$501,MATCH($A105,Kalshi!$A$31:$A$501,0))=0,"",INDEX(Kalshi!$D$31:$D$501,MATCH($A105,Kalshi!$A$31:$A$501,0))),"")</f>
        <v/>
      </c>
      <c r="D105" s="18">
        <f>IF(AND(ISNUMBER(B105),ISNUMBER(C105)),B105-C105,"")</f>
        <v/>
      </c>
      <c r="E105" s="17">
        <f>IF(ISNUMBER(D105),ABS(D105),"")</f>
        <v/>
      </c>
      <c r="F105" s="100">
        <f>IFERROR(IF(INDEX(Polymarket!$C$25:$C$316,MATCH($A105,Polymarket!$A$25:$A$316,0))=0,"",INDEX(Polymarket!$C$25:$C$316,MATCH($A105,Polymarket!$A$25:$A$316,0))),"")</f>
        <v/>
      </c>
      <c r="G105" s="100">
        <f>IFERROR(IF(INDEX(Kalshi!$G$31:$G$501,MATCH($A105,Kalshi!$A$31:$A$501,0))=0,"",INDEX(Kalshi!$G$31:$G$501,MATCH($A105,Kalshi!$A$31:$A$501,0))),"")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IFERROR(IF(INDEX(Polymarket!$B$25:$B$316,MATCH($A106,Polymarket!$A$25:$A$316,0))=0,"",INDEX(Polymarket!$B$25:$B$316,MATCH($A106,Polymarket!$A$25:$A$316,0))),"")</f>
        <v/>
      </c>
      <c r="C106" s="101">
        <f>IFERROR(IF(INDEX(Kalshi!$D$31:$D$501,MATCH($A106,Kalshi!$A$31:$A$501,0))=0,"",INDEX(Kalshi!$D$31:$D$501,MATCH($A106,Kalshi!$A$31:$A$501,0))),"")</f>
        <v/>
      </c>
      <c r="D106" s="31">
        <f>IF(AND(ISNUMBER(B106),ISNUMBER(C106)),B106-C106,"")</f>
        <v/>
      </c>
      <c r="E106" s="29">
        <f>IF(ISNUMBER(D106),ABS(D106),"")</f>
        <v/>
      </c>
      <c r="F106" s="101">
        <f>IFERROR(IF(INDEX(Polymarket!$C$25:$C$316,MATCH($A106,Polymarket!$A$25:$A$316,0))=0,"",INDEX(Polymarket!$C$25:$C$316,MATCH($A106,Polymarket!$A$25:$A$316,0))),"")</f>
        <v/>
      </c>
      <c r="G106" s="101">
        <f>IFERROR(IF(INDEX(Kalshi!$G$31:$G$501,MATCH($A106,Kalshi!$A$31:$A$501,0))=0,"",INDEX(Kalshi!$G$31:$G$501,MATCH($A106,Kalshi!$A$31:$A$501,0))),"")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IFERROR(IF(INDEX(Polymarket!$B$25:$B$316,MATCH($A107,Polymarket!$A$25:$A$316,0))=0,"",INDEX(Polymarket!$B$25:$B$316,MATCH($A107,Polymarket!$A$25:$A$316,0))),"")</f>
        <v/>
      </c>
      <c r="C107" s="100">
        <f>IFERROR(IF(INDEX(Kalshi!$D$31:$D$501,MATCH($A107,Kalshi!$A$31:$A$501,0))=0,"",INDEX(Kalshi!$D$31:$D$501,MATCH($A107,Kalshi!$A$31:$A$501,0))),"")</f>
        <v/>
      </c>
      <c r="D107" s="18">
        <f>IF(AND(ISNUMBER(B107),ISNUMBER(C107)),B107-C107,"")</f>
        <v/>
      </c>
      <c r="E107" s="17">
        <f>IF(ISNUMBER(D107),ABS(D107),"")</f>
        <v/>
      </c>
      <c r="F107" s="100">
        <f>IFERROR(IF(INDEX(Polymarket!$C$25:$C$316,MATCH($A107,Polymarket!$A$25:$A$316,0))=0,"",INDEX(Polymarket!$C$25:$C$316,MATCH($A107,Polymarket!$A$25:$A$316,0))),"")</f>
        <v/>
      </c>
      <c r="G107" s="100">
        <f>IFERROR(IF(INDEX(Kalshi!$G$31:$G$501,MATCH($A107,Kalshi!$A$31:$A$501,0))=0,"",INDEX(Kalshi!$G$31:$G$501,MATCH($A107,Kalshi!$A$31:$A$501,0))),"")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IFERROR(IF(INDEX(Polymarket!$B$25:$B$316,MATCH($A108,Polymarket!$A$25:$A$316,0))=0,"",INDEX(Polymarket!$B$25:$B$316,MATCH($A108,Polymarket!$A$25:$A$316,0))),"")</f>
        <v/>
      </c>
      <c r="C108" s="101">
        <f>IFERROR(IF(INDEX(Kalshi!$D$31:$D$501,MATCH($A108,Kalshi!$A$31:$A$501,0))=0,"",INDEX(Kalshi!$D$31:$D$501,MATCH($A108,Kalshi!$A$31:$A$501,0))),"")</f>
        <v/>
      </c>
      <c r="D108" s="31">
        <f>IF(AND(ISNUMBER(B108),ISNUMBER(C108)),B108-C108,"")</f>
        <v/>
      </c>
      <c r="E108" s="29">
        <f>IF(ISNUMBER(D108),ABS(D108),"")</f>
        <v/>
      </c>
      <c r="F108" s="101">
        <f>IFERROR(IF(INDEX(Polymarket!$C$25:$C$316,MATCH($A108,Polymarket!$A$25:$A$316,0))=0,"",INDEX(Polymarket!$C$25:$C$316,MATCH($A108,Polymarket!$A$25:$A$316,0))),"")</f>
        <v/>
      </c>
      <c r="G108" s="101">
        <f>IFERROR(IF(INDEX(Kalshi!$G$31:$G$501,MATCH($A108,Kalshi!$A$31:$A$501,0))=0,"",INDEX(Kalshi!$G$31:$G$501,MATCH($A108,Kalshi!$A$31:$A$501,0))),"")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IFERROR(IF(INDEX(Polymarket!$B$25:$B$316,MATCH($A109,Polymarket!$A$25:$A$316,0))=0,"",INDEX(Polymarket!$B$25:$B$316,MATCH($A109,Polymarket!$A$25:$A$316,0))),"")</f>
        <v/>
      </c>
      <c r="C109" s="100">
        <f>IFERROR(IF(INDEX(Kalshi!$D$31:$D$501,MATCH($A109,Kalshi!$A$31:$A$501,0))=0,"",INDEX(Kalshi!$D$31:$D$501,MATCH($A109,Kalshi!$A$31:$A$501,0))),"")</f>
        <v/>
      </c>
      <c r="D109" s="18">
        <f>IF(AND(ISNUMBER(B109),ISNUMBER(C109)),B109-C109,"")</f>
        <v/>
      </c>
      <c r="E109" s="17">
        <f>IF(ISNUMBER(D109),ABS(D109),"")</f>
        <v/>
      </c>
      <c r="F109" s="100">
        <f>IFERROR(IF(INDEX(Polymarket!$C$25:$C$316,MATCH($A109,Polymarket!$A$25:$A$316,0))=0,"",INDEX(Polymarket!$C$25:$C$316,MATCH($A109,Polymarket!$A$25:$A$316,0))),"")</f>
        <v/>
      </c>
      <c r="G109" s="100">
        <f>IFERROR(IF(INDEX(Kalshi!$G$31:$G$501,MATCH($A109,Kalshi!$A$31:$A$501,0))=0,"",INDEX(Kalshi!$G$31:$G$501,MATCH($A109,Kalshi!$A$31:$A$501,0))),"")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IFERROR(IF(INDEX(Polymarket!$B$25:$B$316,MATCH($A110,Polymarket!$A$25:$A$316,0))=0,"",INDEX(Polymarket!$B$25:$B$316,MATCH($A110,Polymarket!$A$25:$A$316,0))),"")</f>
        <v/>
      </c>
      <c r="C110" s="101">
        <f>IFERROR(IF(INDEX(Kalshi!$D$31:$D$501,MATCH($A110,Kalshi!$A$31:$A$501,0))=0,"",INDEX(Kalshi!$D$31:$D$501,MATCH($A110,Kalshi!$A$31:$A$501,0))),"")</f>
        <v/>
      </c>
      <c r="D110" s="31">
        <f>IF(AND(ISNUMBER(B110),ISNUMBER(C110)),B110-C110,"")</f>
        <v/>
      </c>
      <c r="E110" s="29">
        <f>IF(ISNUMBER(D110),ABS(D110),"")</f>
        <v/>
      </c>
      <c r="F110" s="101">
        <f>IFERROR(IF(INDEX(Polymarket!$C$25:$C$316,MATCH($A110,Polymarket!$A$25:$A$316,0))=0,"",INDEX(Polymarket!$C$25:$C$316,MATCH($A110,Polymarket!$A$25:$A$316,0))),"")</f>
        <v/>
      </c>
      <c r="G110" s="101">
        <f>IFERROR(IF(INDEX(Kalshi!$G$31:$G$501,MATCH($A110,Kalshi!$A$31:$A$501,0))=0,"",INDEX(Kalshi!$G$31:$G$501,MATCH($A110,Kalshi!$A$31:$A$501,0))),"")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IFERROR(IF(INDEX(Polymarket!$B$25:$B$316,MATCH($A111,Polymarket!$A$25:$A$316,0))=0,"",INDEX(Polymarket!$B$25:$B$316,MATCH($A111,Polymarket!$A$25:$A$316,0))),"")</f>
        <v/>
      </c>
      <c r="C111" s="100">
        <f>IFERROR(IF(INDEX(Kalshi!$D$31:$D$501,MATCH($A111,Kalshi!$A$31:$A$501,0))=0,"",INDEX(Kalshi!$D$31:$D$501,MATCH($A111,Kalshi!$A$31:$A$501,0))),"")</f>
        <v/>
      </c>
      <c r="D111" s="18">
        <f>IF(AND(ISNUMBER(B111),ISNUMBER(C111)),B111-C111,"")</f>
        <v/>
      </c>
      <c r="E111" s="17">
        <f>IF(ISNUMBER(D111),ABS(D111),"")</f>
        <v/>
      </c>
      <c r="F111" s="100">
        <f>IFERROR(IF(INDEX(Polymarket!$C$25:$C$316,MATCH($A111,Polymarket!$A$25:$A$316,0))=0,"",INDEX(Polymarket!$C$25:$C$316,MATCH($A111,Polymarket!$A$25:$A$316,0))),"")</f>
        <v/>
      </c>
      <c r="G111" s="100">
        <f>IFERROR(IF(INDEX(Kalshi!$G$31:$G$501,MATCH($A111,Kalshi!$A$31:$A$501,0))=0,"",INDEX(Kalshi!$G$31:$G$501,MATCH($A111,Kalshi!$A$31:$A$501,0))),"")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IFERROR(IF(INDEX(Polymarket!$B$25:$B$316,MATCH($A112,Polymarket!$A$25:$A$316,0))=0,"",INDEX(Polymarket!$B$25:$B$316,MATCH($A112,Polymarket!$A$25:$A$316,0))),"")</f>
        <v/>
      </c>
      <c r="C112" s="101">
        <f>IFERROR(IF(INDEX(Kalshi!$D$31:$D$501,MATCH($A112,Kalshi!$A$31:$A$501,0))=0,"",INDEX(Kalshi!$D$31:$D$501,MATCH($A112,Kalshi!$A$31:$A$501,0))),"")</f>
        <v/>
      </c>
      <c r="D112" s="31">
        <f>IF(AND(ISNUMBER(B112),ISNUMBER(C112)),B112-C112,"")</f>
        <v/>
      </c>
      <c r="E112" s="29">
        <f>IF(ISNUMBER(D112),ABS(D112),"")</f>
        <v/>
      </c>
      <c r="F112" s="101">
        <f>IFERROR(IF(INDEX(Polymarket!$C$25:$C$316,MATCH($A112,Polymarket!$A$25:$A$316,0))=0,"",INDEX(Polymarket!$C$25:$C$316,MATCH($A112,Polymarket!$A$25:$A$316,0))),"")</f>
        <v/>
      </c>
      <c r="G112" s="101">
        <f>IFERROR(IF(INDEX(Kalshi!$G$31:$G$501,MATCH($A112,Kalshi!$A$31:$A$501,0))=0,"",INDEX(Kalshi!$G$31:$G$501,MATCH($A112,Kalshi!$A$31:$A$501,0))),"")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IFERROR(IF(INDEX(Polymarket!$B$25:$B$316,MATCH($A113,Polymarket!$A$25:$A$316,0))=0,"",INDEX(Polymarket!$B$25:$B$316,MATCH($A113,Polymarket!$A$25:$A$316,0))),"")</f>
        <v/>
      </c>
      <c r="C113" s="100">
        <f>IFERROR(IF(INDEX(Kalshi!$D$31:$D$501,MATCH($A113,Kalshi!$A$31:$A$501,0))=0,"",INDEX(Kalshi!$D$31:$D$501,MATCH($A113,Kalshi!$A$31:$A$501,0))),"")</f>
        <v/>
      </c>
      <c r="D113" s="18">
        <f>IF(AND(ISNUMBER(B113),ISNUMBER(C113)),B113-C113,"")</f>
        <v/>
      </c>
      <c r="E113" s="17">
        <f>IF(ISNUMBER(D113),ABS(D113),"")</f>
        <v/>
      </c>
      <c r="F113" s="100">
        <f>IFERROR(IF(INDEX(Polymarket!$C$25:$C$316,MATCH($A113,Polymarket!$A$25:$A$316,0))=0,"",INDEX(Polymarket!$C$25:$C$316,MATCH($A113,Polymarket!$A$25:$A$316,0))),"")</f>
        <v/>
      </c>
      <c r="G113" s="100">
        <f>IFERROR(IF(INDEX(Kalshi!$G$31:$G$501,MATCH($A113,Kalshi!$A$31:$A$501,0))=0,"",INDEX(Kalshi!$G$31:$G$501,MATCH($A113,Kalshi!$A$31:$A$501,0))),"")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IFERROR(IF(INDEX(Polymarket!$B$25:$B$316,MATCH($A114,Polymarket!$A$25:$A$316,0))=0,"",INDEX(Polymarket!$B$25:$B$316,MATCH($A114,Polymarket!$A$25:$A$316,0))),"")</f>
        <v/>
      </c>
      <c r="C114" s="101">
        <f>IFERROR(IF(INDEX(Kalshi!$D$31:$D$501,MATCH($A114,Kalshi!$A$31:$A$501,0))=0,"",INDEX(Kalshi!$D$31:$D$501,MATCH($A114,Kalshi!$A$31:$A$501,0))),"")</f>
        <v/>
      </c>
      <c r="D114" s="31">
        <f>IF(AND(ISNUMBER(B114),ISNUMBER(C114)),B114-C114,"")</f>
        <v/>
      </c>
      <c r="E114" s="29">
        <f>IF(ISNUMBER(D114),ABS(D114),"")</f>
        <v/>
      </c>
      <c r="F114" s="101">
        <f>IFERROR(IF(INDEX(Polymarket!$C$25:$C$316,MATCH($A114,Polymarket!$A$25:$A$316,0))=0,"",INDEX(Polymarket!$C$25:$C$316,MATCH($A114,Polymarket!$A$25:$A$316,0))),"")</f>
        <v/>
      </c>
      <c r="G114" s="101">
        <f>IFERROR(IF(INDEX(Kalshi!$G$31:$G$501,MATCH($A114,Kalshi!$A$31:$A$501,0))=0,"",INDEX(Kalshi!$G$31:$G$501,MATCH($A114,Kalshi!$A$31:$A$501,0))),"")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IFERROR(IF(INDEX(Polymarket!$B$25:$B$316,MATCH($A115,Polymarket!$A$25:$A$316,0))=0,"",INDEX(Polymarket!$B$25:$B$316,MATCH($A115,Polymarket!$A$25:$A$316,0))),"")</f>
        <v/>
      </c>
      <c r="C115" s="100">
        <f>IFERROR(IF(INDEX(Kalshi!$D$31:$D$501,MATCH($A115,Kalshi!$A$31:$A$501,0))=0,"",INDEX(Kalshi!$D$31:$D$501,MATCH($A115,Kalshi!$A$31:$A$501,0))),"")</f>
        <v/>
      </c>
      <c r="D115" s="18">
        <f>IF(AND(ISNUMBER(B115),ISNUMBER(C115)),B115-C115,"")</f>
        <v/>
      </c>
      <c r="E115" s="17">
        <f>IF(ISNUMBER(D115),ABS(D115),"")</f>
        <v/>
      </c>
      <c r="F115" s="100">
        <f>IFERROR(IF(INDEX(Polymarket!$C$25:$C$316,MATCH($A115,Polymarket!$A$25:$A$316,0))=0,"",INDEX(Polymarket!$C$25:$C$316,MATCH($A115,Polymarket!$A$25:$A$316,0))),"")</f>
        <v/>
      </c>
      <c r="G115" s="100">
        <f>IFERROR(IF(INDEX(Kalshi!$G$31:$G$501,MATCH($A115,Kalshi!$A$31:$A$501,0))=0,"",INDEX(Kalshi!$G$31:$G$501,MATCH($A115,Kalshi!$A$31:$A$501,0))),"")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IFERROR(IF(INDEX(Polymarket!$B$25:$B$316,MATCH($A116,Polymarket!$A$25:$A$316,0))=0,"",INDEX(Polymarket!$B$25:$B$316,MATCH($A116,Polymarket!$A$25:$A$316,0))),"")</f>
        <v/>
      </c>
      <c r="C116" s="101">
        <f>IFERROR(IF(INDEX(Kalshi!$D$31:$D$501,MATCH($A116,Kalshi!$A$31:$A$501,0))=0,"",INDEX(Kalshi!$D$31:$D$501,MATCH($A116,Kalshi!$A$31:$A$501,0))),"")</f>
        <v/>
      </c>
      <c r="D116" s="31">
        <f>IF(AND(ISNUMBER(B116),ISNUMBER(C116)),B116-C116,"")</f>
        <v/>
      </c>
      <c r="E116" s="29">
        <f>IF(ISNUMBER(D116),ABS(D116),"")</f>
        <v/>
      </c>
      <c r="F116" s="101">
        <f>IFERROR(IF(INDEX(Polymarket!$C$25:$C$316,MATCH($A116,Polymarket!$A$25:$A$316,0))=0,"",INDEX(Polymarket!$C$25:$C$316,MATCH($A116,Polymarket!$A$25:$A$316,0))),"")</f>
        <v/>
      </c>
      <c r="G116" s="101">
        <f>IFERROR(IF(INDEX(Kalshi!$G$31:$G$501,MATCH($A116,Kalshi!$A$31:$A$501,0))=0,"",INDEX(Kalshi!$G$31:$G$501,MATCH($A116,Kalshi!$A$31:$A$501,0))),"")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IFERROR(IF(INDEX(Polymarket!$B$25:$B$316,MATCH($A117,Polymarket!$A$25:$A$316,0))=0,"",INDEX(Polymarket!$B$25:$B$316,MATCH($A117,Polymarket!$A$25:$A$316,0))),"")</f>
        <v/>
      </c>
      <c r="C117" s="100">
        <f>IFERROR(IF(INDEX(Kalshi!$D$31:$D$501,MATCH($A117,Kalshi!$A$31:$A$501,0))=0,"",INDEX(Kalshi!$D$31:$D$501,MATCH($A117,Kalshi!$A$31:$A$501,0))),"")</f>
        <v/>
      </c>
      <c r="D117" s="18">
        <f>IF(AND(ISNUMBER(B117),ISNUMBER(C117)),B117-C117,"")</f>
        <v/>
      </c>
      <c r="E117" s="17">
        <f>IF(ISNUMBER(D117),ABS(D117),"")</f>
        <v/>
      </c>
      <c r="F117" s="100">
        <f>IFERROR(IF(INDEX(Polymarket!$C$25:$C$316,MATCH($A117,Polymarket!$A$25:$A$316,0))=0,"",INDEX(Polymarket!$C$25:$C$316,MATCH($A117,Polymarket!$A$25:$A$316,0))),"")</f>
        <v/>
      </c>
      <c r="G117" s="100">
        <f>IFERROR(IF(INDEX(Kalshi!$G$31:$G$501,MATCH($A117,Kalshi!$A$31:$A$501,0))=0,"",INDEX(Kalshi!$G$31:$G$501,MATCH($A117,Kalshi!$A$31:$A$501,0))),"")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IFERROR(IF(INDEX(Polymarket!$B$25:$B$316,MATCH($A118,Polymarket!$A$25:$A$316,0))=0,"",INDEX(Polymarket!$B$25:$B$316,MATCH($A118,Polymarket!$A$25:$A$316,0))),"")</f>
        <v/>
      </c>
      <c r="C118" s="101">
        <f>IFERROR(IF(INDEX(Kalshi!$D$31:$D$501,MATCH($A118,Kalshi!$A$31:$A$501,0))=0,"",INDEX(Kalshi!$D$31:$D$501,MATCH($A118,Kalshi!$A$31:$A$501,0))),"")</f>
        <v/>
      </c>
      <c r="D118" s="31">
        <f>IF(AND(ISNUMBER(B118),ISNUMBER(C118)),B118-C118,"")</f>
        <v/>
      </c>
      <c r="E118" s="29">
        <f>IF(ISNUMBER(D118),ABS(D118),"")</f>
        <v/>
      </c>
      <c r="F118" s="101">
        <f>IFERROR(IF(INDEX(Polymarket!$C$25:$C$316,MATCH($A118,Polymarket!$A$25:$A$316,0))=0,"",INDEX(Polymarket!$C$25:$C$316,MATCH($A118,Polymarket!$A$25:$A$316,0))),"")</f>
        <v/>
      </c>
      <c r="G118" s="101">
        <f>IFERROR(IF(INDEX(Kalshi!$G$31:$G$501,MATCH($A118,Kalshi!$A$31:$A$501,0))=0,"",INDEX(Kalshi!$G$31:$G$501,MATCH($A118,Kalshi!$A$31:$A$501,0))),"")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IFERROR(IF(INDEX(Polymarket!$B$25:$B$316,MATCH($A119,Polymarket!$A$25:$A$316,0))=0,"",INDEX(Polymarket!$B$25:$B$316,MATCH($A119,Polymarket!$A$25:$A$316,0))),"")</f>
        <v/>
      </c>
      <c r="C119" s="100">
        <f>IFERROR(IF(INDEX(Kalshi!$D$31:$D$501,MATCH($A119,Kalshi!$A$31:$A$501,0))=0,"",INDEX(Kalshi!$D$31:$D$501,MATCH($A119,Kalshi!$A$31:$A$501,0))),"")</f>
        <v/>
      </c>
      <c r="D119" s="18">
        <f>IF(AND(ISNUMBER(B119),ISNUMBER(C119)),B119-C119,"")</f>
        <v/>
      </c>
      <c r="E119" s="17">
        <f>IF(ISNUMBER(D119),ABS(D119),"")</f>
        <v/>
      </c>
      <c r="F119" s="100">
        <f>IFERROR(IF(INDEX(Polymarket!$C$25:$C$316,MATCH($A119,Polymarket!$A$25:$A$316,0))=0,"",INDEX(Polymarket!$C$25:$C$316,MATCH($A119,Polymarket!$A$25:$A$316,0))),"")</f>
        <v/>
      </c>
      <c r="G119" s="100">
        <f>IFERROR(IF(INDEX(Kalshi!$G$31:$G$501,MATCH($A119,Kalshi!$A$31:$A$501,0))=0,"",INDEX(Kalshi!$G$31:$G$501,MATCH($A119,Kalshi!$A$31:$A$501,0))),"")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IFERROR(IF(INDEX(Polymarket!$B$25:$B$316,MATCH($A120,Polymarket!$A$25:$A$316,0))=0,"",INDEX(Polymarket!$B$25:$B$316,MATCH($A120,Polymarket!$A$25:$A$316,0))),"")</f>
        <v/>
      </c>
      <c r="C120" s="101">
        <f>IFERROR(IF(INDEX(Kalshi!$D$31:$D$501,MATCH($A120,Kalshi!$A$31:$A$501,0))=0,"",INDEX(Kalshi!$D$31:$D$501,MATCH($A120,Kalshi!$A$31:$A$501,0))),"")</f>
        <v/>
      </c>
      <c r="D120" s="31">
        <f>IF(AND(ISNUMBER(B120),ISNUMBER(C120)),B120-C120,"")</f>
        <v/>
      </c>
      <c r="E120" s="29">
        <f>IF(ISNUMBER(D120),ABS(D120),"")</f>
        <v/>
      </c>
      <c r="F120" s="101">
        <f>IFERROR(IF(INDEX(Polymarket!$C$25:$C$316,MATCH($A120,Polymarket!$A$25:$A$316,0))=0,"",INDEX(Polymarket!$C$25:$C$316,MATCH($A120,Polymarket!$A$25:$A$316,0))),"")</f>
        <v/>
      </c>
      <c r="G120" s="101">
        <f>IFERROR(IF(INDEX(Kalshi!$G$31:$G$501,MATCH($A120,Kalshi!$A$31:$A$501,0))=0,"",INDEX(Kalshi!$G$31:$G$501,MATCH($A120,Kalshi!$A$31:$A$501,0))),"")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IFERROR(IF(INDEX(Polymarket!$B$25:$B$316,MATCH($A121,Polymarket!$A$25:$A$316,0))=0,"",INDEX(Polymarket!$B$25:$B$316,MATCH($A121,Polymarket!$A$25:$A$316,0))),"")</f>
        <v/>
      </c>
      <c r="C121" s="100">
        <f>IFERROR(IF(INDEX(Kalshi!$D$31:$D$501,MATCH($A121,Kalshi!$A$31:$A$501,0))=0,"",INDEX(Kalshi!$D$31:$D$501,MATCH($A121,Kalshi!$A$31:$A$501,0))),"")</f>
        <v/>
      </c>
      <c r="D121" s="18">
        <f>IF(AND(ISNUMBER(B121),ISNUMBER(C121)),B121-C121,"")</f>
        <v/>
      </c>
      <c r="E121" s="17">
        <f>IF(ISNUMBER(D121),ABS(D121),"")</f>
        <v/>
      </c>
      <c r="F121" s="100">
        <f>IFERROR(IF(INDEX(Polymarket!$C$25:$C$316,MATCH($A121,Polymarket!$A$25:$A$316,0))=0,"",INDEX(Polymarket!$C$25:$C$316,MATCH($A121,Polymarket!$A$25:$A$316,0))),"")</f>
        <v/>
      </c>
      <c r="G121" s="100">
        <f>IFERROR(IF(INDEX(Kalshi!$G$31:$G$501,MATCH($A121,Kalshi!$A$31:$A$501,0))=0,"",INDEX(Kalshi!$G$31:$G$501,MATCH($A121,Kalshi!$A$31:$A$501,0))),"")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IFERROR(IF(INDEX(Polymarket!$B$25:$B$316,MATCH($A122,Polymarket!$A$25:$A$316,0))=0,"",INDEX(Polymarket!$B$25:$B$316,MATCH($A122,Polymarket!$A$25:$A$316,0))),"")</f>
        <v/>
      </c>
      <c r="C122" s="101">
        <f>IFERROR(IF(INDEX(Kalshi!$D$31:$D$501,MATCH($A122,Kalshi!$A$31:$A$501,0))=0,"",INDEX(Kalshi!$D$31:$D$501,MATCH($A122,Kalshi!$A$31:$A$501,0))),"")</f>
        <v/>
      </c>
      <c r="D122" s="31">
        <f>IF(AND(ISNUMBER(B122),ISNUMBER(C122)),B122-C122,"")</f>
        <v/>
      </c>
      <c r="E122" s="29">
        <f>IF(ISNUMBER(D122),ABS(D122),"")</f>
        <v/>
      </c>
      <c r="F122" s="101">
        <f>IFERROR(IF(INDEX(Polymarket!$C$25:$C$316,MATCH($A122,Polymarket!$A$25:$A$316,0))=0,"",INDEX(Polymarket!$C$25:$C$316,MATCH($A122,Polymarket!$A$25:$A$316,0))),"")</f>
        <v/>
      </c>
      <c r="G122" s="101">
        <f>IFERROR(IF(INDEX(Kalshi!$G$31:$G$501,MATCH($A122,Kalshi!$A$31:$A$501,0))=0,"",INDEX(Kalshi!$G$31:$G$501,MATCH($A122,Kalshi!$A$31:$A$501,0))),"")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IFERROR(IF(INDEX(Polymarket!$B$25:$B$316,MATCH($A123,Polymarket!$A$25:$A$316,0))=0,"",INDEX(Polymarket!$B$25:$B$316,MATCH($A123,Polymarket!$A$25:$A$316,0))),"")</f>
        <v/>
      </c>
      <c r="C123" s="100">
        <f>IFERROR(IF(INDEX(Kalshi!$D$31:$D$501,MATCH($A123,Kalshi!$A$31:$A$501,0))=0,"",INDEX(Kalshi!$D$31:$D$501,MATCH($A123,Kalshi!$A$31:$A$501,0))),"")</f>
        <v/>
      </c>
      <c r="D123" s="18">
        <f>IF(AND(ISNUMBER(B123),ISNUMBER(C123)),B123-C123,"")</f>
        <v/>
      </c>
      <c r="E123" s="17">
        <f>IF(ISNUMBER(D123),ABS(D123),"")</f>
        <v/>
      </c>
      <c r="F123" s="100">
        <f>IFERROR(IF(INDEX(Polymarket!$C$25:$C$316,MATCH($A123,Polymarket!$A$25:$A$316,0))=0,"",INDEX(Polymarket!$C$25:$C$316,MATCH($A123,Polymarket!$A$25:$A$316,0))),"")</f>
        <v/>
      </c>
      <c r="G123" s="100">
        <f>IFERROR(IF(INDEX(Kalshi!$G$31:$G$501,MATCH($A123,Kalshi!$A$31:$A$501,0))=0,"",INDEX(Kalshi!$G$31:$G$501,MATCH($A123,Kalshi!$A$31:$A$501,0))),"")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IFERROR(IF(INDEX(Polymarket!$B$25:$B$316,MATCH($A124,Polymarket!$A$25:$A$316,0))=0,"",INDEX(Polymarket!$B$25:$B$316,MATCH($A124,Polymarket!$A$25:$A$316,0))),"")</f>
        <v/>
      </c>
      <c r="C124" s="101">
        <f>IFERROR(IF(INDEX(Kalshi!$D$31:$D$501,MATCH($A124,Kalshi!$A$31:$A$501,0))=0,"",INDEX(Kalshi!$D$31:$D$501,MATCH($A124,Kalshi!$A$31:$A$501,0))),"")</f>
        <v/>
      </c>
      <c r="D124" s="31">
        <f>IF(AND(ISNUMBER(B124),ISNUMBER(C124)),B124-C124,"")</f>
        <v/>
      </c>
      <c r="E124" s="29">
        <f>IF(ISNUMBER(D124),ABS(D124),"")</f>
        <v/>
      </c>
      <c r="F124" s="101">
        <f>IFERROR(IF(INDEX(Polymarket!$C$25:$C$316,MATCH($A124,Polymarket!$A$25:$A$316,0))=0,"",INDEX(Polymarket!$C$25:$C$316,MATCH($A124,Polymarket!$A$25:$A$316,0))),"")</f>
        <v/>
      </c>
      <c r="G124" s="101">
        <f>IFERROR(IF(INDEX(Kalshi!$G$31:$G$501,MATCH($A124,Kalshi!$A$31:$A$501,0))=0,"",INDEX(Kalshi!$G$31:$G$501,MATCH($A124,Kalshi!$A$31:$A$501,0))),"")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IFERROR(IF(INDEX(Polymarket!$B$25:$B$316,MATCH($A125,Polymarket!$A$25:$A$316,0))=0,"",INDEX(Polymarket!$B$25:$B$316,MATCH($A125,Polymarket!$A$25:$A$316,0))),"")</f>
        <v/>
      </c>
      <c r="C125" s="100">
        <f>IFERROR(IF(INDEX(Kalshi!$D$31:$D$501,MATCH($A125,Kalshi!$A$31:$A$501,0))=0,"",INDEX(Kalshi!$D$31:$D$501,MATCH($A125,Kalshi!$A$31:$A$501,0))),"")</f>
        <v/>
      </c>
      <c r="D125" s="18">
        <f>IF(AND(ISNUMBER(B125),ISNUMBER(C125)),B125-C125,"")</f>
        <v/>
      </c>
      <c r="E125" s="17">
        <f>IF(ISNUMBER(D125),ABS(D125),"")</f>
        <v/>
      </c>
      <c r="F125" s="100">
        <f>IFERROR(IF(INDEX(Polymarket!$C$25:$C$316,MATCH($A125,Polymarket!$A$25:$A$316,0))=0,"",INDEX(Polymarket!$C$25:$C$316,MATCH($A125,Polymarket!$A$25:$A$316,0))),"")</f>
        <v/>
      </c>
      <c r="G125" s="100">
        <f>IFERROR(IF(INDEX(Kalshi!$G$31:$G$501,MATCH($A125,Kalshi!$A$31:$A$501,0))=0,"",INDEX(Kalshi!$G$31:$G$501,MATCH($A125,Kalshi!$A$31:$A$501,0))),"")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IFERROR(IF(INDEX(Polymarket!$B$25:$B$316,MATCH($A126,Polymarket!$A$25:$A$316,0))=0,"",INDEX(Polymarket!$B$25:$B$316,MATCH($A126,Polymarket!$A$25:$A$316,0))),"")</f>
        <v/>
      </c>
      <c r="C126" s="101">
        <f>IFERROR(IF(INDEX(Kalshi!$D$31:$D$501,MATCH($A126,Kalshi!$A$31:$A$501,0))=0,"",INDEX(Kalshi!$D$31:$D$501,MATCH($A126,Kalshi!$A$31:$A$501,0))),"")</f>
        <v/>
      </c>
      <c r="D126" s="31">
        <f>IF(AND(ISNUMBER(B126),ISNUMBER(C126)),B126-C126,"")</f>
        <v/>
      </c>
      <c r="E126" s="29">
        <f>IF(ISNUMBER(D126),ABS(D126),"")</f>
        <v/>
      </c>
      <c r="F126" s="101">
        <f>IFERROR(IF(INDEX(Polymarket!$C$25:$C$316,MATCH($A126,Polymarket!$A$25:$A$316,0))=0,"",INDEX(Polymarket!$C$25:$C$316,MATCH($A126,Polymarket!$A$25:$A$316,0))),"")</f>
        <v/>
      </c>
      <c r="G126" s="101">
        <f>IFERROR(IF(INDEX(Kalshi!$G$31:$G$501,MATCH($A126,Kalshi!$A$31:$A$501,0))=0,"",INDEX(Kalshi!$G$31:$G$501,MATCH($A126,Kalshi!$A$31:$A$501,0))),"")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IFERROR(IF(INDEX(Polymarket!$B$25:$B$316,MATCH($A127,Polymarket!$A$25:$A$316,0))=0,"",INDEX(Polymarket!$B$25:$B$316,MATCH($A127,Polymarket!$A$25:$A$316,0))),"")</f>
        <v/>
      </c>
      <c r="C127" s="100">
        <f>IFERROR(IF(INDEX(Kalshi!$D$31:$D$501,MATCH($A127,Kalshi!$A$31:$A$501,0))=0,"",INDEX(Kalshi!$D$31:$D$501,MATCH($A127,Kalshi!$A$31:$A$501,0))),"")</f>
        <v/>
      </c>
      <c r="D127" s="18">
        <f>IF(AND(ISNUMBER(B127),ISNUMBER(C127)),B127-C127,"")</f>
        <v/>
      </c>
      <c r="E127" s="17">
        <f>IF(ISNUMBER(D127),ABS(D127),"")</f>
        <v/>
      </c>
      <c r="F127" s="100">
        <f>IFERROR(IF(INDEX(Polymarket!$C$25:$C$316,MATCH($A127,Polymarket!$A$25:$A$316,0))=0,"",INDEX(Polymarket!$C$25:$C$316,MATCH($A127,Polymarket!$A$25:$A$316,0))),"")</f>
        <v/>
      </c>
      <c r="G127" s="100">
        <f>IFERROR(IF(INDEX(Kalshi!$G$31:$G$501,MATCH($A127,Kalshi!$A$31:$A$501,0))=0,"",INDEX(Kalshi!$G$31:$G$501,MATCH($A127,Kalshi!$A$31:$A$501,0))),"")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IFERROR(IF(INDEX(Polymarket!$B$25:$B$316,MATCH($A128,Polymarket!$A$25:$A$316,0))=0,"",INDEX(Polymarket!$B$25:$B$316,MATCH($A128,Polymarket!$A$25:$A$316,0))),"")</f>
        <v/>
      </c>
      <c r="C128" s="101">
        <f>IFERROR(IF(INDEX(Kalshi!$D$31:$D$501,MATCH($A128,Kalshi!$A$31:$A$501,0))=0,"",INDEX(Kalshi!$D$31:$D$501,MATCH($A128,Kalshi!$A$31:$A$501,0))),"")</f>
        <v/>
      </c>
      <c r="D128" s="31">
        <f>IF(AND(ISNUMBER(B128),ISNUMBER(C128)),B128-C128,"")</f>
        <v/>
      </c>
      <c r="E128" s="29">
        <f>IF(ISNUMBER(D128),ABS(D128),"")</f>
        <v/>
      </c>
      <c r="F128" s="101">
        <f>IFERROR(IF(INDEX(Polymarket!$C$25:$C$316,MATCH($A128,Polymarket!$A$25:$A$316,0))=0,"",INDEX(Polymarket!$C$25:$C$316,MATCH($A128,Polymarket!$A$25:$A$316,0))),"")</f>
        <v/>
      </c>
      <c r="G128" s="101">
        <f>IFERROR(IF(INDEX(Kalshi!$G$31:$G$501,MATCH($A128,Kalshi!$A$31:$A$501,0))=0,"",INDEX(Kalshi!$G$31:$G$501,MATCH($A128,Kalshi!$A$31:$A$501,0))),"")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IFERROR(IF(INDEX(Polymarket!$B$25:$B$316,MATCH($A129,Polymarket!$A$25:$A$316,0))=0,"",INDEX(Polymarket!$B$25:$B$316,MATCH($A129,Polymarket!$A$25:$A$316,0))),"")</f>
        <v/>
      </c>
      <c r="C129" s="100">
        <f>IFERROR(IF(INDEX(Kalshi!$D$31:$D$501,MATCH($A129,Kalshi!$A$31:$A$501,0))=0,"",INDEX(Kalshi!$D$31:$D$501,MATCH($A129,Kalshi!$A$31:$A$501,0))),"")</f>
        <v/>
      </c>
      <c r="D129" s="18">
        <f>IF(AND(ISNUMBER(B129),ISNUMBER(C129)),B129-C129,"")</f>
        <v/>
      </c>
      <c r="E129" s="17">
        <f>IF(ISNUMBER(D129),ABS(D129),"")</f>
        <v/>
      </c>
      <c r="F129" s="100">
        <f>IFERROR(IF(INDEX(Polymarket!$C$25:$C$316,MATCH($A129,Polymarket!$A$25:$A$316,0))=0,"",INDEX(Polymarket!$C$25:$C$316,MATCH($A129,Polymarket!$A$25:$A$316,0))),"")</f>
        <v/>
      </c>
      <c r="G129" s="100">
        <f>IFERROR(IF(INDEX(Kalshi!$G$31:$G$501,MATCH($A129,Kalshi!$A$31:$A$501,0))=0,"",INDEX(Kalshi!$G$31:$G$501,MATCH($A129,Kalshi!$A$31:$A$501,0))),"")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IFERROR(IF(INDEX(Polymarket!$B$25:$B$316,MATCH($A130,Polymarket!$A$25:$A$316,0))=0,"",INDEX(Polymarket!$B$25:$B$316,MATCH($A130,Polymarket!$A$25:$A$316,0))),"")</f>
        <v/>
      </c>
      <c r="C130" s="101">
        <f>IFERROR(IF(INDEX(Kalshi!$D$31:$D$501,MATCH($A130,Kalshi!$A$31:$A$501,0))=0,"",INDEX(Kalshi!$D$31:$D$501,MATCH($A130,Kalshi!$A$31:$A$501,0))),"")</f>
        <v/>
      </c>
      <c r="D130" s="31">
        <f>IF(AND(ISNUMBER(B130),ISNUMBER(C130)),B130-C130,"")</f>
        <v/>
      </c>
      <c r="E130" s="29">
        <f>IF(ISNUMBER(D130),ABS(D130),"")</f>
        <v/>
      </c>
      <c r="F130" s="101">
        <f>IFERROR(IF(INDEX(Polymarket!$C$25:$C$316,MATCH($A130,Polymarket!$A$25:$A$316,0))=0,"",INDEX(Polymarket!$C$25:$C$316,MATCH($A130,Polymarket!$A$25:$A$316,0))),"")</f>
        <v/>
      </c>
      <c r="G130" s="101">
        <f>IFERROR(IF(INDEX(Kalshi!$G$31:$G$501,MATCH($A130,Kalshi!$A$31:$A$501,0))=0,"",INDEX(Kalshi!$G$31:$G$501,MATCH($A130,Kalshi!$A$31:$A$501,0))),"")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IFERROR(IF(INDEX(Polymarket!$B$25:$B$316,MATCH($A131,Polymarket!$A$25:$A$316,0))=0,"",INDEX(Polymarket!$B$25:$B$316,MATCH($A131,Polymarket!$A$25:$A$316,0))),"")</f>
        <v/>
      </c>
      <c r="C131" s="100">
        <f>IFERROR(IF(INDEX(Kalshi!$D$31:$D$501,MATCH($A131,Kalshi!$A$31:$A$501,0))=0,"",INDEX(Kalshi!$D$31:$D$501,MATCH($A131,Kalshi!$A$31:$A$501,0))),"")</f>
        <v/>
      </c>
      <c r="D131" s="18">
        <f>IF(AND(ISNUMBER(B131),ISNUMBER(C131)),B131-C131,"")</f>
        <v/>
      </c>
      <c r="E131" s="17">
        <f>IF(ISNUMBER(D131),ABS(D131),"")</f>
        <v/>
      </c>
      <c r="F131" s="100">
        <f>IFERROR(IF(INDEX(Polymarket!$C$25:$C$316,MATCH($A131,Polymarket!$A$25:$A$316,0))=0,"",INDEX(Polymarket!$C$25:$C$316,MATCH($A131,Polymarket!$A$25:$A$316,0))),"")</f>
        <v/>
      </c>
      <c r="G131" s="100">
        <f>IFERROR(IF(INDEX(Kalshi!$G$31:$G$501,MATCH($A131,Kalshi!$A$31:$A$501,0))=0,"",INDEX(Kalshi!$G$31:$G$501,MATCH($A131,Kalshi!$A$31:$A$501,0))),"")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IFERROR(IF(INDEX(Polymarket!$B$25:$B$316,MATCH($A132,Polymarket!$A$25:$A$316,0))=0,"",INDEX(Polymarket!$B$25:$B$316,MATCH($A132,Polymarket!$A$25:$A$316,0))),"")</f>
        <v/>
      </c>
      <c r="C132" s="101">
        <f>IFERROR(IF(INDEX(Kalshi!$D$31:$D$501,MATCH($A132,Kalshi!$A$31:$A$501,0))=0,"",INDEX(Kalshi!$D$31:$D$501,MATCH($A132,Kalshi!$A$31:$A$501,0))),"")</f>
        <v/>
      </c>
      <c r="D132" s="31">
        <f>IF(AND(ISNUMBER(B132),ISNUMBER(C132)),B132-C132,"")</f>
        <v/>
      </c>
      <c r="E132" s="29">
        <f>IF(ISNUMBER(D132),ABS(D132),"")</f>
        <v/>
      </c>
      <c r="F132" s="101">
        <f>IFERROR(IF(INDEX(Polymarket!$C$25:$C$316,MATCH($A132,Polymarket!$A$25:$A$316,0))=0,"",INDEX(Polymarket!$C$25:$C$316,MATCH($A132,Polymarket!$A$25:$A$316,0))),"")</f>
        <v/>
      </c>
      <c r="G132" s="101">
        <f>IFERROR(IF(INDEX(Kalshi!$G$31:$G$501,MATCH($A132,Kalshi!$A$31:$A$501,0))=0,"",INDEX(Kalshi!$G$31:$G$501,MATCH($A132,Kalshi!$A$31:$A$501,0))),"")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IFERROR(IF(INDEX(Polymarket!$B$25:$B$316,MATCH($A133,Polymarket!$A$25:$A$316,0))=0,"",INDEX(Polymarket!$B$25:$B$316,MATCH($A133,Polymarket!$A$25:$A$316,0))),"")</f>
        <v/>
      </c>
      <c r="C133" s="100">
        <f>IFERROR(IF(INDEX(Kalshi!$D$31:$D$501,MATCH($A133,Kalshi!$A$31:$A$501,0))=0,"",INDEX(Kalshi!$D$31:$D$501,MATCH($A133,Kalshi!$A$31:$A$501,0))),"")</f>
        <v/>
      </c>
      <c r="D133" s="18">
        <f>IF(AND(ISNUMBER(B133),ISNUMBER(C133)),B133-C133,"")</f>
        <v/>
      </c>
      <c r="E133" s="17">
        <f>IF(ISNUMBER(D133),ABS(D133),"")</f>
        <v/>
      </c>
      <c r="F133" s="100">
        <f>IFERROR(IF(INDEX(Polymarket!$C$25:$C$316,MATCH($A133,Polymarket!$A$25:$A$316,0))=0,"",INDEX(Polymarket!$C$25:$C$316,MATCH($A133,Polymarket!$A$25:$A$316,0))),"")</f>
        <v/>
      </c>
      <c r="G133" s="100">
        <f>IFERROR(IF(INDEX(Kalshi!$G$31:$G$501,MATCH($A133,Kalshi!$A$31:$A$501,0))=0,"",INDEX(Kalshi!$G$31:$G$501,MATCH($A133,Kalshi!$A$31:$A$501,0))),"")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IFERROR(IF(INDEX(Polymarket!$B$25:$B$316,MATCH($A134,Polymarket!$A$25:$A$316,0))=0,"",INDEX(Polymarket!$B$25:$B$316,MATCH($A134,Polymarket!$A$25:$A$316,0))),"")</f>
        <v/>
      </c>
      <c r="C134" s="101">
        <f>IFERROR(IF(INDEX(Kalshi!$D$31:$D$501,MATCH($A134,Kalshi!$A$31:$A$501,0))=0,"",INDEX(Kalshi!$D$31:$D$501,MATCH($A134,Kalshi!$A$31:$A$501,0))),"")</f>
        <v/>
      </c>
      <c r="D134" s="31">
        <f>IF(AND(ISNUMBER(B134),ISNUMBER(C134)),B134-C134,"")</f>
        <v/>
      </c>
      <c r="E134" s="29">
        <f>IF(ISNUMBER(D134),ABS(D134),"")</f>
        <v/>
      </c>
      <c r="F134" s="101">
        <f>IFERROR(IF(INDEX(Polymarket!$C$25:$C$316,MATCH($A134,Polymarket!$A$25:$A$316,0))=0,"",INDEX(Polymarket!$C$25:$C$316,MATCH($A134,Polymarket!$A$25:$A$316,0))),"")</f>
        <v/>
      </c>
      <c r="G134" s="101">
        <f>IFERROR(IF(INDEX(Kalshi!$G$31:$G$501,MATCH($A134,Kalshi!$A$31:$A$501,0))=0,"",INDEX(Kalshi!$G$31:$G$501,MATCH($A134,Kalshi!$A$31:$A$501,0))),"")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IFERROR(IF(INDEX(Polymarket!$B$25:$B$316,MATCH($A135,Polymarket!$A$25:$A$316,0))=0,"",INDEX(Polymarket!$B$25:$B$316,MATCH($A135,Polymarket!$A$25:$A$316,0))),"")</f>
        <v/>
      </c>
      <c r="C135" s="100">
        <f>IFERROR(IF(INDEX(Kalshi!$D$31:$D$501,MATCH($A135,Kalshi!$A$31:$A$501,0))=0,"",INDEX(Kalshi!$D$31:$D$501,MATCH($A135,Kalshi!$A$31:$A$501,0))),"")</f>
        <v/>
      </c>
      <c r="D135" s="18">
        <f>IF(AND(ISNUMBER(B135),ISNUMBER(C135)),B135-C135,"")</f>
        <v/>
      </c>
      <c r="E135" s="17">
        <f>IF(ISNUMBER(D135),ABS(D135),"")</f>
        <v/>
      </c>
      <c r="F135" s="100">
        <f>IFERROR(IF(INDEX(Polymarket!$C$25:$C$316,MATCH($A135,Polymarket!$A$25:$A$316,0))=0,"",INDEX(Polymarket!$C$25:$C$316,MATCH($A135,Polymarket!$A$25:$A$316,0))),"")</f>
        <v/>
      </c>
      <c r="G135" s="100">
        <f>IFERROR(IF(INDEX(Kalshi!$G$31:$G$501,MATCH($A135,Kalshi!$A$31:$A$501,0))=0,"",INDEX(Kalshi!$G$31:$G$501,MATCH($A135,Kalshi!$A$31:$A$501,0))),"")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IFERROR(IF(INDEX(Polymarket!$B$25:$B$316,MATCH($A136,Polymarket!$A$25:$A$316,0))=0,"",INDEX(Polymarket!$B$25:$B$316,MATCH($A136,Polymarket!$A$25:$A$316,0))),"")</f>
        <v/>
      </c>
      <c r="C136" s="101">
        <f>IFERROR(IF(INDEX(Kalshi!$D$31:$D$501,MATCH($A136,Kalshi!$A$31:$A$501,0))=0,"",INDEX(Kalshi!$D$31:$D$501,MATCH($A136,Kalshi!$A$31:$A$501,0))),"")</f>
        <v/>
      </c>
      <c r="D136" s="31">
        <f>IF(AND(ISNUMBER(B136),ISNUMBER(C136)),B136-C136,"")</f>
        <v/>
      </c>
      <c r="E136" s="29">
        <f>IF(ISNUMBER(D136),ABS(D136),"")</f>
        <v/>
      </c>
      <c r="F136" s="101">
        <f>IFERROR(IF(INDEX(Polymarket!$C$25:$C$316,MATCH($A136,Polymarket!$A$25:$A$316,0))=0,"",INDEX(Polymarket!$C$25:$C$316,MATCH($A136,Polymarket!$A$25:$A$316,0))),"")</f>
        <v/>
      </c>
      <c r="G136" s="101">
        <f>IFERROR(IF(INDEX(Kalshi!$G$31:$G$501,MATCH($A136,Kalshi!$A$31:$A$501,0))=0,"",INDEX(Kalshi!$G$31:$G$501,MATCH($A136,Kalshi!$A$31:$A$501,0))),"")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IFERROR(IF(INDEX(Polymarket!$B$25:$B$316,MATCH($A137,Polymarket!$A$25:$A$316,0))=0,"",INDEX(Polymarket!$B$25:$B$316,MATCH($A137,Polymarket!$A$25:$A$316,0))),"")</f>
        <v/>
      </c>
      <c r="C137" s="100">
        <f>IFERROR(IF(INDEX(Kalshi!$D$31:$D$501,MATCH($A137,Kalshi!$A$31:$A$501,0))=0,"",INDEX(Kalshi!$D$31:$D$501,MATCH($A137,Kalshi!$A$31:$A$501,0))),"")</f>
        <v/>
      </c>
      <c r="D137" s="18">
        <f>IF(AND(ISNUMBER(B137),ISNUMBER(C137)),B137-C137,"")</f>
        <v/>
      </c>
      <c r="E137" s="17">
        <f>IF(ISNUMBER(D137),ABS(D137),"")</f>
        <v/>
      </c>
      <c r="F137" s="100">
        <f>IFERROR(IF(INDEX(Polymarket!$C$25:$C$316,MATCH($A137,Polymarket!$A$25:$A$316,0))=0,"",INDEX(Polymarket!$C$25:$C$316,MATCH($A137,Polymarket!$A$25:$A$316,0))),"")</f>
        <v/>
      </c>
      <c r="G137" s="100">
        <f>IFERROR(IF(INDEX(Kalshi!$G$31:$G$501,MATCH($A137,Kalshi!$A$31:$A$501,0))=0,"",INDEX(Kalshi!$G$31:$G$501,MATCH($A137,Kalshi!$A$31:$A$501,0))),"")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IFERROR(IF(INDEX(Polymarket!$B$25:$B$316,MATCH($A138,Polymarket!$A$25:$A$316,0))=0,"",INDEX(Polymarket!$B$25:$B$316,MATCH($A138,Polymarket!$A$25:$A$316,0))),"")</f>
        <v/>
      </c>
      <c r="C138" s="101">
        <f>IFERROR(IF(INDEX(Kalshi!$D$31:$D$501,MATCH($A138,Kalshi!$A$31:$A$501,0))=0,"",INDEX(Kalshi!$D$31:$D$501,MATCH($A138,Kalshi!$A$31:$A$501,0))),"")</f>
        <v/>
      </c>
      <c r="D138" s="31">
        <f>IF(AND(ISNUMBER(B138),ISNUMBER(C138)),B138-C138,"")</f>
        <v/>
      </c>
      <c r="E138" s="29">
        <f>IF(ISNUMBER(D138),ABS(D138),"")</f>
        <v/>
      </c>
      <c r="F138" s="101">
        <f>IFERROR(IF(INDEX(Polymarket!$C$25:$C$316,MATCH($A138,Polymarket!$A$25:$A$316,0))=0,"",INDEX(Polymarket!$C$25:$C$316,MATCH($A138,Polymarket!$A$25:$A$316,0))),"")</f>
        <v/>
      </c>
      <c r="G138" s="101">
        <f>IFERROR(IF(INDEX(Kalshi!$G$31:$G$501,MATCH($A138,Kalshi!$A$31:$A$501,0))=0,"",INDEX(Kalshi!$G$31:$G$501,MATCH($A138,Kalshi!$A$31:$A$501,0))),"")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IFERROR(IF(INDEX(Polymarket!$B$25:$B$316,MATCH($A139,Polymarket!$A$25:$A$316,0))=0,"",INDEX(Polymarket!$B$25:$B$316,MATCH($A139,Polymarket!$A$25:$A$316,0))),"")</f>
        <v/>
      </c>
      <c r="C139" s="100">
        <f>IFERROR(IF(INDEX(Kalshi!$D$31:$D$501,MATCH($A139,Kalshi!$A$31:$A$501,0))=0,"",INDEX(Kalshi!$D$31:$D$501,MATCH($A139,Kalshi!$A$31:$A$501,0))),"")</f>
        <v/>
      </c>
      <c r="D139" s="18">
        <f>IF(AND(ISNUMBER(B139),ISNUMBER(C139)),B139-C139,"")</f>
        <v/>
      </c>
      <c r="E139" s="17">
        <f>IF(ISNUMBER(D139),ABS(D139),"")</f>
        <v/>
      </c>
      <c r="F139" s="100">
        <f>IFERROR(IF(INDEX(Polymarket!$C$25:$C$316,MATCH($A139,Polymarket!$A$25:$A$316,0))=0,"",INDEX(Polymarket!$C$25:$C$316,MATCH($A139,Polymarket!$A$25:$A$316,0))),"")</f>
        <v/>
      </c>
      <c r="G139" s="100">
        <f>IFERROR(IF(INDEX(Kalshi!$G$31:$G$501,MATCH($A139,Kalshi!$A$31:$A$501,0))=0,"",INDEX(Kalshi!$G$31:$G$501,MATCH($A139,Kalshi!$A$31:$A$501,0))),"")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IFERROR(IF(INDEX(Polymarket!$B$25:$B$316,MATCH($A140,Polymarket!$A$25:$A$316,0))=0,"",INDEX(Polymarket!$B$25:$B$316,MATCH($A140,Polymarket!$A$25:$A$316,0))),"")</f>
        <v/>
      </c>
      <c r="C140" s="101">
        <f>IFERROR(IF(INDEX(Kalshi!$D$31:$D$501,MATCH($A140,Kalshi!$A$31:$A$501,0))=0,"",INDEX(Kalshi!$D$31:$D$501,MATCH($A140,Kalshi!$A$31:$A$501,0))),"")</f>
        <v/>
      </c>
      <c r="D140" s="31">
        <f>IF(AND(ISNUMBER(B140),ISNUMBER(C140)),B140-C140,"")</f>
        <v/>
      </c>
      <c r="E140" s="29">
        <f>IF(ISNUMBER(D140),ABS(D140),"")</f>
        <v/>
      </c>
      <c r="F140" s="101">
        <f>IFERROR(IF(INDEX(Polymarket!$C$25:$C$316,MATCH($A140,Polymarket!$A$25:$A$316,0))=0,"",INDEX(Polymarket!$C$25:$C$316,MATCH($A140,Polymarket!$A$25:$A$316,0))),"")</f>
        <v/>
      </c>
      <c r="G140" s="101">
        <f>IFERROR(IF(INDEX(Kalshi!$G$31:$G$501,MATCH($A140,Kalshi!$A$31:$A$501,0))=0,"",INDEX(Kalshi!$G$31:$G$501,MATCH($A140,Kalshi!$A$31:$A$501,0))),"")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IFERROR(IF(INDEX(Polymarket!$B$25:$B$316,MATCH($A141,Polymarket!$A$25:$A$316,0))=0,"",INDEX(Polymarket!$B$25:$B$316,MATCH($A141,Polymarket!$A$25:$A$316,0))),"")</f>
        <v/>
      </c>
      <c r="C141" s="100">
        <f>IFERROR(IF(INDEX(Kalshi!$D$31:$D$501,MATCH($A141,Kalshi!$A$31:$A$501,0))=0,"",INDEX(Kalshi!$D$31:$D$501,MATCH($A141,Kalshi!$A$31:$A$501,0))),"")</f>
        <v/>
      </c>
      <c r="D141" s="18">
        <f>IF(AND(ISNUMBER(B141),ISNUMBER(C141)),B141-C141,"")</f>
        <v/>
      </c>
      <c r="E141" s="17">
        <f>IF(ISNUMBER(D141),ABS(D141),"")</f>
        <v/>
      </c>
      <c r="F141" s="100">
        <f>IFERROR(IF(INDEX(Polymarket!$C$25:$C$316,MATCH($A141,Polymarket!$A$25:$A$316,0))=0,"",INDEX(Polymarket!$C$25:$C$316,MATCH($A141,Polymarket!$A$25:$A$316,0))),"")</f>
        <v/>
      </c>
      <c r="G141" s="100">
        <f>IFERROR(IF(INDEX(Kalshi!$G$31:$G$501,MATCH($A141,Kalshi!$A$31:$A$501,0))=0,"",INDEX(Kalshi!$G$31:$G$501,MATCH($A141,Kalshi!$A$31:$A$501,0))),"")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IFERROR(IF(INDEX(Polymarket!$B$25:$B$316,MATCH($A142,Polymarket!$A$25:$A$316,0))=0,"",INDEX(Polymarket!$B$25:$B$316,MATCH($A142,Polymarket!$A$25:$A$316,0))),"")</f>
        <v/>
      </c>
      <c r="C142" s="101">
        <f>IFERROR(IF(INDEX(Kalshi!$D$31:$D$501,MATCH($A142,Kalshi!$A$31:$A$501,0))=0,"",INDEX(Kalshi!$D$31:$D$501,MATCH($A142,Kalshi!$A$31:$A$501,0))),"")</f>
        <v/>
      </c>
      <c r="D142" s="31">
        <f>IF(AND(ISNUMBER(B142),ISNUMBER(C142)),B142-C142,"")</f>
        <v/>
      </c>
      <c r="E142" s="29">
        <f>IF(ISNUMBER(D142),ABS(D142),"")</f>
        <v/>
      </c>
      <c r="F142" s="101">
        <f>IFERROR(IF(INDEX(Polymarket!$C$25:$C$316,MATCH($A142,Polymarket!$A$25:$A$316,0))=0,"",INDEX(Polymarket!$C$25:$C$316,MATCH($A142,Polymarket!$A$25:$A$316,0))),"")</f>
        <v/>
      </c>
      <c r="G142" s="101">
        <f>IFERROR(IF(INDEX(Kalshi!$G$31:$G$501,MATCH($A142,Kalshi!$A$31:$A$501,0))=0,"",INDEX(Kalshi!$G$31:$G$501,MATCH($A142,Kalshi!$A$31:$A$501,0))),"")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IFERROR(IF(INDEX(Polymarket!$B$25:$B$316,MATCH($A143,Polymarket!$A$25:$A$316,0))=0,"",INDEX(Polymarket!$B$25:$B$316,MATCH($A143,Polymarket!$A$25:$A$316,0))),"")</f>
        <v/>
      </c>
      <c r="C143" s="100">
        <f>IFERROR(IF(INDEX(Kalshi!$D$31:$D$501,MATCH($A143,Kalshi!$A$31:$A$501,0))=0,"",INDEX(Kalshi!$D$31:$D$501,MATCH($A143,Kalshi!$A$31:$A$501,0))),"")</f>
        <v/>
      </c>
      <c r="D143" s="18">
        <f>IF(AND(ISNUMBER(B143),ISNUMBER(C143)),B143-C143,"")</f>
        <v/>
      </c>
      <c r="E143" s="17">
        <f>IF(ISNUMBER(D143),ABS(D143),"")</f>
        <v/>
      </c>
      <c r="F143" s="100">
        <f>IFERROR(IF(INDEX(Polymarket!$C$25:$C$316,MATCH($A143,Polymarket!$A$25:$A$316,0))=0,"",INDEX(Polymarket!$C$25:$C$316,MATCH($A143,Polymarket!$A$25:$A$316,0))),"")</f>
        <v/>
      </c>
      <c r="G143" s="100">
        <f>IFERROR(IF(INDEX(Kalshi!$G$31:$G$501,MATCH($A143,Kalshi!$A$31:$A$501,0))=0,"",INDEX(Kalshi!$G$31:$G$501,MATCH($A143,Kalshi!$A$31:$A$501,0))),"")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IFERROR(IF(INDEX(Polymarket!$B$25:$B$316,MATCH($A144,Polymarket!$A$25:$A$316,0))=0,"",INDEX(Polymarket!$B$25:$B$316,MATCH($A144,Polymarket!$A$25:$A$316,0))),"")</f>
        <v/>
      </c>
      <c r="C144" s="101">
        <f>IFERROR(IF(INDEX(Kalshi!$D$31:$D$501,MATCH($A144,Kalshi!$A$31:$A$501,0))=0,"",INDEX(Kalshi!$D$31:$D$501,MATCH($A144,Kalshi!$A$31:$A$501,0))),"")</f>
        <v/>
      </c>
      <c r="D144" s="31">
        <f>IF(AND(ISNUMBER(B144),ISNUMBER(C144)),B144-C144,"")</f>
        <v/>
      </c>
      <c r="E144" s="29">
        <f>IF(ISNUMBER(D144),ABS(D144),"")</f>
        <v/>
      </c>
      <c r="F144" s="101">
        <f>IFERROR(IF(INDEX(Polymarket!$C$25:$C$316,MATCH($A144,Polymarket!$A$25:$A$316,0))=0,"",INDEX(Polymarket!$C$25:$C$316,MATCH($A144,Polymarket!$A$25:$A$316,0))),"")</f>
        <v/>
      </c>
      <c r="G144" s="101">
        <f>IFERROR(IF(INDEX(Kalshi!$G$31:$G$501,MATCH($A144,Kalshi!$A$31:$A$501,0))=0,"",INDEX(Kalshi!$G$31:$G$501,MATCH($A144,Kalshi!$A$31:$A$501,0))),"")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IFERROR(IF(INDEX(Polymarket!$B$25:$B$316,MATCH($A145,Polymarket!$A$25:$A$316,0))=0,"",INDEX(Polymarket!$B$25:$B$316,MATCH($A145,Polymarket!$A$25:$A$316,0))),"")</f>
        <v/>
      </c>
      <c r="C145" s="100">
        <f>IFERROR(IF(INDEX(Kalshi!$D$31:$D$501,MATCH($A145,Kalshi!$A$31:$A$501,0))=0,"",INDEX(Kalshi!$D$31:$D$501,MATCH($A145,Kalshi!$A$31:$A$501,0))),"")</f>
        <v/>
      </c>
      <c r="D145" s="18">
        <f>IF(AND(ISNUMBER(B145),ISNUMBER(C145)),B145-C145,"")</f>
        <v/>
      </c>
      <c r="E145" s="17">
        <f>IF(ISNUMBER(D145),ABS(D145),"")</f>
        <v/>
      </c>
      <c r="F145" s="100">
        <f>IFERROR(IF(INDEX(Polymarket!$C$25:$C$316,MATCH($A145,Polymarket!$A$25:$A$316,0))=0,"",INDEX(Polymarket!$C$25:$C$316,MATCH($A145,Polymarket!$A$25:$A$316,0))),"")</f>
        <v/>
      </c>
      <c r="G145" s="100">
        <f>IFERROR(IF(INDEX(Kalshi!$G$31:$G$501,MATCH($A145,Kalshi!$A$31:$A$501,0))=0,"",INDEX(Kalshi!$G$31:$G$501,MATCH($A145,Kalshi!$A$31:$A$501,0))),"")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IFERROR(IF(INDEX(Polymarket!$B$25:$B$316,MATCH($A146,Polymarket!$A$25:$A$316,0))=0,"",INDEX(Polymarket!$B$25:$B$316,MATCH($A146,Polymarket!$A$25:$A$316,0))),"")</f>
        <v/>
      </c>
      <c r="C146" s="101">
        <f>IFERROR(IF(INDEX(Kalshi!$D$31:$D$501,MATCH($A146,Kalshi!$A$31:$A$501,0))=0,"",INDEX(Kalshi!$D$31:$D$501,MATCH($A146,Kalshi!$A$31:$A$501,0))),"")</f>
        <v/>
      </c>
      <c r="D146" s="31">
        <f>IF(AND(ISNUMBER(B146),ISNUMBER(C146)),B146-C146,"")</f>
        <v/>
      </c>
      <c r="E146" s="29">
        <f>IF(ISNUMBER(D146),ABS(D146),"")</f>
        <v/>
      </c>
      <c r="F146" s="101">
        <f>IFERROR(IF(INDEX(Polymarket!$C$25:$C$316,MATCH($A146,Polymarket!$A$25:$A$316,0))=0,"",INDEX(Polymarket!$C$25:$C$316,MATCH($A146,Polymarket!$A$25:$A$316,0))),"")</f>
        <v/>
      </c>
      <c r="G146" s="101">
        <f>IFERROR(IF(INDEX(Kalshi!$G$31:$G$501,MATCH($A146,Kalshi!$A$31:$A$501,0))=0,"",INDEX(Kalshi!$G$31:$G$501,MATCH($A146,Kalshi!$A$31:$A$501,0))),"")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IFERROR(IF(INDEX(Polymarket!$B$25:$B$316,MATCH($A147,Polymarket!$A$25:$A$316,0))=0,"",INDEX(Polymarket!$B$25:$B$316,MATCH($A147,Polymarket!$A$25:$A$316,0))),"")</f>
        <v/>
      </c>
      <c r="C147" s="100">
        <f>IFERROR(IF(INDEX(Kalshi!$D$31:$D$501,MATCH($A147,Kalshi!$A$31:$A$501,0))=0,"",INDEX(Kalshi!$D$31:$D$501,MATCH($A147,Kalshi!$A$31:$A$501,0))),"")</f>
        <v/>
      </c>
      <c r="D147" s="18">
        <f>IF(AND(ISNUMBER(B147),ISNUMBER(C147)),B147-C147,"")</f>
        <v/>
      </c>
      <c r="E147" s="17">
        <f>IF(ISNUMBER(D147),ABS(D147),"")</f>
        <v/>
      </c>
      <c r="F147" s="100">
        <f>IFERROR(IF(INDEX(Polymarket!$C$25:$C$316,MATCH($A147,Polymarket!$A$25:$A$316,0))=0,"",INDEX(Polymarket!$C$25:$C$316,MATCH($A147,Polymarket!$A$25:$A$316,0))),"")</f>
        <v/>
      </c>
      <c r="G147" s="100">
        <f>IFERROR(IF(INDEX(Kalshi!$G$31:$G$501,MATCH($A147,Kalshi!$A$31:$A$501,0))=0,"",INDEX(Kalshi!$G$31:$G$501,MATCH($A147,Kalshi!$A$31:$A$501,0))),"")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IFERROR(IF(INDEX(Polymarket!$B$25:$B$316,MATCH($A148,Polymarket!$A$25:$A$316,0))=0,"",INDEX(Polymarket!$B$25:$B$316,MATCH($A148,Polymarket!$A$25:$A$316,0))),"")</f>
        <v/>
      </c>
      <c r="C148" s="101">
        <f>IFERROR(IF(INDEX(Kalshi!$D$31:$D$501,MATCH($A148,Kalshi!$A$31:$A$501,0))=0,"",INDEX(Kalshi!$D$31:$D$501,MATCH($A148,Kalshi!$A$31:$A$501,0))),"")</f>
        <v/>
      </c>
      <c r="D148" s="31">
        <f>IF(AND(ISNUMBER(B148),ISNUMBER(C148)),B148-C148,"")</f>
        <v/>
      </c>
      <c r="E148" s="29">
        <f>IF(ISNUMBER(D148),ABS(D148),"")</f>
        <v/>
      </c>
      <c r="F148" s="101">
        <f>IFERROR(IF(INDEX(Polymarket!$C$25:$C$316,MATCH($A148,Polymarket!$A$25:$A$316,0))=0,"",INDEX(Polymarket!$C$25:$C$316,MATCH($A148,Polymarket!$A$25:$A$316,0))),"")</f>
        <v/>
      </c>
      <c r="G148" s="101">
        <f>IFERROR(IF(INDEX(Kalshi!$G$31:$G$501,MATCH($A148,Kalshi!$A$31:$A$501,0))=0,"",INDEX(Kalshi!$G$31:$G$501,MATCH($A148,Kalshi!$A$31:$A$501,0))),"")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IFERROR(IF(INDEX(Polymarket!$B$25:$B$316,MATCH($A149,Polymarket!$A$25:$A$316,0))=0,"",INDEX(Polymarket!$B$25:$B$316,MATCH($A149,Polymarket!$A$25:$A$316,0))),"")</f>
        <v/>
      </c>
      <c r="C149" s="100">
        <f>IFERROR(IF(INDEX(Kalshi!$D$31:$D$501,MATCH($A149,Kalshi!$A$31:$A$501,0))=0,"",INDEX(Kalshi!$D$31:$D$501,MATCH($A149,Kalshi!$A$31:$A$501,0))),"")</f>
        <v/>
      </c>
      <c r="D149" s="18">
        <f>IF(AND(ISNUMBER(B149),ISNUMBER(C149)),B149-C149,"")</f>
        <v/>
      </c>
      <c r="E149" s="17">
        <f>IF(ISNUMBER(D149),ABS(D149),"")</f>
        <v/>
      </c>
      <c r="F149" s="100">
        <f>IFERROR(IF(INDEX(Polymarket!$C$25:$C$316,MATCH($A149,Polymarket!$A$25:$A$316,0))=0,"",INDEX(Polymarket!$C$25:$C$316,MATCH($A149,Polymarket!$A$25:$A$316,0))),"")</f>
        <v/>
      </c>
      <c r="G149" s="100">
        <f>IFERROR(IF(INDEX(Kalshi!$G$31:$G$501,MATCH($A149,Kalshi!$A$31:$A$501,0))=0,"",INDEX(Kalshi!$G$31:$G$501,MATCH($A149,Kalshi!$A$31:$A$501,0))),"")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IFERROR(IF(INDEX(Polymarket!$B$25:$B$316,MATCH($A150,Polymarket!$A$25:$A$316,0))=0,"",INDEX(Polymarket!$B$25:$B$316,MATCH($A150,Polymarket!$A$25:$A$316,0))),"")</f>
        <v/>
      </c>
      <c r="C150" s="101">
        <f>IFERROR(IF(INDEX(Kalshi!$D$31:$D$501,MATCH($A150,Kalshi!$A$31:$A$501,0))=0,"",INDEX(Kalshi!$D$31:$D$501,MATCH($A150,Kalshi!$A$31:$A$501,0))),"")</f>
        <v/>
      </c>
      <c r="D150" s="31">
        <f>IF(AND(ISNUMBER(B150),ISNUMBER(C150)),B150-C150,"")</f>
        <v/>
      </c>
      <c r="E150" s="29">
        <f>IF(ISNUMBER(D150),ABS(D150),"")</f>
        <v/>
      </c>
      <c r="F150" s="101">
        <f>IFERROR(IF(INDEX(Polymarket!$C$25:$C$316,MATCH($A150,Polymarket!$A$25:$A$316,0))=0,"",INDEX(Polymarket!$C$25:$C$316,MATCH($A150,Polymarket!$A$25:$A$316,0))),"")</f>
        <v/>
      </c>
      <c r="G150" s="101">
        <f>IFERROR(IF(INDEX(Kalshi!$G$31:$G$501,MATCH($A150,Kalshi!$A$31:$A$501,0))=0,"",INDEX(Kalshi!$G$31:$G$501,MATCH($A150,Kalshi!$A$31:$A$501,0))),"")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IFERROR(IF(INDEX(Polymarket!$B$25:$B$316,MATCH($A151,Polymarket!$A$25:$A$316,0))=0,"",INDEX(Polymarket!$B$25:$B$316,MATCH($A151,Polymarket!$A$25:$A$316,0))),"")</f>
        <v/>
      </c>
      <c r="C151" s="100">
        <f>IFERROR(IF(INDEX(Kalshi!$D$31:$D$501,MATCH($A151,Kalshi!$A$31:$A$501,0))=0,"",INDEX(Kalshi!$D$31:$D$501,MATCH($A151,Kalshi!$A$31:$A$501,0))),"")</f>
        <v/>
      </c>
      <c r="D151" s="18">
        <f>IF(AND(ISNUMBER(B151),ISNUMBER(C151)),B151-C151,"")</f>
        <v/>
      </c>
      <c r="E151" s="17">
        <f>IF(ISNUMBER(D151),ABS(D151),"")</f>
        <v/>
      </c>
      <c r="F151" s="100">
        <f>IFERROR(IF(INDEX(Polymarket!$C$25:$C$316,MATCH($A151,Polymarket!$A$25:$A$316,0))=0,"",INDEX(Polymarket!$C$25:$C$316,MATCH($A151,Polymarket!$A$25:$A$316,0))),"")</f>
        <v/>
      </c>
      <c r="G151" s="100">
        <f>IFERROR(IF(INDEX(Kalshi!$G$31:$G$501,MATCH($A151,Kalshi!$A$31:$A$501,0))=0,"",INDEX(Kalshi!$G$31:$G$501,MATCH($A151,Kalshi!$A$31:$A$501,0))),"")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IFERROR(IF(INDEX(Polymarket!$B$25:$B$316,MATCH($A152,Polymarket!$A$25:$A$316,0))=0,"",INDEX(Polymarket!$B$25:$B$316,MATCH($A152,Polymarket!$A$25:$A$316,0))),"")</f>
        <v/>
      </c>
      <c r="C152" s="101">
        <f>IFERROR(IF(INDEX(Kalshi!$D$31:$D$501,MATCH($A152,Kalshi!$A$31:$A$501,0))=0,"",INDEX(Kalshi!$D$31:$D$501,MATCH($A152,Kalshi!$A$31:$A$501,0))),"")</f>
        <v/>
      </c>
      <c r="D152" s="31">
        <f>IF(AND(ISNUMBER(B152),ISNUMBER(C152)),B152-C152,"")</f>
        <v/>
      </c>
      <c r="E152" s="29">
        <f>IF(ISNUMBER(D152),ABS(D152),"")</f>
        <v/>
      </c>
      <c r="F152" s="101">
        <f>IFERROR(IF(INDEX(Polymarket!$C$25:$C$316,MATCH($A152,Polymarket!$A$25:$A$316,0))=0,"",INDEX(Polymarket!$C$25:$C$316,MATCH($A152,Polymarket!$A$25:$A$316,0))),"")</f>
        <v/>
      </c>
      <c r="G152" s="101">
        <f>IFERROR(IF(INDEX(Kalshi!$G$31:$G$501,MATCH($A152,Kalshi!$A$31:$A$501,0))=0,"",INDEX(Kalshi!$G$31:$G$501,MATCH($A152,Kalshi!$A$31:$A$501,0))),"")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IFERROR(IF(INDEX(Polymarket!$B$25:$B$316,MATCH($A153,Polymarket!$A$25:$A$316,0))=0,"",INDEX(Polymarket!$B$25:$B$316,MATCH($A153,Polymarket!$A$25:$A$316,0))),"")</f>
        <v/>
      </c>
      <c r="C153" s="100">
        <f>IFERROR(IF(INDEX(Kalshi!$D$31:$D$501,MATCH($A153,Kalshi!$A$31:$A$501,0))=0,"",INDEX(Kalshi!$D$31:$D$501,MATCH($A153,Kalshi!$A$31:$A$501,0))),"")</f>
        <v/>
      </c>
      <c r="D153" s="18">
        <f>IF(AND(ISNUMBER(B153),ISNUMBER(C153)),B153-C153,"")</f>
        <v/>
      </c>
      <c r="E153" s="17">
        <f>IF(ISNUMBER(D153),ABS(D153),"")</f>
        <v/>
      </c>
      <c r="F153" s="100">
        <f>IFERROR(IF(INDEX(Polymarket!$C$25:$C$316,MATCH($A153,Polymarket!$A$25:$A$316,0))=0,"",INDEX(Polymarket!$C$25:$C$316,MATCH($A153,Polymarket!$A$25:$A$316,0))),"")</f>
        <v/>
      </c>
      <c r="G153" s="100">
        <f>IFERROR(IF(INDEX(Kalshi!$G$31:$G$501,MATCH($A153,Kalshi!$A$31:$A$501,0))=0,"",INDEX(Kalshi!$G$31:$G$501,MATCH($A153,Kalshi!$A$31:$A$501,0))),"")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IFERROR(IF(INDEX(Polymarket!$B$25:$B$316,MATCH($A154,Polymarket!$A$25:$A$316,0))=0,"",INDEX(Polymarket!$B$25:$B$316,MATCH($A154,Polymarket!$A$25:$A$316,0))),"")</f>
        <v/>
      </c>
      <c r="C154" s="101">
        <f>IFERROR(IF(INDEX(Kalshi!$D$31:$D$501,MATCH($A154,Kalshi!$A$31:$A$501,0))=0,"",INDEX(Kalshi!$D$31:$D$501,MATCH($A154,Kalshi!$A$31:$A$501,0))),"")</f>
        <v/>
      </c>
      <c r="D154" s="31">
        <f>IF(AND(ISNUMBER(B154),ISNUMBER(C154)),B154-C154,"")</f>
        <v/>
      </c>
      <c r="E154" s="29">
        <f>IF(ISNUMBER(D154),ABS(D154),"")</f>
        <v/>
      </c>
      <c r="F154" s="101">
        <f>IFERROR(IF(INDEX(Polymarket!$C$25:$C$316,MATCH($A154,Polymarket!$A$25:$A$316,0))=0,"",INDEX(Polymarket!$C$25:$C$316,MATCH($A154,Polymarket!$A$25:$A$316,0))),"")</f>
        <v/>
      </c>
      <c r="G154" s="101">
        <f>IFERROR(IF(INDEX(Kalshi!$G$31:$G$501,MATCH($A154,Kalshi!$A$31:$A$501,0))=0,"",INDEX(Kalshi!$G$31:$G$501,MATCH($A154,Kalshi!$A$31:$A$501,0))),"")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IFERROR(IF(INDEX(Polymarket!$B$25:$B$316,MATCH($A155,Polymarket!$A$25:$A$316,0))=0,"",INDEX(Polymarket!$B$25:$B$316,MATCH($A155,Polymarket!$A$25:$A$316,0))),"")</f>
        <v/>
      </c>
      <c r="C155" s="100">
        <f>IFERROR(IF(INDEX(Kalshi!$D$31:$D$501,MATCH($A155,Kalshi!$A$31:$A$501,0))=0,"",INDEX(Kalshi!$D$31:$D$501,MATCH($A155,Kalshi!$A$31:$A$501,0))),"")</f>
        <v/>
      </c>
      <c r="D155" s="18">
        <f>IF(AND(ISNUMBER(B155),ISNUMBER(C155)),B155-C155,"")</f>
        <v/>
      </c>
      <c r="E155" s="17">
        <f>IF(ISNUMBER(D155),ABS(D155),"")</f>
        <v/>
      </c>
      <c r="F155" s="100">
        <f>IFERROR(IF(INDEX(Polymarket!$C$25:$C$316,MATCH($A155,Polymarket!$A$25:$A$316,0))=0,"",INDEX(Polymarket!$C$25:$C$316,MATCH($A155,Polymarket!$A$25:$A$316,0))),"")</f>
        <v/>
      </c>
      <c r="G155" s="100">
        <f>IFERROR(IF(INDEX(Kalshi!$G$31:$G$501,MATCH($A155,Kalshi!$A$31:$A$501,0))=0,"",INDEX(Kalshi!$G$31:$G$501,MATCH($A155,Kalshi!$A$31:$A$501,0))),"")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IFERROR(IF(INDEX(Polymarket!$B$25:$B$316,MATCH($A156,Polymarket!$A$25:$A$316,0))=0,"",INDEX(Polymarket!$B$25:$B$316,MATCH($A156,Polymarket!$A$25:$A$316,0))),"")</f>
        <v/>
      </c>
      <c r="C156" s="101">
        <f>IFERROR(IF(INDEX(Kalshi!$D$31:$D$501,MATCH($A156,Kalshi!$A$31:$A$501,0))=0,"",INDEX(Kalshi!$D$31:$D$501,MATCH($A156,Kalshi!$A$31:$A$501,0))),"")</f>
        <v/>
      </c>
      <c r="D156" s="31">
        <f>IF(AND(ISNUMBER(B156),ISNUMBER(C156)),B156-C156,"")</f>
        <v/>
      </c>
      <c r="E156" s="29">
        <f>IF(ISNUMBER(D156),ABS(D156),"")</f>
        <v/>
      </c>
      <c r="F156" s="101">
        <f>IFERROR(IF(INDEX(Polymarket!$C$25:$C$316,MATCH($A156,Polymarket!$A$25:$A$316,0))=0,"",INDEX(Polymarket!$C$25:$C$316,MATCH($A156,Polymarket!$A$25:$A$316,0))),"")</f>
        <v/>
      </c>
      <c r="G156" s="101">
        <f>IFERROR(IF(INDEX(Kalshi!$G$31:$G$501,MATCH($A156,Kalshi!$A$31:$A$501,0))=0,"",INDEX(Kalshi!$G$31:$G$501,MATCH($A156,Kalshi!$A$31:$A$501,0))),"")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IFERROR(IF(INDEX(Polymarket!$B$25:$B$316,MATCH($A157,Polymarket!$A$25:$A$316,0))=0,"",INDEX(Polymarket!$B$25:$B$316,MATCH($A157,Polymarket!$A$25:$A$316,0))),"")</f>
        <v/>
      </c>
      <c r="C157" s="100">
        <f>IFERROR(IF(INDEX(Kalshi!$D$31:$D$501,MATCH($A157,Kalshi!$A$31:$A$501,0))=0,"",INDEX(Kalshi!$D$31:$D$501,MATCH($A157,Kalshi!$A$31:$A$501,0))),"")</f>
        <v/>
      </c>
      <c r="D157" s="18">
        <f>IF(AND(ISNUMBER(B157),ISNUMBER(C157)),B157-C157,"")</f>
        <v/>
      </c>
      <c r="E157" s="17">
        <f>IF(ISNUMBER(D157),ABS(D157),"")</f>
        <v/>
      </c>
      <c r="F157" s="100">
        <f>IFERROR(IF(INDEX(Polymarket!$C$25:$C$316,MATCH($A157,Polymarket!$A$25:$A$316,0))=0,"",INDEX(Polymarket!$C$25:$C$316,MATCH($A157,Polymarket!$A$25:$A$316,0))),"")</f>
        <v/>
      </c>
      <c r="G157" s="100">
        <f>IFERROR(IF(INDEX(Kalshi!$G$31:$G$501,MATCH($A157,Kalshi!$A$31:$A$501,0))=0,"",INDEX(Kalshi!$G$31:$G$501,MATCH($A157,Kalshi!$A$31:$A$501,0))),"")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IFERROR(IF(INDEX(Polymarket!$B$25:$B$316,MATCH($A158,Polymarket!$A$25:$A$316,0))=0,"",INDEX(Polymarket!$B$25:$B$316,MATCH($A158,Polymarket!$A$25:$A$316,0))),"")</f>
        <v/>
      </c>
      <c r="C158" s="101">
        <f>IFERROR(IF(INDEX(Kalshi!$D$31:$D$501,MATCH($A158,Kalshi!$A$31:$A$501,0))=0,"",INDEX(Kalshi!$D$31:$D$501,MATCH($A158,Kalshi!$A$31:$A$501,0))),"")</f>
        <v/>
      </c>
      <c r="D158" s="31">
        <f>IF(AND(ISNUMBER(B158),ISNUMBER(C158)),B158-C158,"")</f>
        <v/>
      </c>
      <c r="E158" s="29">
        <f>IF(ISNUMBER(D158),ABS(D158),"")</f>
        <v/>
      </c>
      <c r="F158" s="101">
        <f>IFERROR(IF(INDEX(Polymarket!$C$25:$C$316,MATCH($A158,Polymarket!$A$25:$A$316,0))=0,"",INDEX(Polymarket!$C$25:$C$316,MATCH($A158,Polymarket!$A$25:$A$316,0))),"")</f>
        <v/>
      </c>
      <c r="G158" s="101">
        <f>IFERROR(IF(INDEX(Kalshi!$G$31:$G$501,MATCH($A158,Kalshi!$A$31:$A$501,0))=0,"",INDEX(Kalshi!$G$31:$G$501,MATCH($A158,Kalshi!$A$31:$A$501,0))),"")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IFERROR(IF(INDEX(Polymarket!$B$25:$B$316,MATCH($A159,Polymarket!$A$25:$A$316,0))=0,"",INDEX(Polymarket!$B$25:$B$316,MATCH($A159,Polymarket!$A$25:$A$316,0))),"")</f>
        <v/>
      </c>
      <c r="C159" s="100">
        <f>IFERROR(IF(INDEX(Kalshi!$D$31:$D$501,MATCH($A159,Kalshi!$A$31:$A$501,0))=0,"",INDEX(Kalshi!$D$31:$D$501,MATCH($A159,Kalshi!$A$31:$A$501,0))),"")</f>
        <v/>
      </c>
      <c r="D159" s="18">
        <f>IF(AND(ISNUMBER(B159),ISNUMBER(C159)),B159-C159,"")</f>
        <v/>
      </c>
      <c r="E159" s="17">
        <f>IF(ISNUMBER(D159),ABS(D159),"")</f>
        <v/>
      </c>
      <c r="F159" s="100">
        <f>IFERROR(IF(INDEX(Polymarket!$C$25:$C$316,MATCH($A159,Polymarket!$A$25:$A$316,0))=0,"",INDEX(Polymarket!$C$25:$C$316,MATCH($A159,Polymarket!$A$25:$A$316,0))),"")</f>
        <v/>
      </c>
      <c r="G159" s="100">
        <f>IFERROR(IF(INDEX(Kalshi!$G$31:$G$501,MATCH($A159,Kalshi!$A$31:$A$501,0))=0,"",INDEX(Kalshi!$G$31:$G$501,MATCH($A159,Kalshi!$A$31:$A$501,0))),"")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IFERROR(IF(INDEX(Polymarket!$B$25:$B$316,MATCH($A160,Polymarket!$A$25:$A$316,0))=0,"",INDEX(Polymarket!$B$25:$B$316,MATCH($A160,Polymarket!$A$25:$A$316,0))),"")</f>
        <v/>
      </c>
      <c r="C160" s="101">
        <f>IFERROR(IF(INDEX(Kalshi!$D$31:$D$501,MATCH($A160,Kalshi!$A$31:$A$501,0))=0,"",INDEX(Kalshi!$D$31:$D$501,MATCH($A160,Kalshi!$A$31:$A$501,0))),"")</f>
        <v/>
      </c>
      <c r="D160" s="31">
        <f>IF(AND(ISNUMBER(B160),ISNUMBER(C160)),B160-C160,"")</f>
        <v/>
      </c>
      <c r="E160" s="29">
        <f>IF(ISNUMBER(D160),ABS(D160),"")</f>
        <v/>
      </c>
      <c r="F160" s="101">
        <f>IFERROR(IF(INDEX(Polymarket!$C$25:$C$316,MATCH($A160,Polymarket!$A$25:$A$316,0))=0,"",INDEX(Polymarket!$C$25:$C$316,MATCH($A160,Polymarket!$A$25:$A$316,0))),"")</f>
        <v/>
      </c>
      <c r="G160" s="101">
        <f>IFERROR(IF(INDEX(Kalshi!$G$31:$G$501,MATCH($A160,Kalshi!$A$31:$A$501,0))=0,"",INDEX(Kalshi!$G$31:$G$501,MATCH($A160,Kalshi!$A$31:$A$501,0))),"")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IFERROR(IF(INDEX(Polymarket!$B$25:$B$316,MATCH($A161,Polymarket!$A$25:$A$316,0))=0,"",INDEX(Polymarket!$B$25:$B$316,MATCH($A161,Polymarket!$A$25:$A$316,0))),"")</f>
        <v/>
      </c>
      <c r="C161" s="100">
        <f>IFERROR(IF(INDEX(Kalshi!$D$31:$D$501,MATCH($A161,Kalshi!$A$31:$A$501,0))=0,"",INDEX(Kalshi!$D$31:$D$501,MATCH($A161,Kalshi!$A$31:$A$501,0))),"")</f>
        <v/>
      </c>
      <c r="D161" s="18">
        <f>IF(AND(ISNUMBER(B161),ISNUMBER(C161)),B161-C161,"")</f>
        <v/>
      </c>
      <c r="E161" s="17">
        <f>IF(ISNUMBER(D161),ABS(D161),"")</f>
        <v/>
      </c>
      <c r="F161" s="100">
        <f>IFERROR(IF(INDEX(Polymarket!$C$25:$C$316,MATCH($A161,Polymarket!$A$25:$A$316,0))=0,"",INDEX(Polymarket!$C$25:$C$316,MATCH($A161,Polymarket!$A$25:$A$316,0))),"")</f>
        <v/>
      </c>
      <c r="G161" s="100">
        <f>IFERROR(IF(INDEX(Kalshi!$G$31:$G$501,MATCH($A161,Kalshi!$A$31:$A$501,0))=0,"",INDEX(Kalshi!$G$31:$G$501,MATCH($A161,Kalshi!$A$31:$A$501,0))),"")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IFERROR(IF(INDEX(Polymarket!$B$25:$B$316,MATCH($A162,Polymarket!$A$25:$A$316,0))=0,"",INDEX(Polymarket!$B$25:$B$316,MATCH($A162,Polymarket!$A$25:$A$316,0))),"")</f>
        <v/>
      </c>
      <c r="C162" s="101">
        <f>IFERROR(IF(INDEX(Kalshi!$D$31:$D$501,MATCH($A162,Kalshi!$A$31:$A$501,0))=0,"",INDEX(Kalshi!$D$31:$D$501,MATCH($A162,Kalshi!$A$31:$A$501,0))),"")</f>
        <v/>
      </c>
      <c r="D162" s="31">
        <f>IF(AND(ISNUMBER(B162),ISNUMBER(C162)),B162-C162,"")</f>
        <v/>
      </c>
      <c r="E162" s="29">
        <f>IF(ISNUMBER(D162),ABS(D162),"")</f>
        <v/>
      </c>
      <c r="F162" s="101">
        <f>IFERROR(IF(INDEX(Polymarket!$C$25:$C$316,MATCH($A162,Polymarket!$A$25:$A$316,0))=0,"",INDEX(Polymarket!$C$25:$C$316,MATCH($A162,Polymarket!$A$25:$A$316,0))),"")</f>
        <v/>
      </c>
      <c r="G162" s="101">
        <f>IFERROR(IF(INDEX(Kalshi!$G$31:$G$501,MATCH($A162,Kalshi!$A$31:$A$501,0))=0,"",INDEX(Kalshi!$G$31:$G$501,MATCH($A162,Kalshi!$A$31:$A$501,0))),"")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IFERROR(IF(INDEX(Polymarket!$B$25:$B$316,MATCH($A163,Polymarket!$A$25:$A$316,0))=0,"",INDEX(Polymarket!$B$25:$B$316,MATCH($A163,Polymarket!$A$25:$A$316,0))),"")</f>
        <v/>
      </c>
      <c r="C163" s="100">
        <f>IFERROR(IF(INDEX(Kalshi!$D$31:$D$501,MATCH($A163,Kalshi!$A$31:$A$501,0))=0,"",INDEX(Kalshi!$D$31:$D$501,MATCH($A163,Kalshi!$A$31:$A$501,0))),"")</f>
        <v/>
      </c>
      <c r="D163" s="18">
        <f>IF(AND(ISNUMBER(B163),ISNUMBER(C163)),B163-C163,"")</f>
        <v/>
      </c>
      <c r="E163" s="17">
        <f>IF(ISNUMBER(D163),ABS(D163),"")</f>
        <v/>
      </c>
      <c r="F163" s="100">
        <f>IFERROR(IF(INDEX(Polymarket!$C$25:$C$316,MATCH($A163,Polymarket!$A$25:$A$316,0))=0,"",INDEX(Polymarket!$C$25:$C$316,MATCH($A163,Polymarket!$A$25:$A$316,0))),"")</f>
        <v/>
      </c>
      <c r="G163" s="100">
        <f>IFERROR(IF(INDEX(Kalshi!$G$31:$G$501,MATCH($A163,Kalshi!$A$31:$A$501,0))=0,"",INDEX(Kalshi!$G$31:$G$501,MATCH($A163,Kalshi!$A$31:$A$501,0))),"")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IFERROR(IF(INDEX(Polymarket!$B$25:$B$316,MATCH($A164,Polymarket!$A$25:$A$316,0))=0,"",INDEX(Polymarket!$B$25:$B$316,MATCH($A164,Polymarket!$A$25:$A$316,0))),"")</f>
        <v/>
      </c>
      <c r="C164" s="101">
        <f>IFERROR(IF(INDEX(Kalshi!$D$31:$D$501,MATCH($A164,Kalshi!$A$31:$A$501,0))=0,"",INDEX(Kalshi!$D$31:$D$501,MATCH($A164,Kalshi!$A$31:$A$501,0))),"")</f>
        <v/>
      </c>
      <c r="D164" s="31">
        <f>IF(AND(ISNUMBER(B164),ISNUMBER(C164)),B164-C164,"")</f>
        <v/>
      </c>
      <c r="E164" s="29">
        <f>IF(ISNUMBER(D164),ABS(D164),"")</f>
        <v/>
      </c>
      <c r="F164" s="101">
        <f>IFERROR(IF(INDEX(Polymarket!$C$25:$C$316,MATCH($A164,Polymarket!$A$25:$A$316,0))=0,"",INDEX(Polymarket!$C$25:$C$316,MATCH($A164,Polymarket!$A$25:$A$316,0))),"")</f>
        <v/>
      </c>
      <c r="G164" s="101">
        <f>IFERROR(IF(INDEX(Kalshi!$G$31:$G$501,MATCH($A164,Kalshi!$A$31:$A$501,0))=0,"",INDEX(Kalshi!$G$31:$G$501,MATCH($A164,Kalshi!$A$31:$A$501,0))),"")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IFERROR(IF(INDEX(Polymarket!$B$25:$B$316,MATCH($A165,Polymarket!$A$25:$A$316,0))=0,"",INDEX(Polymarket!$B$25:$B$316,MATCH($A165,Polymarket!$A$25:$A$316,0))),"")</f>
        <v/>
      </c>
      <c r="C165" s="100">
        <f>IFERROR(IF(INDEX(Kalshi!$D$31:$D$501,MATCH($A165,Kalshi!$A$31:$A$501,0))=0,"",INDEX(Kalshi!$D$31:$D$501,MATCH($A165,Kalshi!$A$31:$A$501,0))),"")</f>
        <v/>
      </c>
      <c r="D165" s="18">
        <f>IF(AND(ISNUMBER(B165),ISNUMBER(C165)),B165-C165,"")</f>
        <v/>
      </c>
      <c r="E165" s="17">
        <f>IF(ISNUMBER(D165),ABS(D165),"")</f>
        <v/>
      </c>
      <c r="F165" s="100">
        <f>IFERROR(IF(INDEX(Polymarket!$C$25:$C$316,MATCH($A165,Polymarket!$A$25:$A$316,0))=0,"",INDEX(Polymarket!$C$25:$C$316,MATCH($A165,Polymarket!$A$25:$A$316,0))),"")</f>
        <v/>
      </c>
      <c r="G165" s="100">
        <f>IFERROR(IF(INDEX(Kalshi!$G$31:$G$501,MATCH($A165,Kalshi!$A$31:$A$501,0))=0,"",INDEX(Kalshi!$G$31:$G$501,MATCH($A165,Kalshi!$A$31:$A$501,0))),"")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IFERROR(IF(INDEX(Polymarket!$B$25:$B$316,MATCH($A166,Polymarket!$A$25:$A$316,0))=0,"",INDEX(Polymarket!$B$25:$B$316,MATCH($A166,Polymarket!$A$25:$A$316,0))),"")</f>
        <v/>
      </c>
      <c r="C166" s="101">
        <f>IFERROR(IF(INDEX(Kalshi!$D$31:$D$501,MATCH($A166,Kalshi!$A$31:$A$501,0))=0,"",INDEX(Kalshi!$D$31:$D$501,MATCH($A166,Kalshi!$A$31:$A$501,0))),"")</f>
        <v/>
      </c>
      <c r="D166" s="31">
        <f>IF(AND(ISNUMBER(B166),ISNUMBER(C166)),B166-C166,"")</f>
        <v/>
      </c>
      <c r="E166" s="29">
        <f>IF(ISNUMBER(D166),ABS(D166),"")</f>
        <v/>
      </c>
      <c r="F166" s="101">
        <f>IFERROR(IF(INDEX(Polymarket!$C$25:$C$316,MATCH($A166,Polymarket!$A$25:$A$316,0))=0,"",INDEX(Polymarket!$C$25:$C$316,MATCH($A166,Polymarket!$A$25:$A$316,0))),"")</f>
        <v/>
      </c>
      <c r="G166" s="101">
        <f>IFERROR(IF(INDEX(Kalshi!$G$31:$G$501,MATCH($A166,Kalshi!$A$31:$A$501,0))=0,"",INDEX(Kalshi!$G$31:$G$501,MATCH($A166,Kalshi!$A$31:$A$501,0))),"")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IFERROR(IF(INDEX(Polymarket!$B$25:$B$316,MATCH($A167,Polymarket!$A$25:$A$316,0))=0,"",INDEX(Polymarket!$B$25:$B$316,MATCH($A167,Polymarket!$A$25:$A$316,0))),"")</f>
        <v/>
      </c>
      <c r="C167" s="100">
        <f>IFERROR(IF(INDEX(Kalshi!$D$31:$D$501,MATCH($A167,Kalshi!$A$31:$A$501,0))=0,"",INDEX(Kalshi!$D$31:$D$501,MATCH($A167,Kalshi!$A$31:$A$501,0))),"")</f>
        <v/>
      </c>
      <c r="D167" s="18">
        <f>IF(AND(ISNUMBER(B167),ISNUMBER(C167)),B167-C167,"")</f>
        <v/>
      </c>
      <c r="E167" s="17">
        <f>IF(ISNUMBER(D167),ABS(D167),"")</f>
        <v/>
      </c>
      <c r="F167" s="100">
        <f>IFERROR(IF(INDEX(Polymarket!$C$25:$C$316,MATCH($A167,Polymarket!$A$25:$A$316,0))=0,"",INDEX(Polymarket!$C$25:$C$316,MATCH($A167,Polymarket!$A$25:$A$316,0))),"")</f>
        <v/>
      </c>
      <c r="G167" s="100">
        <f>IFERROR(IF(INDEX(Kalshi!$G$31:$G$501,MATCH($A167,Kalshi!$A$31:$A$501,0))=0,"",INDEX(Kalshi!$G$31:$G$501,MATCH($A167,Kalshi!$A$31:$A$501,0))),"")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IFERROR(IF(INDEX(Polymarket!$B$25:$B$316,MATCH($A168,Polymarket!$A$25:$A$316,0))=0,"",INDEX(Polymarket!$B$25:$B$316,MATCH($A168,Polymarket!$A$25:$A$316,0))),"")</f>
        <v/>
      </c>
      <c r="C168" s="101">
        <f>IFERROR(IF(INDEX(Kalshi!$D$31:$D$501,MATCH($A168,Kalshi!$A$31:$A$501,0))=0,"",INDEX(Kalshi!$D$31:$D$501,MATCH($A168,Kalshi!$A$31:$A$501,0))),"")</f>
        <v/>
      </c>
      <c r="D168" s="31">
        <f>IF(AND(ISNUMBER(B168),ISNUMBER(C168)),B168-C168,"")</f>
        <v/>
      </c>
      <c r="E168" s="29">
        <f>IF(ISNUMBER(D168),ABS(D168),"")</f>
        <v/>
      </c>
      <c r="F168" s="101">
        <f>IFERROR(IF(INDEX(Polymarket!$C$25:$C$316,MATCH($A168,Polymarket!$A$25:$A$316,0))=0,"",INDEX(Polymarket!$C$25:$C$316,MATCH($A168,Polymarket!$A$25:$A$316,0))),"")</f>
        <v/>
      </c>
      <c r="G168" s="101">
        <f>IFERROR(IF(INDEX(Kalshi!$G$31:$G$501,MATCH($A168,Kalshi!$A$31:$A$501,0))=0,"",INDEX(Kalshi!$G$31:$G$501,MATCH($A168,Kalshi!$A$31:$A$501,0))),"")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IFERROR(IF(INDEX(Polymarket!$B$25:$B$316,MATCH($A169,Polymarket!$A$25:$A$316,0))=0,"",INDEX(Polymarket!$B$25:$B$316,MATCH($A169,Polymarket!$A$25:$A$316,0))),"")</f>
        <v/>
      </c>
      <c r="C169" s="100">
        <f>IFERROR(IF(INDEX(Kalshi!$D$31:$D$501,MATCH($A169,Kalshi!$A$31:$A$501,0))=0,"",INDEX(Kalshi!$D$31:$D$501,MATCH($A169,Kalshi!$A$31:$A$501,0))),"")</f>
        <v/>
      </c>
      <c r="D169" s="18">
        <f>IF(AND(ISNUMBER(B169),ISNUMBER(C169)),B169-C169,"")</f>
        <v/>
      </c>
      <c r="E169" s="17">
        <f>IF(ISNUMBER(D169),ABS(D169),"")</f>
        <v/>
      </c>
      <c r="F169" s="100">
        <f>IFERROR(IF(INDEX(Polymarket!$C$25:$C$316,MATCH($A169,Polymarket!$A$25:$A$316,0))=0,"",INDEX(Polymarket!$C$25:$C$316,MATCH($A169,Polymarket!$A$25:$A$316,0))),"")</f>
        <v/>
      </c>
      <c r="G169" s="100">
        <f>IFERROR(IF(INDEX(Kalshi!$G$31:$G$501,MATCH($A169,Kalshi!$A$31:$A$501,0))=0,"",INDEX(Kalshi!$G$31:$G$501,MATCH($A169,Kalshi!$A$31:$A$501,0))),"")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IFERROR(IF(INDEX(Polymarket!$B$25:$B$316,MATCH($A170,Polymarket!$A$25:$A$316,0))=0,"",INDEX(Polymarket!$B$25:$B$316,MATCH($A170,Polymarket!$A$25:$A$316,0))),"")</f>
        <v/>
      </c>
      <c r="C170" s="101">
        <f>IFERROR(IF(INDEX(Kalshi!$D$31:$D$501,MATCH($A170,Kalshi!$A$31:$A$501,0))=0,"",INDEX(Kalshi!$D$31:$D$501,MATCH($A170,Kalshi!$A$31:$A$501,0))),"")</f>
        <v/>
      </c>
      <c r="D170" s="31">
        <f>IF(AND(ISNUMBER(B170),ISNUMBER(C170)),B170-C170,"")</f>
        <v/>
      </c>
      <c r="E170" s="29">
        <f>IF(ISNUMBER(D170),ABS(D170),"")</f>
        <v/>
      </c>
      <c r="F170" s="101">
        <f>IFERROR(IF(INDEX(Polymarket!$C$25:$C$316,MATCH($A170,Polymarket!$A$25:$A$316,0))=0,"",INDEX(Polymarket!$C$25:$C$316,MATCH($A170,Polymarket!$A$25:$A$316,0))),"")</f>
        <v/>
      </c>
      <c r="G170" s="101">
        <f>IFERROR(IF(INDEX(Kalshi!$G$31:$G$501,MATCH($A170,Kalshi!$A$31:$A$501,0))=0,"",INDEX(Kalshi!$G$31:$G$501,MATCH($A170,Kalshi!$A$31:$A$501,0))),"")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IFERROR(IF(INDEX(Polymarket!$B$25:$B$316,MATCH($A171,Polymarket!$A$25:$A$316,0))=0,"",INDEX(Polymarket!$B$25:$B$316,MATCH($A171,Polymarket!$A$25:$A$316,0))),"")</f>
        <v/>
      </c>
      <c r="C171" s="100">
        <f>IFERROR(IF(INDEX(Kalshi!$D$31:$D$501,MATCH($A171,Kalshi!$A$31:$A$501,0))=0,"",INDEX(Kalshi!$D$31:$D$501,MATCH($A171,Kalshi!$A$31:$A$501,0))),"")</f>
        <v/>
      </c>
      <c r="D171" s="18">
        <f>IF(AND(ISNUMBER(B171),ISNUMBER(C171)),B171-C171,"")</f>
        <v/>
      </c>
      <c r="E171" s="17">
        <f>IF(ISNUMBER(D171),ABS(D171),"")</f>
        <v/>
      </c>
      <c r="F171" s="100">
        <f>IFERROR(IF(INDEX(Polymarket!$C$25:$C$316,MATCH($A171,Polymarket!$A$25:$A$316,0))=0,"",INDEX(Polymarket!$C$25:$C$316,MATCH($A171,Polymarket!$A$25:$A$316,0))),"")</f>
        <v/>
      </c>
      <c r="G171" s="100">
        <f>IFERROR(IF(INDEX(Kalshi!$G$31:$G$501,MATCH($A171,Kalshi!$A$31:$A$501,0))=0,"",INDEX(Kalshi!$G$31:$G$501,MATCH($A171,Kalshi!$A$31:$A$501,0))),"")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IFERROR(IF(INDEX(Polymarket!$B$25:$B$316,MATCH($A172,Polymarket!$A$25:$A$316,0))=0,"",INDEX(Polymarket!$B$25:$B$316,MATCH($A172,Polymarket!$A$25:$A$316,0))),"")</f>
        <v/>
      </c>
      <c r="C172" s="101">
        <f>IFERROR(IF(INDEX(Kalshi!$D$31:$D$501,MATCH($A172,Kalshi!$A$31:$A$501,0))=0,"",INDEX(Kalshi!$D$31:$D$501,MATCH($A172,Kalshi!$A$31:$A$501,0))),"")</f>
        <v/>
      </c>
      <c r="D172" s="31">
        <f>IF(AND(ISNUMBER(B172),ISNUMBER(C172)),B172-C172,"")</f>
        <v/>
      </c>
      <c r="E172" s="29">
        <f>IF(ISNUMBER(D172),ABS(D172),"")</f>
        <v/>
      </c>
      <c r="F172" s="101">
        <f>IFERROR(IF(INDEX(Polymarket!$C$25:$C$316,MATCH($A172,Polymarket!$A$25:$A$316,0))=0,"",INDEX(Polymarket!$C$25:$C$316,MATCH($A172,Polymarket!$A$25:$A$316,0))),"")</f>
        <v/>
      </c>
      <c r="G172" s="101">
        <f>IFERROR(IF(INDEX(Kalshi!$G$31:$G$501,MATCH($A172,Kalshi!$A$31:$A$501,0))=0,"",INDEX(Kalshi!$G$31:$G$501,MATCH($A172,Kalshi!$A$31:$A$501,0))),"")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IFERROR(IF(INDEX(Polymarket!$B$25:$B$316,MATCH($A173,Polymarket!$A$25:$A$316,0))=0,"",INDEX(Polymarket!$B$25:$B$316,MATCH($A173,Polymarket!$A$25:$A$316,0))),"")</f>
        <v/>
      </c>
      <c r="C173" s="100">
        <f>IFERROR(IF(INDEX(Kalshi!$D$31:$D$501,MATCH($A173,Kalshi!$A$31:$A$501,0))=0,"",INDEX(Kalshi!$D$31:$D$501,MATCH($A173,Kalshi!$A$31:$A$501,0))),"")</f>
        <v/>
      </c>
      <c r="D173" s="18">
        <f>IF(AND(ISNUMBER(B173),ISNUMBER(C173)),B173-C173,"")</f>
        <v/>
      </c>
      <c r="E173" s="17">
        <f>IF(ISNUMBER(D173),ABS(D173),"")</f>
        <v/>
      </c>
      <c r="F173" s="100">
        <f>IFERROR(IF(INDEX(Polymarket!$C$25:$C$316,MATCH($A173,Polymarket!$A$25:$A$316,0))=0,"",INDEX(Polymarket!$C$25:$C$316,MATCH($A173,Polymarket!$A$25:$A$316,0))),"")</f>
        <v/>
      </c>
      <c r="G173" s="100">
        <f>IFERROR(IF(INDEX(Kalshi!$G$31:$G$501,MATCH($A173,Kalshi!$A$31:$A$501,0))=0,"",INDEX(Kalshi!$G$31:$G$501,MATCH($A173,Kalshi!$A$31:$A$501,0))),"")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IFERROR(IF(INDEX(Polymarket!$B$25:$B$316,MATCH($A174,Polymarket!$A$25:$A$316,0))=0,"",INDEX(Polymarket!$B$25:$B$316,MATCH($A174,Polymarket!$A$25:$A$316,0))),"")</f>
        <v/>
      </c>
      <c r="C174" s="101">
        <f>IFERROR(IF(INDEX(Kalshi!$D$31:$D$501,MATCH($A174,Kalshi!$A$31:$A$501,0))=0,"",INDEX(Kalshi!$D$31:$D$501,MATCH($A174,Kalshi!$A$31:$A$501,0))),"")</f>
        <v/>
      </c>
      <c r="D174" s="31">
        <f>IF(AND(ISNUMBER(B174),ISNUMBER(C174)),B174-C174,"")</f>
        <v/>
      </c>
      <c r="E174" s="29">
        <f>IF(ISNUMBER(D174),ABS(D174),"")</f>
        <v/>
      </c>
      <c r="F174" s="101">
        <f>IFERROR(IF(INDEX(Polymarket!$C$25:$C$316,MATCH($A174,Polymarket!$A$25:$A$316,0))=0,"",INDEX(Polymarket!$C$25:$C$316,MATCH($A174,Polymarket!$A$25:$A$316,0))),"")</f>
        <v/>
      </c>
      <c r="G174" s="101">
        <f>IFERROR(IF(INDEX(Kalshi!$G$31:$G$501,MATCH($A174,Kalshi!$A$31:$A$501,0))=0,"",INDEX(Kalshi!$G$31:$G$501,MATCH($A174,Kalshi!$A$31:$A$501,0))),"")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IFERROR(IF(INDEX(Polymarket!$B$25:$B$316,MATCH($A175,Polymarket!$A$25:$A$316,0))=0,"",INDEX(Polymarket!$B$25:$B$316,MATCH($A175,Polymarket!$A$25:$A$316,0))),"")</f>
        <v/>
      </c>
      <c r="C175" s="100">
        <f>IFERROR(IF(INDEX(Kalshi!$D$31:$D$501,MATCH($A175,Kalshi!$A$31:$A$501,0))=0,"",INDEX(Kalshi!$D$31:$D$501,MATCH($A175,Kalshi!$A$31:$A$501,0))),"")</f>
        <v/>
      </c>
      <c r="D175" s="18">
        <f>IF(AND(ISNUMBER(B175),ISNUMBER(C175)),B175-C175,"")</f>
        <v/>
      </c>
      <c r="E175" s="17">
        <f>IF(ISNUMBER(D175),ABS(D175),"")</f>
        <v/>
      </c>
      <c r="F175" s="100">
        <f>IFERROR(IF(INDEX(Polymarket!$C$25:$C$316,MATCH($A175,Polymarket!$A$25:$A$316,0))=0,"",INDEX(Polymarket!$C$25:$C$316,MATCH($A175,Polymarket!$A$25:$A$316,0))),"")</f>
        <v/>
      </c>
      <c r="G175" s="100">
        <f>IFERROR(IF(INDEX(Kalshi!$G$31:$G$501,MATCH($A175,Kalshi!$A$31:$A$501,0))=0,"",INDEX(Kalshi!$G$31:$G$501,MATCH($A175,Kalshi!$A$31:$A$501,0))),"")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IFERROR(IF(INDEX(Polymarket!$B$25:$B$316,MATCH($A176,Polymarket!$A$25:$A$316,0))=0,"",INDEX(Polymarket!$B$25:$B$316,MATCH($A176,Polymarket!$A$25:$A$316,0))),"")</f>
        <v/>
      </c>
      <c r="C176" s="101">
        <f>IFERROR(IF(INDEX(Kalshi!$D$31:$D$501,MATCH($A176,Kalshi!$A$31:$A$501,0))=0,"",INDEX(Kalshi!$D$31:$D$501,MATCH($A176,Kalshi!$A$31:$A$501,0))),"")</f>
        <v/>
      </c>
      <c r="D176" s="31">
        <f>IF(AND(ISNUMBER(B176),ISNUMBER(C176)),B176-C176,"")</f>
        <v/>
      </c>
      <c r="E176" s="29">
        <f>IF(ISNUMBER(D176),ABS(D176),"")</f>
        <v/>
      </c>
      <c r="F176" s="101">
        <f>IFERROR(IF(INDEX(Polymarket!$C$25:$C$316,MATCH($A176,Polymarket!$A$25:$A$316,0))=0,"",INDEX(Polymarket!$C$25:$C$316,MATCH($A176,Polymarket!$A$25:$A$316,0))),"")</f>
        <v/>
      </c>
      <c r="G176" s="101">
        <f>IFERROR(IF(INDEX(Kalshi!$G$31:$G$501,MATCH($A176,Kalshi!$A$31:$A$501,0))=0,"",INDEX(Kalshi!$G$31:$G$501,MATCH($A176,Kalshi!$A$31:$A$501,0))),"")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IFERROR(IF(INDEX(Polymarket!$B$25:$B$316,MATCH($A177,Polymarket!$A$25:$A$316,0))=0,"",INDEX(Polymarket!$B$25:$B$316,MATCH($A177,Polymarket!$A$25:$A$316,0))),"")</f>
        <v/>
      </c>
      <c r="C177" s="100">
        <f>IFERROR(IF(INDEX(Kalshi!$D$31:$D$501,MATCH($A177,Kalshi!$A$31:$A$501,0))=0,"",INDEX(Kalshi!$D$31:$D$501,MATCH($A177,Kalshi!$A$31:$A$501,0))),"")</f>
        <v/>
      </c>
      <c r="D177" s="18">
        <f>IF(AND(ISNUMBER(B177),ISNUMBER(C177)),B177-C177,"")</f>
        <v/>
      </c>
      <c r="E177" s="17">
        <f>IF(ISNUMBER(D177),ABS(D177),"")</f>
        <v/>
      </c>
      <c r="F177" s="100">
        <f>IFERROR(IF(INDEX(Polymarket!$C$25:$C$316,MATCH($A177,Polymarket!$A$25:$A$316,0))=0,"",INDEX(Polymarket!$C$25:$C$316,MATCH($A177,Polymarket!$A$25:$A$316,0))),"")</f>
        <v/>
      </c>
      <c r="G177" s="100">
        <f>IFERROR(IF(INDEX(Kalshi!$G$31:$G$501,MATCH($A177,Kalshi!$A$31:$A$501,0))=0,"",INDEX(Kalshi!$G$31:$G$501,MATCH($A177,Kalshi!$A$31:$A$501,0))),"")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IFERROR(IF(INDEX(Polymarket!$B$25:$B$316,MATCH($A178,Polymarket!$A$25:$A$316,0))=0,"",INDEX(Polymarket!$B$25:$B$316,MATCH($A178,Polymarket!$A$25:$A$316,0))),"")</f>
        <v/>
      </c>
      <c r="C178" s="101">
        <f>IFERROR(IF(INDEX(Kalshi!$D$31:$D$501,MATCH($A178,Kalshi!$A$31:$A$501,0))=0,"",INDEX(Kalshi!$D$31:$D$501,MATCH($A178,Kalshi!$A$31:$A$501,0))),"")</f>
        <v/>
      </c>
      <c r="D178" s="31">
        <f>IF(AND(ISNUMBER(B178),ISNUMBER(C178)),B178-C178,"")</f>
        <v/>
      </c>
      <c r="E178" s="29">
        <f>IF(ISNUMBER(D178),ABS(D178),"")</f>
        <v/>
      </c>
      <c r="F178" s="101">
        <f>IFERROR(IF(INDEX(Polymarket!$C$25:$C$316,MATCH($A178,Polymarket!$A$25:$A$316,0))=0,"",INDEX(Polymarket!$C$25:$C$316,MATCH($A178,Polymarket!$A$25:$A$316,0))),"")</f>
        <v/>
      </c>
      <c r="G178" s="101">
        <f>IFERROR(IF(INDEX(Kalshi!$G$31:$G$501,MATCH($A178,Kalshi!$A$31:$A$501,0))=0,"",INDEX(Kalshi!$G$31:$G$501,MATCH($A178,Kalshi!$A$31:$A$501,0))),"")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IFERROR(IF(INDEX(Polymarket!$B$25:$B$316,MATCH($A179,Polymarket!$A$25:$A$316,0))=0,"",INDEX(Polymarket!$B$25:$B$316,MATCH($A179,Polymarket!$A$25:$A$316,0))),"")</f>
        <v/>
      </c>
      <c r="C179" s="100">
        <f>IFERROR(IF(INDEX(Kalshi!$D$31:$D$501,MATCH($A179,Kalshi!$A$31:$A$501,0))=0,"",INDEX(Kalshi!$D$31:$D$501,MATCH($A179,Kalshi!$A$31:$A$501,0))),"")</f>
        <v/>
      </c>
      <c r="D179" s="18">
        <f>IF(AND(ISNUMBER(B179),ISNUMBER(C179)),B179-C179,"")</f>
        <v/>
      </c>
      <c r="E179" s="17">
        <f>IF(ISNUMBER(D179),ABS(D179),"")</f>
        <v/>
      </c>
      <c r="F179" s="100">
        <f>IFERROR(IF(INDEX(Polymarket!$C$25:$C$316,MATCH($A179,Polymarket!$A$25:$A$316,0))=0,"",INDEX(Polymarket!$C$25:$C$316,MATCH($A179,Polymarket!$A$25:$A$316,0))),"")</f>
        <v/>
      </c>
      <c r="G179" s="100">
        <f>IFERROR(IF(INDEX(Kalshi!$G$31:$G$501,MATCH($A179,Kalshi!$A$31:$A$501,0))=0,"",INDEX(Kalshi!$G$31:$G$501,MATCH($A179,Kalshi!$A$31:$A$501,0))),"")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IFERROR(IF(INDEX(Polymarket!$B$25:$B$316,MATCH($A180,Polymarket!$A$25:$A$316,0))=0,"",INDEX(Polymarket!$B$25:$B$316,MATCH($A180,Polymarket!$A$25:$A$316,0))),"")</f>
        <v/>
      </c>
      <c r="C180" s="101">
        <f>IFERROR(IF(INDEX(Kalshi!$D$31:$D$501,MATCH($A180,Kalshi!$A$31:$A$501,0))=0,"",INDEX(Kalshi!$D$31:$D$501,MATCH($A180,Kalshi!$A$31:$A$501,0))),"")</f>
        <v/>
      </c>
      <c r="D180" s="31">
        <f>IF(AND(ISNUMBER(B180),ISNUMBER(C180)),B180-C180,"")</f>
        <v/>
      </c>
      <c r="E180" s="29">
        <f>IF(ISNUMBER(D180),ABS(D180),"")</f>
        <v/>
      </c>
      <c r="F180" s="101">
        <f>IFERROR(IF(INDEX(Polymarket!$C$25:$C$316,MATCH($A180,Polymarket!$A$25:$A$316,0))=0,"",INDEX(Polymarket!$C$25:$C$316,MATCH($A180,Polymarket!$A$25:$A$316,0))),"")</f>
        <v/>
      </c>
      <c r="G180" s="101">
        <f>IFERROR(IF(INDEX(Kalshi!$G$31:$G$501,MATCH($A180,Kalshi!$A$31:$A$501,0))=0,"",INDEX(Kalshi!$G$31:$G$501,MATCH($A180,Kalshi!$A$31:$A$501,0))),"")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IFERROR(IF(INDEX(Polymarket!$B$25:$B$316,MATCH($A181,Polymarket!$A$25:$A$316,0))=0,"",INDEX(Polymarket!$B$25:$B$316,MATCH($A181,Polymarket!$A$25:$A$316,0))),"")</f>
        <v/>
      </c>
      <c r="C181" s="100">
        <f>IFERROR(IF(INDEX(Kalshi!$D$31:$D$501,MATCH($A181,Kalshi!$A$31:$A$501,0))=0,"",INDEX(Kalshi!$D$31:$D$501,MATCH($A181,Kalshi!$A$31:$A$501,0))),"")</f>
        <v/>
      </c>
      <c r="D181" s="18">
        <f>IF(AND(ISNUMBER(B181),ISNUMBER(C181)),B181-C181,"")</f>
        <v/>
      </c>
      <c r="E181" s="17">
        <f>IF(ISNUMBER(D181),ABS(D181),"")</f>
        <v/>
      </c>
      <c r="F181" s="100">
        <f>IFERROR(IF(INDEX(Polymarket!$C$25:$C$316,MATCH($A181,Polymarket!$A$25:$A$316,0))=0,"",INDEX(Polymarket!$C$25:$C$316,MATCH($A181,Polymarket!$A$25:$A$316,0))),"")</f>
        <v/>
      </c>
      <c r="G181" s="100">
        <f>IFERROR(IF(INDEX(Kalshi!$G$31:$G$501,MATCH($A181,Kalshi!$A$31:$A$501,0))=0,"",INDEX(Kalshi!$G$31:$G$501,MATCH($A181,Kalshi!$A$31:$A$501,0))),"")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IFERROR(IF(INDEX(Polymarket!$B$25:$B$316,MATCH($A182,Polymarket!$A$25:$A$316,0))=0,"",INDEX(Polymarket!$B$25:$B$316,MATCH($A182,Polymarket!$A$25:$A$316,0))),"")</f>
        <v/>
      </c>
      <c r="C182" s="101">
        <f>IFERROR(IF(INDEX(Kalshi!$D$31:$D$501,MATCH($A182,Kalshi!$A$31:$A$501,0))=0,"",INDEX(Kalshi!$D$31:$D$501,MATCH($A182,Kalshi!$A$31:$A$501,0))),"")</f>
        <v/>
      </c>
      <c r="D182" s="31">
        <f>IF(AND(ISNUMBER(B182),ISNUMBER(C182)),B182-C182,"")</f>
        <v/>
      </c>
      <c r="E182" s="29">
        <f>IF(ISNUMBER(D182),ABS(D182),"")</f>
        <v/>
      </c>
      <c r="F182" s="101">
        <f>IFERROR(IF(INDEX(Polymarket!$C$25:$C$316,MATCH($A182,Polymarket!$A$25:$A$316,0))=0,"",INDEX(Polymarket!$C$25:$C$316,MATCH($A182,Polymarket!$A$25:$A$316,0))),"")</f>
        <v/>
      </c>
      <c r="G182" s="101">
        <f>IFERROR(IF(INDEX(Kalshi!$G$31:$G$501,MATCH($A182,Kalshi!$A$31:$A$501,0))=0,"",INDEX(Kalshi!$G$31:$G$501,MATCH($A182,Kalshi!$A$31:$A$501,0))),"")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IFERROR(IF(INDEX(Polymarket!$B$25:$B$316,MATCH($A183,Polymarket!$A$25:$A$316,0))=0,"",INDEX(Polymarket!$B$25:$B$316,MATCH($A183,Polymarket!$A$25:$A$316,0))),"")</f>
        <v/>
      </c>
      <c r="C183" s="100">
        <f>IFERROR(IF(INDEX(Kalshi!$D$31:$D$501,MATCH($A183,Kalshi!$A$31:$A$501,0))=0,"",INDEX(Kalshi!$D$31:$D$501,MATCH($A183,Kalshi!$A$31:$A$501,0))),"")</f>
        <v/>
      </c>
      <c r="D183" s="18">
        <f>IF(AND(ISNUMBER(B183),ISNUMBER(C183)),B183-C183,"")</f>
        <v/>
      </c>
      <c r="E183" s="17">
        <f>IF(ISNUMBER(D183),ABS(D183),"")</f>
        <v/>
      </c>
      <c r="F183" s="100">
        <f>IFERROR(IF(INDEX(Polymarket!$C$25:$C$316,MATCH($A183,Polymarket!$A$25:$A$316,0))=0,"",INDEX(Polymarket!$C$25:$C$316,MATCH($A183,Polymarket!$A$25:$A$316,0))),"")</f>
        <v/>
      </c>
      <c r="G183" s="100">
        <f>IFERROR(IF(INDEX(Kalshi!$G$31:$G$501,MATCH($A183,Kalshi!$A$31:$A$501,0))=0,"",INDEX(Kalshi!$G$31:$G$501,MATCH($A183,Kalshi!$A$31:$A$501,0))),"")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IFERROR(IF(INDEX(Polymarket!$B$25:$B$316,MATCH($A184,Polymarket!$A$25:$A$316,0))=0,"",INDEX(Polymarket!$B$25:$B$316,MATCH($A184,Polymarket!$A$25:$A$316,0))),"")</f>
        <v/>
      </c>
      <c r="C184" s="101">
        <f>IFERROR(IF(INDEX(Kalshi!$D$31:$D$501,MATCH($A184,Kalshi!$A$31:$A$501,0))=0,"",INDEX(Kalshi!$D$31:$D$501,MATCH($A184,Kalshi!$A$31:$A$501,0))),"")</f>
        <v/>
      </c>
      <c r="D184" s="31">
        <f>IF(AND(ISNUMBER(B184),ISNUMBER(C184)),B184-C184,"")</f>
        <v/>
      </c>
      <c r="E184" s="29">
        <f>IF(ISNUMBER(D184),ABS(D184),"")</f>
        <v/>
      </c>
      <c r="F184" s="101">
        <f>IFERROR(IF(INDEX(Polymarket!$C$25:$C$316,MATCH($A184,Polymarket!$A$25:$A$316,0))=0,"",INDEX(Polymarket!$C$25:$C$316,MATCH($A184,Polymarket!$A$25:$A$316,0))),"")</f>
        <v/>
      </c>
      <c r="G184" s="101">
        <f>IFERROR(IF(INDEX(Kalshi!$G$31:$G$501,MATCH($A184,Kalshi!$A$31:$A$501,0))=0,"",INDEX(Kalshi!$G$31:$G$501,MATCH($A184,Kalshi!$A$31:$A$501,0))),"")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IFERROR(IF(INDEX(Polymarket!$B$25:$B$316,MATCH($A185,Polymarket!$A$25:$A$316,0))=0,"",INDEX(Polymarket!$B$25:$B$316,MATCH($A185,Polymarket!$A$25:$A$316,0))),"")</f>
        <v/>
      </c>
      <c r="C185" s="100">
        <f>IFERROR(IF(INDEX(Kalshi!$D$31:$D$501,MATCH($A185,Kalshi!$A$31:$A$501,0))=0,"",INDEX(Kalshi!$D$31:$D$501,MATCH($A185,Kalshi!$A$31:$A$501,0))),"")</f>
        <v/>
      </c>
      <c r="D185" s="18">
        <f>IF(AND(ISNUMBER(B185),ISNUMBER(C185)),B185-C185,"")</f>
        <v/>
      </c>
      <c r="E185" s="17">
        <f>IF(ISNUMBER(D185),ABS(D185),"")</f>
        <v/>
      </c>
      <c r="F185" s="100">
        <f>IFERROR(IF(INDEX(Polymarket!$C$25:$C$316,MATCH($A185,Polymarket!$A$25:$A$316,0))=0,"",INDEX(Polymarket!$C$25:$C$316,MATCH($A185,Polymarket!$A$25:$A$316,0))),"")</f>
        <v/>
      </c>
      <c r="G185" s="100">
        <f>IFERROR(IF(INDEX(Kalshi!$G$31:$G$501,MATCH($A185,Kalshi!$A$31:$A$501,0))=0,"",INDEX(Kalshi!$G$31:$G$501,MATCH($A185,Kalshi!$A$31:$A$501,0))),"")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IFERROR(IF(INDEX(Polymarket!$B$25:$B$316,MATCH($A186,Polymarket!$A$25:$A$316,0))=0,"",INDEX(Polymarket!$B$25:$B$316,MATCH($A186,Polymarket!$A$25:$A$316,0))),"")</f>
        <v/>
      </c>
      <c r="C186" s="101">
        <f>IFERROR(IF(INDEX(Kalshi!$D$31:$D$501,MATCH($A186,Kalshi!$A$31:$A$501,0))=0,"",INDEX(Kalshi!$D$31:$D$501,MATCH($A186,Kalshi!$A$31:$A$501,0))),"")</f>
        <v/>
      </c>
      <c r="D186" s="31">
        <f>IF(AND(ISNUMBER(B186),ISNUMBER(C186)),B186-C186,"")</f>
        <v/>
      </c>
      <c r="E186" s="29">
        <f>IF(ISNUMBER(D186),ABS(D186),"")</f>
        <v/>
      </c>
      <c r="F186" s="101">
        <f>IFERROR(IF(INDEX(Polymarket!$C$25:$C$316,MATCH($A186,Polymarket!$A$25:$A$316,0))=0,"",INDEX(Polymarket!$C$25:$C$316,MATCH($A186,Polymarket!$A$25:$A$316,0))),"")</f>
        <v/>
      </c>
      <c r="G186" s="101">
        <f>IFERROR(IF(INDEX(Kalshi!$G$31:$G$501,MATCH($A186,Kalshi!$A$31:$A$501,0))=0,"",INDEX(Kalshi!$G$31:$G$501,MATCH($A186,Kalshi!$A$31:$A$501,0))),"")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IFERROR(IF(INDEX(Polymarket!$B$25:$B$316,MATCH($A187,Polymarket!$A$25:$A$316,0))=0,"",INDEX(Polymarket!$B$25:$B$316,MATCH($A187,Polymarket!$A$25:$A$316,0))),"")</f>
        <v/>
      </c>
      <c r="C187" s="100">
        <f>IFERROR(IF(INDEX(Kalshi!$D$31:$D$501,MATCH($A187,Kalshi!$A$31:$A$501,0))=0,"",INDEX(Kalshi!$D$31:$D$501,MATCH($A187,Kalshi!$A$31:$A$501,0))),"")</f>
        <v/>
      </c>
      <c r="D187" s="18">
        <f>IF(AND(ISNUMBER(B187),ISNUMBER(C187)),B187-C187,"")</f>
        <v/>
      </c>
      <c r="E187" s="17">
        <f>IF(ISNUMBER(D187),ABS(D187),"")</f>
        <v/>
      </c>
      <c r="F187" s="100">
        <f>IFERROR(IF(INDEX(Polymarket!$C$25:$C$316,MATCH($A187,Polymarket!$A$25:$A$316,0))=0,"",INDEX(Polymarket!$C$25:$C$316,MATCH($A187,Polymarket!$A$25:$A$316,0))),"")</f>
        <v/>
      </c>
      <c r="G187" s="100">
        <f>IFERROR(IF(INDEX(Kalshi!$G$31:$G$501,MATCH($A187,Kalshi!$A$31:$A$501,0))=0,"",INDEX(Kalshi!$G$31:$G$501,MATCH($A187,Kalshi!$A$31:$A$501,0))),"")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IFERROR(IF(INDEX(Polymarket!$B$25:$B$316,MATCH($A188,Polymarket!$A$25:$A$316,0))=0,"",INDEX(Polymarket!$B$25:$B$316,MATCH($A188,Polymarket!$A$25:$A$316,0))),"")</f>
        <v/>
      </c>
      <c r="C188" s="101">
        <f>IFERROR(IF(INDEX(Kalshi!$D$31:$D$501,MATCH($A188,Kalshi!$A$31:$A$501,0))=0,"",INDEX(Kalshi!$D$31:$D$501,MATCH($A188,Kalshi!$A$31:$A$501,0))),"")</f>
        <v/>
      </c>
      <c r="D188" s="31">
        <f>IF(AND(ISNUMBER(B188),ISNUMBER(C188)),B188-C188,"")</f>
        <v/>
      </c>
      <c r="E188" s="29">
        <f>IF(ISNUMBER(D188),ABS(D188),"")</f>
        <v/>
      </c>
      <c r="F188" s="101">
        <f>IFERROR(IF(INDEX(Polymarket!$C$25:$C$316,MATCH($A188,Polymarket!$A$25:$A$316,0))=0,"",INDEX(Polymarket!$C$25:$C$316,MATCH($A188,Polymarket!$A$25:$A$316,0))),"")</f>
        <v/>
      </c>
      <c r="G188" s="101">
        <f>IFERROR(IF(INDEX(Kalshi!$G$31:$G$501,MATCH($A188,Kalshi!$A$31:$A$501,0))=0,"",INDEX(Kalshi!$G$31:$G$501,MATCH($A188,Kalshi!$A$31:$A$501,0))),"")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IFERROR(IF(INDEX(Polymarket!$B$25:$B$316,MATCH($A189,Polymarket!$A$25:$A$316,0))=0,"",INDEX(Polymarket!$B$25:$B$316,MATCH($A189,Polymarket!$A$25:$A$316,0))),"")</f>
        <v/>
      </c>
      <c r="C189" s="100">
        <f>IFERROR(IF(INDEX(Kalshi!$D$31:$D$501,MATCH($A189,Kalshi!$A$31:$A$501,0))=0,"",INDEX(Kalshi!$D$31:$D$501,MATCH($A189,Kalshi!$A$31:$A$501,0))),"")</f>
        <v/>
      </c>
      <c r="D189" s="18">
        <f>IF(AND(ISNUMBER(B189),ISNUMBER(C189)),B189-C189,"")</f>
        <v/>
      </c>
      <c r="E189" s="17">
        <f>IF(ISNUMBER(D189),ABS(D189),"")</f>
        <v/>
      </c>
      <c r="F189" s="100">
        <f>IFERROR(IF(INDEX(Polymarket!$C$25:$C$316,MATCH($A189,Polymarket!$A$25:$A$316,0))=0,"",INDEX(Polymarket!$C$25:$C$316,MATCH($A189,Polymarket!$A$25:$A$316,0))),"")</f>
        <v/>
      </c>
      <c r="G189" s="100">
        <f>IFERROR(IF(INDEX(Kalshi!$G$31:$G$501,MATCH($A189,Kalshi!$A$31:$A$501,0))=0,"",INDEX(Kalshi!$G$31:$G$501,MATCH($A189,Kalshi!$A$31:$A$501,0))),"")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IFERROR(IF(INDEX(Polymarket!$B$25:$B$316,MATCH($A190,Polymarket!$A$25:$A$316,0))=0,"",INDEX(Polymarket!$B$25:$B$316,MATCH($A190,Polymarket!$A$25:$A$316,0))),"")</f>
        <v/>
      </c>
      <c r="C190" s="101">
        <f>IFERROR(IF(INDEX(Kalshi!$D$31:$D$501,MATCH($A190,Kalshi!$A$31:$A$501,0))=0,"",INDEX(Kalshi!$D$31:$D$501,MATCH($A190,Kalshi!$A$31:$A$501,0))),"")</f>
        <v/>
      </c>
      <c r="D190" s="31">
        <f>IF(AND(ISNUMBER(B190),ISNUMBER(C190)),B190-C190,"")</f>
        <v/>
      </c>
      <c r="E190" s="29">
        <f>IF(ISNUMBER(D190),ABS(D190),"")</f>
        <v/>
      </c>
      <c r="F190" s="101">
        <f>IFERROR(IF(INDEX(Polymarket!$C$25:$C$316,MATCH($A190,Polymarket!$A$25:$A$316,0))=0,"",INDEX(Polymarket!$C$25:$C$316,MATCH($A190,Polymarket!$A$25:$A$316,0))),"")</f>
        <v/>
      </c>
      <c r="G190" s="101">
        <f>IFERROR(IF(INDEX(Kalshi!$G$31:$G$501,MATCH($A190,Kalshi!$A$31:$A$501,0))=0,"",INDEX(Kalshi!$G$31:$G$501,MATCH($A190,Kalshi!$A$31:$A$501,0))),"")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IFERROR(IF(INDEX(Polymarket!$B$25:$B$316,MATCH($A191,Polymarket!$A$25:$A$316,0))=0,"",INDEX(Polymarket!$B$25:$B$316,MATCH($A191,Polymarket!$A$25:$A$316,0))),"")</f>
        <v/>
      </c>
      <c r="C191" s="100">
        <f>IFERROR(IF(INDEX(Kalshi!$D$31:$D$501,MATCH($A191,Kalshi!$A$31:$A$501,0))=0,"",INDEX(Kalshi!$D$31:$D$501,MATCH($A191,Kalshi!$A$31:$A$501,0))),"")</f>
        <v/>
      </c>
      <c r="D191" s="18">
        <f>IF(AND(ISNUMBER(B191),ISNUMBER(C191)),B191-C191,"")</f>
        <v/>
      </c>
      <c r="E191" s="17">
        <f>IF(ISNUMBER(D191),ABS(D191),"")</f>
        <v/>
      </c>
      <c r="F191" s="100">
        <f>IFERROR(IF(INDEX(Polymarket!$C$25:$C$316,MATCH($A191,Polymarket!$A$25:$A$316,0))=0,"",INDEX(Polymarket!$C$25:$C$316,MATCH($A191,Polymarket!$A$25:$A$316,0))),"")</f>
        <v/>
      </c>
      <c r="G191" s="100">
        <f>IFERROR(IF(INDEX(Kalshi!$G$31:$G$501,MATCH($A191,Kalshi!$A$31:$A$501,0))=0,"",INDEX(Kalshi!$G$31:$G$501,MATCH($A191,Kalshi!$A$31:$A$501,0))),"")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IFERROR(IF(INDEX(Polymarket!$B$25:$B$316,MATCH($A192,Polymarket!$A$25:$A$316,0))=0,"",INDEX(Polymarket!$B$25:$B$316,MATCH($A192,Polymarket!$A$25:$A$316,0))),"")</f>
        <v/>
      </c>
      <c r="C192" s="101">
        <f>IFERROR(IF(INDEX(Kalshi!$D$31:$D$501,MATCH($A192,Kalshi!$A$31:$A$501,0))=0,"",INDEX(Kalshi!$D$31:$D$501,MATCH($A192,Kalshi!$A$31:$A$501,0))),"")</f>
        <v/>
      </c>
      <c r="D192" s="31">
        <f>IF(AND(ISNUMBER(B192),ISNUMBER(C192)),B192-C192,"")</f>
        <v/>
      </c>
      <c r="E192" s="29">
        <f>IF(ISNUMBER(D192),ABS(D192),"")</f>
        <v/>
      </c>
      <c r="F192" s="101">
        <f>IFERROR(IF(INDEX(Polymarket!$C$25:$C$316,MATCH($A192,Polymarket!$A$25:$A$316,0))=0,"",INDEX(Polymarket!$C$25:$C$316,MATCH($A192,Polymarket!$A$25:$A$316,0))),"")</f>
        <v/>
      </c>
      <c r="G192" s="101">
        <f>IFERROR(IF(INDEX(Kalshi!$G$31:$G$501,MATCH($A192,Kalshi!$A$31:$A$501,0))=0,"",INDEX(Kalshi!$G$31:$G$501,MATCH($A192,Kalshi!$A$31:$A$501,0))),"")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IFERROR(IF(INDEX(Polymarket!$B$25:$B$316,MATCH($A193,Polymarket!$A$25:$A$316,0))=0,"",INDEX(Polymarket!$B$25:$B$316,MATCH($A193,Polymarket!$A$25:$A$316,0))),"")</f>
        <v/>
      </c>
      <c r="C193" s="100">
        <f>IFERROR(IF(INDEX(Kalshi!$D$31:$D$501,MATCH($A193,Kalshi!$A$31:$A$501,0))=0,"",INDEX(Kalshi!$D$31:$D$501,MATCH($A193,Kalshi!$A$31:$A$501,0))),"")</f>
        <v/>
      </c>
      <c r="D193" s="18">
        <f>IF(AND(ISNUMBER(B193),ISNUMBER(C193)),B193-C193,"")</f>
        <v/>
      </c>
      <c r="E193" s="17">
        <f>IF(ISNUMBER(D193),ABS(D193),"")</f>
        <v/>
      </c>
      <c r="F193" s="100">
        <f>IFERROR(IF(INDEX(Polymarket!$C$25:$C$316,MATCH($A193,Polymarket!$A$25:$A$316,0))=0,"",INDEX(Polymarket!$C$25:$C$316,MATCH($A193,Polymarket!$A$25:$A$316,0))),"")</f>
        <v/>
      </c>
      <c r="G193" s="100">
        <f>IFERROR(IF(INDEX(Kalshi!$G$31:$G$501,MATCH($A193,Kalshi!$A$31:$A$501,0))=0,"",INDEX(Kalshi!$G$31:$G$501,MATCH($A193,Kalshi!$A$31:$A$501,0))),"")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IFERROR(IF(INDEX(Polymarket!$B$25:$B$316,MATCH($A194,Polymarket!$A$25:$A$316,0))=0,"",INDEX(Polymarket!$B$25:$B$316,MATCH($A194,Polymarket!$A$25:$A$316,0))),"")</f>
        <v/>
      </c>
      <c r="C194" s="101">
        <f>IFERROR(IF(INDEX(Kalshi!$D$31:$D$501,MATCH($A194,Kalshi!$A$31:$A$501,0))=0,"",INDEX(Kalshi!$D$31:$D$501,MATCH($A194,Kalshi!$A$31:$A$501,0))),"")</f>
        <v/>
      </c>
      <c r="D194" s="31">
        <f>IF(AND(ISNUMBER(B194),ISNUMBER(C194)),B194-C194,"")</f>
        <v/>
      </c>
      <c r="E194" s="29">
        <f>IF(ISNUMBER(D194),ABS(D194),"")</f>
        <v/>
      </c>
      <c r="F194" s="101">
        <f>IFERROR(IF(INDEX(Polymarket!$C$25:$C$316,MATCH($A194,Polymarket!$A$25:$A$316,0))=0,"",INDEX(Polymarket!$C$25:$C$316,MATCH($A194,Polymarket!$A$25:$A$316,0))),"")</f>
        <v/>
      </c>
      <c r="G194" s="101">
        <f>IFERROR(IF(INDEX(Kalshi!$G$31:$G$501,MATCH($A194,Kalshi!$A$31:$A$501,0))=0,"",INDEX(Kalshi!$G$31:$G$501,MATCH($A194,Kalshi!$A$31:$A$501,0))),"")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IFERROR(IF(INDEX(Polymarket!$B$25:$B$316,MATCH($A195,Polymarket!$A$25:$A$316,0))=0,"",INDEX(Polymarket!$B$25:$B$316,MATCH($A195,Polymarket!$A$25:$A$316,0))),"")</f>
        <v/>
      </c>
      <c r="C195" s="100">
        <f>IFERROR(IF(INDEX(Kalshi!$D$31:$D$501,MATCH($A195,Kalshi!$A$31:$A$501,0))=0,"",INDEX(Kalshi!$D$31:$D$501,MATCH($A195,Kalshi!$A$31:$A$501,0))),"")</f>
        <v/>
      </c>
      <c r="D195" s="18">
        <f>IF(AND(ISNUMBER(B195),ISNUMBER(C195)),B195-C195,"")</f>
        <v/>
      </c>
      <c r="E195" s="17">
        <f>IF(ISNUMBER(D195),ABS(D195),"")</f>
        <v/>
      </c>
      <c r="F195" s="100">
        <f>IFERROR(IF(INDEX(Polymarket!$C$25:$C$316,MATCH($A195,Polymarket!$A$25:$A$316,0))=0,"",INDEX(Polymarket!$C$25:$C$316,MATCH($A195,Polymarket!$A$25:$A$316,0))),"")</f>
        <v/>
      </c>
      <c r="G195" s="100">
        <f>IFERROR(IF(INDEX(Kalshi!$G$31:$G$501,MATCH($A195,Kalshi!$A$31:$A$501,0))=0,"",INDEX(Kalshi!$G$31:$G$501,MATCH($A195,Kalshi!$A$31:$A$501,0))),"")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IFERROR(IF(INDEX(Polymarket!$B$25:$B$316,MATCH($A196,Polymarket!$A$25:$A$316,0))=0,"",INDEX(Polymarket!$B$25:$B$316,MATCH($A196,Polymarket!$A$25:$A$316,0))),"")</f>
        <v/>
      </c>
      <c r="C196" s="101">
        <f>IFERROR(IF(INDEX(Kalshi!$D$31:$D$501,MATCH($A196,Kalshi!$A$31:$A$501,0))=0,"",INDEX(Kalshi!$D$31:$D$501,MATCH($A196,Kalshi!$A$31:$A$501,0))),"")</f>
        <v/>
      </c>
      <c r="D196" s="31">
        <f>IF(AND(ISNUMBER(B196),ISNUMBER(C196)),B196-C196,"")</f>
        <v/>
      </c>
      <c r="E196" s="29">
        <f>IF(ISNUMBER(D196),ABS(D196),"")</f>
        <v/>
      </c>
      <c r="F196" s="101">
        <f>IFERROR(IF(INDEX(Polymarket!$C$25:$C$316,MATCH($A196,Polymarket!$A$25:$A$316,0))=0,"",INDEX(Polymarket!$C$25:$C$316,MATCH($A196,Polymarket!$A$25:$A$316,0))),"")</f>
        <v/>
      </c>
      <c r="G196" s="101">
        <f>IFERROR(IF(INDEX(Kalshi!$G$31:$G$501,MATCH($A196,Kalshi!$A$31:$A$501,0))=0,"",INDEX(Kalshi!$G$31:$G$501,MATCH($A196,Kalshi!$A$31:$A$501,0))),"")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IFERROR(IF(INDEX(Polymarket!$B$25:$B$316,MATCH($A197,Polymarket!$A$25:$A$316,0))=0,"",INDEX(Polymarket!$B$25:$B$316,MATCH($A197,Polymarket!$A$25:$A$316,0))),"")</f>
        <v/>
      </c>
      <c r="C197" s="100">
        <f>IFERROR(IF(INDEX(Kalshi!$D$31:$D$501,MATCH($A197,Kalshi!$A$31:$A$501,0))=0,"",INDEX(Kalshi!$D$31:$D$501,MATCH($A197,Kalshi!$A$31:$A$501,0))),"")</f>
        <v/>
      </c>
      <c r="D197" s="18">
        <f>IF(AND(ISNUMBER(B197),ISNUMBER(C197)),B197-C197,"")</f>
        <v/>
      </c>
      <c r="E197" s="17">
        <f>IF(ISNUMBER(D197),ABS(D197),"")</f>
        <v/>
      </c>
      <c r="F197" s="100">
        <f>IFERROR(IF(INDEX(Polymarket!$C$25:$C$316,MATCH($A197,Polymarket!$A$25:$A$316,0))=0,"",INDEX(Polymarket!$C$25:$C$316,MATCH($A197,Polymarket!$A$25:$A$316,0))),"")</f>
        <v/>
      </c>
      <c r="G197" s="100">
        <f>IFERROR(IF(INDEX(Kalshi!$G$31:$G$501,MATCH($A197,Kalshi!$A$31:$A$501,0))=0,"",INDEX(Kalshi!$G$31:$G$501,MATCH($A197,Kalshi!$A$31:$A$501,0))),"")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IFERROR(IF(INDEX(Polymarket!$B$25:$B$316,MATCH($A198,Polymarket!$A$25:$A$316,0))=0,"",INDEX(Polymarket!$B$25:$B$316,MATCH($A198,Polymarket!$A$25:$A$316,0))),"")</f>
        <v/>
      </c>
      <c r="C198" s="101">
        <f>IFERROR(IF(INDEX(Kalshi!$D$31:$D$501,MATCH($A198,Kalshi!$A$31:$A$501,0))=0,"",INDEX(Kalshi!$D$31:$D$501,MATCH($A198,Kalshi!$A$31:$A$501,0))),"")</f>
        <v/>
      </c>
      <c r="D198" s="31">
        <f>IF(AND(ISNUMBER(B198),ISNUMBER(C198)),B198-C198,"")</f>
        <v/>
      </c>
      <c r="E198" s="29">
        <f>IF(ISNUMBER(D198),ABS(D198),"")</f>
        <v/>
      </c>
      <c r="F198" s="101">
        <f>IFERROR(IF(INDEX(Polymarket!$C$25:$C$316,MATCH($A198,Polymarket!$A$25:$A$316,0))=0,"",INDEX(Polymarket!$C$25:$C$316,MATCH($A198,Polymarket!$A$25:$A$316,0))),"")</f>
        <v/>
      </c>
      <c r="G198" s="101">
        <f>IFERROR(IF(INDEX(Kalshi!$G$31:$G$501,MATCH($A198,Kalshi!$A$31:$A$501,0))=0,"",INDEX(Kalshi!$G$31:$G$501,MATCH($A198,Kalshi!$A$31:$A$501,0))),"")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IFERROR(IF(INDEX(Polymarket!$B$25:$B$316,MATCH($A199,Polymarket!$A$25:$A$316,0))=0,"",INDEX(Polymarket!$B$25:$B$316,MATCH($A199,Polymarket!$A$25:$A$316,0))),"")</f>
        <v/>
      </c>
      <c r="C199" s="100">
        <f>IFERROR(IF(INDEX(Kalshi!$D$31:$D$501,MATCH($A199,Kalshi!$A$31:$A$501,0))=0,"",INDEX(Kalshi!$D$31:$D$501,MATCH($A199,Kalshi!$A$31:$A$501,0))),"")</f>
        <v/>
      </c>
      <c r="D199" s="18">
        <f>IF(AND(ISNUMBER(B199),ISNUMBER(C199)),B199-C199,"")</f>
        <v/>
      </c>
      <c r="E199" s="17">
        <f>IF(ISNUMBER(D199),ABS(D199),"")</f>
        <v/>
      </c>
      <c r="F199" s="100">
        <f>IFERROR(IF(INDEX(Polymarket!$C$25:$C$316,MATCH($A199,Polymarket!$A$25:$A$316,0))=0,"",INDEX(Polymarket!$C$25:$C$316,MATCH($A199,Polymarket!$A$25:$A$316,0))),"")</f>
        <v/>
      </c>
      <c r="G199" s="100">
        <f>IFERROR(IF(INDEX(Kalshi!$G$31:$G$501,MATCH($A199,Kalshi!$A$31:$A$501,0))=0,"",INDEX(Kalshi!$G$31:$G$501,MATCH($A199,Kalshi!$A$31:$A$501,0))),"")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IFERROR(IF(INDEX(Polymarket!$B$25:$B$316,MATCH($A200,Polymarket!$A$25:$A$316,0))=0,"",INDEX(Polymarket!$B$25:$B$316,MATCH($A200,Polymarket!$A$25:$A$316,0))),"")</f>
        <v/>
      </c>
      <c r="C200" s="101">
        <f>IFERROR(IF(INDEX(Kalshi!$D$31:$D$501,MATCH($A200,Kalshi!$A$31:$A$501,0))=0,"",INDEX(Kalshi!$D$31:$D$501,MATCH($A200,Kalshi!$A$31:$A$501,0))),"")</f>
        <v/>
      </c>
      <c r="D200" s="31">
        <f>IF(AND(ISNUMBER(B200),ISNUMBER(C200)),B200-C200,"")</f>
        <v/>
      </c>
      <c r="E200" s="29">
        <f>IF(ISNUMBER(D200),ABS(D200),"")</f>
        <v/>
      </c>
      <c r="F200" s="101">
        <f>IFERROR(IF(INDEX(Polymarket!$C$25:$C$316,MATCH($A200,Polymarket!$A$25:$A$316,0))=0,"",INDEX(Polymarket!$C$25:$C$316,MATCH($A200,Polymarket!$A$25:$A$316,0))),"")</f>
        <v/>
      </c>
      <c r="G200" s="101">
        <f>IFERROR(IF(INDEX(Kalshi!$G$31:$G$501,MATCH($A200,Kalshi!$A$31:$A$501,0))=0,"",INDEX(Kalshi!$G$31:$G$501,MATCH($A200,Kalshi!$A$31:$A$501,0))),"")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IFERROR(IF(INDEX(Polymarket!$B$25:$B$316,MATCH($A201,Polymarket!$A$25:$A$316,0))=0,"",INDEX(Polymarket!$B$25:$B$316,MATCH($A201,Polymarket!$A$25:$A$316,0))),"")</f>
        <v/>
      </c>
      <c r="C201" s="100">
        <f>IFERROR(IF(INDEX(Kalshi!$D$31:$D$501,MATCH($A201,Kalshi!$A$31:$A$501,0))=0,"",INDEX(Kalshi!$D$31:$D$501,MATCH($A201,Kalshi!$A$31:$A$501,0))),"")</f>
        <v/>
      </c>
      <c r="D201" s="18">
        <f>IF(AND(ISNUMBER(B201),ISNUMBER(C201)),B201-C201,"")</f>
        <v/>
      </c>
      <c r="E201" s="17">
        <f>IF(ISNUMBER(D201),ABS(D201),"")</f>
        <v/>
      </c>
      <c r="F201" s="100">
        <f>IFERROR(IF(INDEX(Polymarket!$C$25:$C$316,MATCH($A201,Polymarket!$A$25:$A$316,0))=0,"",INDEX(Polymarket!$C$25:$C$316,MATCH($A201,Polymarket!$A$25:$A$316,0))),"")</f>
        <v/>
      </c>
      <c r="G201" s="100">
        <f>IFERROR(IF(INDEX(Kalshi!$G$31:$G$501,MATCH($A201,Kalshi!$A$31:$A$501,0))=0,"",INDEX(Kalshi!$G$31:$G$501,MATCH($A201,Kalshi!$A$31:$A$501,0))),"")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IFERROR(IF(INDEX(Polymarket!$B$25:$B$316,MATCH($A202,Polymarket!$A$25:$A$316,0))=0,"",INDEX(Polymarket!$B$25:$B$316,MATCH($A202,Polymarket!$A$25:$A$316,0))),"")</f>
        <v/>
      </c>
      <c r="C202" s="101">
        <f>IFERROR(IF(INDEX(Kalshi!$D$31:$D$501,MATCH($A202,Kalshi!$A$31:$A$501,0))=0,"",INDEX(Kalshi!$D$31:$D$501,MATCH($A202,Kalshi!$A$31:$A$501,0))),"")</f>
        <v/>
      </c>
      <c r="D202" s="31">
        <f>IF(AND(ISNUMBER(B202),ISNUMBER(C202)),B202-C202,"")</f>
        <v/>
      </c>
      <c r="E202" s="29">
        <f>IF(ISNUMBER(D202),ABS(D202),"")</f>
        <v/>
      </c>
      <c r="F202" s="101">
        <f>IFERROR(IF(INDEX(Polymarket!$C$25:$C$316,MATCH($A202,Polymarket!$A$25:$A$316,0))=0,"",INDEX(Polymarket!$C$25:$C$316,MATCH($A202,Polymarket!$A$25:$A$316,0))),"")</f>
        <v/>
      </c>
      <c r="G202" s="101">
        <f>IFERROR(IF(INDEX(Kalshi!$G$31:$G$501,MATCH($A202,Kalshi!$A$31:$A$501,0))=0,"",INDEX(Kalshi!$G$31:$G$501,MATCH($A202,Kalshi!$A$31:$A$501,0))),"")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IFERROR(IF(INDEX(Polymarket!$B$25:$B$316,MATCH($A203,Polymarket!$A$25:$A$316,0))=0,"",INDEX(Polymarket!$B$25:$B$316,MATCH($A203,Polymarket!$A$25:$A$316,0))),"")</f>
        <v/>
      </c>
      <c r="C203" s="100">
        <f>IFERROR(IF(INDEX(Kalshi!$D$31:$D$501,MATCH($A203,Kalshi!$A$31:$A$501,0))=0,"",INDEX(Kalshi!$D$31:$D$501,MATCH($A203,Kalshi!$A$31:$A$501,0))),"")</f>
        <v/>
      </c>
      <c r="D203" s="18">
        <f>IF(AND(ISNUMBER(B203),ISNUMBER(C203)),B203-C203,"")</f>
        <v/>
      </c>
      <c r="E203" s="17">
        <f>IF(ISNUMBER(D203),ABS(D203),"")</f>
        <v/>
      </c>
      <c r="F203" s="100">
        <f>IFERROR(IF(INDEX(Polymarket!$C$25:$C$316,MATCH($A203,Polymarket!$A$25:$A$316,0))=0,"",INDEX(Polymarket!$C$25:$C$316,MATCH($A203,Polymarket!$A$25:$A$316,0))),"")</f>
        <v/>
      </c>
      <c r="G203" s="100">
        <f>IFERROR(IF(INDEX(Kalshi!$G$31:$G$501,MATCH($A203,Kalshi!$A$31:$A$501,0))=0,"",INDEX(Kalshi!$G$31:$G$501,MATCH($A203,Kalshi!$A$31:$A$501,0))),"")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IFERROR(IF(INDEX(Polymarket!$B$25:$B$316,MATCH($A204,Polymarket!$A$25:$A$316,0))=0,"",INDEX(Polymarket!$B$25:$B$316,MATCH($A204,Polymarket!$A$25:$A$316,0))),"")</f>
        <v/>
      </c>
      <c r="C204" s="101">
        <f>IFERROR(IF(INDEX(Kalshi!$D$31:$D$501,MATCH($A204,Kalshi!$A$31:$A$501,0))=0,"",INDEX(Kalshi!$D$31:$D$501,MATCH($A204,Kalshi!$A$31:$A$501,0))),"")</f>
        <v/>
      </c>
      <c r="D204" s="31">
        <f>IF(AND(ISNUMBER(B204),ISNUMBER(C204)),B204-C204,"")</f>
        <v/>
      </c>
      <c r="E204" s="29">
        <f>IF(ISNUMBER(D204),ABS(D204),"")</f>
        <v/>
      </c>
      <c r="F204" s="101">
        <f>IFERROR(IF(INDEX(Polymarket!$C$25:$C$316,MATCH($A204,Polymarket!$A$25:$A$316,0))=0,"",INDEX(Polymarket!$C$25:$C$316,MATCH($A204,Polymarket!$A$25:$A$316,0))),"")</f>
        <v/>
      </c>
      <c r="G204" s="101">
        <f>IFERROR(IF(INDEX(Kalshi!$G$31:$G$501,MATCH($A204,Kalshi!$A$31:$A$501,0))=0,"",INDEX(Kalshi!$G$31:$G$501,MATCH($A204,Kalshi!$A$31:$A$501,0))),"")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IFERROR(IF(INDEX(Polymarket!$B$25:$B$316,MATCH($A205,Polymarket!$A$25:$A$316,0))=0,"",INDEX(Polymarket!$B$25:$B$316,MATCH($A205,Polymarket!$A$25:$A$316,0))),"")</f>
        <v/>
      </c>
      <c r="C205" s="100">
        <f>IFERROR(IF(INDEX(Kalshi!$D$31:$D$501,MATCH($A205,Kalshi!$A$31:$A$501,0))=0,"",INDEX(Kalshi!$D$31:$D$501,MATCH($A205,Kalshi!$A$31:$A$501,0))),"")</f>
        <v/>
      </c>
      <c r="D205" s="18">
        <f>IF(AND(ISNUMBER(B205),ISNUMBER(C205)),B205-C205,"")</f>
        <v/>
      </c>
      <c r="E205" s="17">
        <f>IF(ISNUMBER(D205),ABS(D205),"")</f>
        <v/>
      </c>
      <c r="F205" s="100">
        <f>IFERROR(IF(INDEX(Polymarket!$C$25:$C$316,MATCH($A205,Polymarket!$A$25:$A$316,0))=0,"",INDEX(Polymarket!$C$25:$C$316,MATCH($A205,Polymarket!$A$25:$A$316,0))),"")</f>
        <v/>
      </c>
      <c r="G205" s="100">
        <f>IFERROR(IF(INDEX(Kalshi!$G$31:$G$501,MATCH($A205,Kalshi!$A$31:$A$501,0))=0,"",INDEX(Kalshi!$G$31:$G$501,MATCH($A205,Kalshi!$A$31:$A$501,0))),"")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IFERROR(IF(INDEX(Polymarket!$B$25:$B$316,MATCH($A206,Polymarket!$A$25:$A$316,0))=0,"",INDEX(Polymarket!$B$25:$B$316,MATCH($A206,Polymarket!$A$25:$A$316,0))),"")</f>
        <v/>
      </c>
      <c r="C206" s="101">
        <f>IFERROR(IF(INDEX(Kalshi!$D$31:$D$501,MATCH($A206,Kalshi!$A$31:$A$501,0))=0,"",INDEX(Kalshi!$D$31:$D$501,MATCH($A206,Kalshi!$A$31:$A$501,0))),"")</f>
        <v/>
      </c>
      <c r="D206" s="31">
        <f>IF(AND(ISNUMBER(B206),ISNUMBER(C206)),B206-C206,"")</f>
        <v/>
      </c>
      <c r="E206" s="29">
        <f>IF(ISNUMBER(D206),ABS(D206),"")</f>
        <v/>
      </c>
      <c r="F206" s="101">
        <f>IFERROR(IF(INDEX(Polymarket!$C$25:$C$316,MATCH($A206,Polymarket!$A$25:$A$316,0))=0,"",INDEX(Polymarket!$C$25:$C$316,MATCH($A206,Polymarket!$A$25:$A$316,0))),"")</f>
        <v/>
      </c>
      <c r="G206" s="101">
        <f>IFERROR(IF(INDEX(Kalshi!$G$31:$G$501,MATCH($A206,Kalshi!$A$31:$A$501,0))=0,"",INDEX(Kalshi!$G$31:$G$501,MATCH($A206,Kalshi!$A$31:$A$501,0))),"")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IFERROR(IF(INDEX(Polymarket!$B$25:$B$316,MATCH($A207,Polymarket!$A$25:$A$316,0))=0,"",INDEX(Polymarket!$B$25:$B$316,MATCH($A207,Polymarket!$A$25:$A$316,0))),"")</f>
        <v/>
      </c>
      <c r="C207" s="100">
        <f>IFERROR(IF(INDEX(Kalshi!$D$31:$D$501,MATCH($A207,Kalshi!$A$31:$A$501,0))=0,"",INDEX(Kalshi!$D$31:$D$501,MATCH($A207,Kalshi!$A$31:$A$501,0))),"")</f>
        <v/>
      </c>
      <c r="D207" s="18">
        <f>IF(AND(ISNUMBER(B207),ISNUMBER(C207)),B207-C207,"")</f>
        <v/>
      </c>
      <c r="E207" s="17">
        <f>IF(ISNUMBER(D207),ABS(D207),"")</f>
        <v/>
      </c>
      <c r="F207" s="100">
        <f>IFERROR(IF(INDEX(Polymarket!$C$25:$C$316,MATCH($A207,Polymarket!$A$25:$A$316,0))=0,"",INDEX(Polymarket!$C$25:$C$316,MATCH($A207,Polymarket!$A$25:$A$316,0))),"")</f>
        <v/>
      </c>
      <c r="G207" s="100">
        <f>IFERROR(IF(INDEX(Kalshi!$G$31:$G$501,MATCH($A207,Kalshi!$A$31:$A$501,0))=0,"",INDEX(Kalshi!$G$31:$G$501,MATCH($A207,Kalshi!$A$31:$A$501,0))),"")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IFERROR(IF(INDEX(Polymarket!$B$25:$B$316,MATCH($A208,Polymarket!$A$25:$A$316,0))=0,"",INDEX(Polymarket!$B$25:$B$316,MATCH($A208,Polymarket!$A$25:$A$316,0))),"")</f>
        <v/>
      </c>
      <c r="C208" s="101">
        <f>IFERROR(IF(INDEX(Kalshi!$D$31:$D$501,MATCH($A208,Kalshi!$A$31:$A$501,0))=0,"",INDEX(Kalshi!$D$31:$D$501,MATCH($A208,Kalshi!$A$31:$A$501,0))),"")</f>
        <v/>
      </c>
      <c r="D208" s="31">
        <f>IF(AND(ISNUMBER(B208),ISNUMBER(C208)),B208-C208,"")</f>
        <v/>
      </c>
      <c r="E208" s="29">
        <f>IF(ISNUMBER(D208),ABS(D208),"")</f>
        <v/>
      </c>
      <c r="F208" s="101">
        <f>IFERROR(IF(INDEX(Polymarket!$C$25:$C$316,MATCH($A208,Polymarket!$A$25:$A$316,0))=0,"",INDEX(Polymarket!$C$25:$C$316,MATCH($A208,Polymarket!$A$25:$A$316,0))),"")</f>
        <v/>
      </c>
      <c r="G208" s="101">
        <f>IFERROR(IF(INDEX(Kalshi!$G$31:$G$501,MATCH($A208,Kalshi!$A$31:$A$501,0))=0,"",INDEX(Kalshi!$G$31:$G$501,MATCH($A208,Kalshi!$A$31:$A$501,0))),"")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IFERROR(IF(INDEX(Polymarket!$B$25:$B$316,MATCH($A209,Polymarket!$A$25:$A$316,0))=0,"",INDEX(Polymarket!$B$25:$B$316,MATCH($A209,Polymarket!$A$25:$A$316,0))),"")</f>
        <v/>
      </c>
      <c r="C209" s="100">
        <f>IFERROR(IF(INDEX(Kalshi!$D$31:$D$501,MATCH($A209,Kalshi!$A$31:$A$501,0))=0,"",INDEX(Kalshi!$D$31:$D$501,MATCH($A209,Kalshi!$A$31:$A$501,0))),"")</f>
        <v/>
      </c>
      <c r="D209" s="18">
        <f>IF(AND(ISNUMBER(B209),ISNUMBER(C209)),B209-C209,"")</f>
        <v/>
      </c>
      <c r="E209" s="17">
        <f>IF(ISNUMBER(D209),ABS(D209),"")</f>
        <v/>
      </c>
      <c r="F209" s="100">
        <f>IFERROR(IF(INDEX(Polymarket!$C$25:$C$316,MATCH($A209,Polymarket!$A$25:$A$316,0))=0,"",INDEX(Polymarket!$C$25:$C$316,MATCH($A209,Polymarket!$A$25:$A$316,0))),"")</f>
        <v/>
      </c>
      <c r="G209" s="100">
        <f>IFERROR(IF(INDEX(Kalshi!$G$31:$G$501,MATCH($A209,Kalshi!$A$31:$A$501,0))=0,"",INDEX(Kalshi!$G$31:$G$501,MATCH($A209,Kalshi!$A$31:$A$501,0))),"")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IFERROR(IF(INDEX(Polymarket!$B$25:$B$316,MATCH($A210,Polymarket!$A$25:$A$316,0))=0,"",INDEX(Polymarket!$B$25:$B$316,MATCH($A210,Polymarket!$A$25:$A$316,0))),"")</f>
        <v/>
      </c>
      <c r="C210" s="101">
        <f>IFERROR(IF(INDEX(Kalshi!$D$31:$D$501,MATCH($A210,Kalshi!$A$31:$A$501,0))=0,"",INDEX(Kalshi!$D$31:$D$501,MATCH($A210,Kalshi!$A$31:$A$501,0))),"")</f>
        <v/>
      </c>
      <c r="D210" s="31">
        <f>IF(AND(ISNUMBER(B210),ISNUMBER(C210)),B210-C210,"")</f>
        <v/>
      </c>
      <c r="E210" s="29">
        <f>IF(ISNUMBER(D210),ABS(D210),"")</f>
        <v/>
      </c>
      <c r="F210" s="101">
        <f>IFERROR(IF(INDEX(Polymarket!$C$25:$C$316,MATCH($A210,Polymarket!$A$25:$A$316,0))=0,"",INDEX(Polymarket!$C$25:$C$316,MATCH($A210,Polymarket!$A$25:$A$316,0))),"")</f>
        <v/>
      </c>
      <c r="G210" s="101">
        <f>IFERROR(IF(INDEX(Kalshi!$G$31:$G$501,MATCH($A210,Kalshi!$A$31:$A$501,0))=0,"",INDEX(Kalshi!$G$31:$G$501,MATCH($A210,Kalshi!$A$31:$A$501,0))),"")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IFERROR(IF(INDEX(Polymarket!$B$25:$B$316,MATCH($A211,Polymarket!$A$25:$A$316,0))=0,"",INDEX(Polymarket!$B$25:$B$316,MATCH($A211,Polymarket!$A$25:$A$316,0))),"")</f>
        <v/>
      </c>
      <c r="C211" s="100">
        <f>IFERROR(IF(INDEX(Kalshi!$D$31:$D$501,MATCH($A211,Kalshi!$A$31:$A$501,0))=0,"",INDEX(Kalshi!$D$31:$D$501,MATCH($A211,Kalshi!$A$31:$A$501,0))),"")</f>
        <v/>
      </c>
      <c r="D211" s="18">
        <f>IF(AND(ISNUMBER(B211),ISNUMBER(C211)),B211-C211,"")</f>
        <v/>
      </c>
      <c r="E211" s="17">
        <f>IF(ISNUMBER(D211),ABS(D211),"")</f>
        <v/>
      </c>
      <c r="F211" s="100">
        <f>IFERROR(IF(INDEX(Polymarket!$C$25:$C$316,MATCH($A211,Polymarket!$A$25:$A$316,0))=0,"",INDEX(Polymarket!$C$25:$C$316,MATCH($A211,Polymarket!$A$25:$A$316,0))),"")</f>
        <v/>
      </c>
      <c r="G211" s="100">
        <f>IFERROR(IF(INDEX(Kalshi!$G$31:$G$501,MATCH($A211,Kalshi!$A$31:$A$501,0))=0,"",INDEX(Kalshi!$G$31:$G$501,MATCH($A211,Kalshi!$A$31:$A$501,0))),"")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IFERROR(IF(INDEX(Polymarket!$B$25:$B$316,MATCH($A212,Polymarket!$A$25:$A$316,0))=0,"",INDEX(Polymarket!$B$25:$B$316,MATCH($A212,Polymarket!$A$25:$A$316,0))),"")</f>
        <v/>
      </c>
      <c r="C212" s="101">
        <f>IFERROR(IF(INDEX(Kalshi!$D$31:$D$501,MATCH($A212,Kalshi!$A$31:$A$501,0))=0,"",INDEX(Kalshi!$D$31:$D$501,MATCH($A212,Kalshi!$A$31:$A$501,0))),"")</f>
        <v/>
      </c>
      <c r="D212" s="31">
        <f>IF(AND(ISNUMBER(B212),ISNUMBER(C212)),B212-C212,"")</f>
        <v/>
      </c>
      <c r="E212" s="29">
        <f>IF(ISNUMBER(D212),ABS(D212),"")</f>
        <v/>
      </c>
      <c r="F212" s="101">
        <f>IFERROR(IF(INDEX(Polymarket!$C$25:$C$316,MATCH($A212,Polymarket!$A$25:$A$316,0))=0,"",INDEX(Polymarket!$C$25:$C$316,MATCH($A212,Polymarket!$A$25:$A$316,0))),"")</f>
        <v/>
      </c>
      <c r="G212" s="101">
        <f>IFERROR(IF(INDEX(Kalshi!$G$31:$G$501,MATCH($A212,Kalshi!$A$31:$A$501,0))=0,"",INDEX(Kalshi!$G$31:$G$501,MATCH($A212,Kalshi!$A$31:$A$501,0))),"")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IFERROR(IF(INDEX(Polymarket!$B$25:$B$316,MATCH($A213,Polymarket!$A$25:$A$316,0))=0,"",INDEX(Polymarket!$B$25:$B$316,MATCH($A213,Polymarket!$A$25:$A$316,0))),"")</f>
        <v/>
      </c>
      <c r="C213" s="100">
        <f>IFERROR(IF(INDEX(Kalshi!$D$31:$D$501,MATCH($A213,Kalshi!$A$31:$A$501,0))=0,"",INDEX(Kalshi!$D$31:$D$501,MATCH($A213,Kalshi!$A$31:$A$501,0))),"")</f>
        <v/>
      </c>
      <c r="D213" s="18">
        <f>IF(AND(ISNUMBER(B213),ISNUMBER(C213)),B213-C213,"")</f>
        <v/>
      </c>
      <c r="E213" s="17">
        <f>IF(ISNUMBER(D213),ABS(D213),"")</f>
        <v/>
      </c>
      <c r="F213" s="100">
        <f>IFERROR(IF(INDEX(Polymarket!$C$25:$C$316,MATCH($A213,Polymarket!$A$25:$A$316,0))=0,"",INDEX(Polymarket!$C$25:$C$316,MATCH($A213,Polymarket!$A$25:$A$316,0))),"")</f>
        <v/>
      </c>
      <c r="G213" s="100">
        <f>IFERROR(IF(INDEX(Kalshi!$G$31:$G$501,MATCH($A213,Kalshi!$A$31:$A$501,0))=0,"",INDEX(Kalshi!$G$31:$G$501,MATCH($A213,Kalshi!$A$31:$A$501,0))),"")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IFERROR(IF(INDEX(Polymarket!$B$25:$B$316,MATCH($A214,Polymarket!$A$25:$A$316,0))=0,"",INDEX(Polymarket!$B$25:$B$316,MATCH($A214,Polymarket!$A$25:$A$316,0))),"")</f>
        <v/>
      </c>
      <c r="C214" s="101">
        <f>IFERROR(IF(INDEX(Kalshi!$D$31:$D$501,MATCH($A214,Kalshi!$A$31:$A$501,0))=0,"",INDEX(Kalshi!$D$31:$D$501,MATCH($A214,Kalshi!$A$31:$A$501,0))),"")</f>
        <v/>
      </c>
      <c r="D214" s="31">
        <f>IF(AND(ISNUMBER(B214),ISNUMBER(C214)),B214-C214,"")</f>
        <v/>
      </c>
      <c r="E214" s="29">
        <f>IF(ISNUMBER(D214),ABS(D214),"")</f>
        <v/>
      </c>
      <c r="F214" s="101">
        <f>IFERROR(IF(INDEX(Polymarket!$C$25:$C$316,MATCH($A214,Polymarket!$A$25:$A$316,0))=0,"",INDEX(Polymarket!$C$25:$C$316,MATCH($A214,Polymarket!$A$25:$A$316,0))),"")</f>
        <v/>
      </c>
      <c r="G214" s="101">
        <f>IFERROR(IF(INDEX(Kalshi!$G$31:$G$501,MATCH($A214,Kalshi!$A$31:$A$501,0))=0,"",INDEX(Kalshi!$G$31:$G$501,MATCH($A214,Kalshi!$A$31:$A$501,0))),"")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IFERROR(IF(INDEX(Polymarket!$B$25:$B$316,MATCH($A215,Polymarket!$A$25:$A$316,0))=0,"",INDEX(Polymarket!$B$25:$B$316,MATCH($A215,Polymarket!$A$25:$A$316,0))),"")</f>
        <v/>
      </c>
      <c r="C215" s="100">
        <f>IFERROR(IF(INDEX(Kalshi!$D$31:$D$501,MATCH($A215,Kalshi!$A$31:$A$501,0))=0,"",INDEX(Kalshi!$D$31:$D$501,MATCH($A215,Kalshi!$A$31:$A$501,0))),"")</f>
        <v/>
      </c>
      <c r="D215" s="18">
        <f>IF(AND(ISNUMBER(B215),ISNUMBER(C215)),B215-C215,"")</f>
        <v/>
      </c>
      <c r="E215" s="17">
        <f>IF(ISNUMBER(D215),ABS(D215),"")</f>
        <v/>
      </c>
      <c r="F215" s="100">
        <f>IFERROR(IF(INDEX(Polymarket!$C$25:$C$316,MATCH($A215,Polymarket!$A$25:$A$316,0))=0,"",INDEX(Polymarket!$C$25:$C$316,MATCH($A215,Polymarket!$A$25:$A$316,0))),"")</f>
        <v/>
      </c>
      <c r="G215" s="100">
        <f>IFERROR(IF(INDEX(Kalshi!$G$31:$G$501,MATCH($A215,Kalshi!$A$31:$A$501,0))=0,"",INDEX(Kalshi!$G$31:$G$501,MATCH($A215,Kalshi!$A$31:$A$501,0))),"")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IFERROR(IF(INDEX(Polymarket!$B$25:$B$316,MATCH($A216,Polymarket!$A$25:$A$316,0))=0,"",INDEX(Polymarket!$B$25:$B$316,MATCH($A216,Polymarket!$A$25:$A$316,0))),"")</f>
        <v/>
      </c>
      <c r="C216" s="101">
        <f>IFERROR(IF(INDEX(Kalshi!$D$31:$D$501,MATCH($A216,Kalshi!$A$31:$A$501,0))=0,"",INDEX(Kalshi!$D$31:$D$501,MATCH($A216,Kalshi!$A$31:$A$501,0))),"")</f>
        <v/>
      </c>
      <c r="D216" s="31">
        <f>IF(AND(ISNUMBER(B216),ISNUMBER(C216)),B216-C216,"")</f>
        <v/>
      </c>
      <c r="E216" s="29">
        <f>IF(ISNUMBER(D216),ABS(D216),"")</f>
        <v/>
      </c>
      <c r="F216" s="101">
        <f>IFERROR(IF(INDEX(Polymarket!$C$25:$C$316,MATCH($A216,Polymarket!$A$25:$A$316,0))=0,"",INDEX(Polymarket!$C$25:$C$316,MATCH($A216,Polymarket!$A$25:$A$316,0))),"")</f>
        <v/>
      </c>
      <c r="G216" s="101">
        <f>IFERROR(IF(INDEX(Kalshi!$G$31:$G$501,MATCH($A216,Kalshi!$A$31:$A$501,0))=0,"",INDEX(Kalshi!$G$31:$G$501,MATCH($A216,Kalshi!$A$31:$A$501,0))),"")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IFERROR(IF(INDEX(Polymarket!$B$25:$B$316,MATCH($A217,Polymarket!$A$25:$A$316,0))=0,"",INDEX(Polymarket!$B$25:$B$316,MATCH($A217,Polymarket!$A$25:$A$316,0))),"")</f>
        <v/>
      </c>
      <c r="C217" s="100">
        <f>IFERROR(IF(INDEX(Kalshi!$D$31:$D$501,MATCH($A217,Kalshi!$A$31:$A$501,0))=0,"",INDEX(Kalshi!$D$31:$D$501,MATCH($A217,Kalshi!$A$31:$A$501,0))),"")</f>
        <v/>
      </c>
      <c r="D217" s="18">
        <f>IF(AND(ISNUMBER(B217),ISNUMBER(C217)),B217-C217,"")</f>
        <v/>
      </c>
      <c r="E217" s="17">
        <f>IF(ISNUMBER(D217),ABS(D217),"")</f>
        <v/>
      </c>
      <c r="F217" s="100">
        <f>IFERROR(IF(INDEX(Polymarket!$C$25:$C$316,MATCH($A217,Polymarket!$A$25:$A$316,0))=0,"",INDEX(Polymarket!$C$25:$C$316,MATCH($A217,Polymarket!$A$25:$A$316,0))),"")</f>
        <v/>
      </c>
      <c r="G217" s="100">
        <f>IFERROR(IF(INDEX(Kalshi!$G$31:$G$501,MATCH($A217,Kalshi!$A$31:$A$501,0))=0,"",INDEX(Kalshi!$G$31:$G$501,MATCH($A217,Kalshi!$A$31:$A$501,0))),"")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IFERROR(IF(INDEX(Polymarket!$B$25:$B$316,MATCH($A218,Polymarket!$A$25:$A$316,0))=0,"",INDEX(Polymarket!$B$25:$B$316,MATCH($A218,Polymarket!$A$25:$A$316,0))),"")</f>
        <v/>
      </c>
      <c r="C218" s="101">
        <f>IFERROR(IF(INDEX(Kalshi!$D$31:$D$501,MATCH($A218,Kalshi!$A$31:$A$501,0))=0,"",INDEX(Kalshi!$D$31:$D$501,MATCH($A218,Kalshi!$A$31:$A$501,0))),"")</f>
        <v/>
      </c>
      <c r="D218" s="31">
        <f>IF(AND(ISNUMBER(B218),ISNUMBER(C218)),B218-C218,"")</f>
        <v/>
      </c>
      <c r="E218" s="29">
        <f>IF(ISNUMBER(D218),ABS(D218),"")</f>
        <v/>
      </c>
      <c r="F218" s="101">
        <f>IFERROR(IF(INDEX(Polymarket!$C$25:$C$316,MATCH($A218,Polymarket!$A$25:$A$316,0))=0,"",INDEX(Polymarket!$C$25:$C$316,MATCH($A218,Polymarket!$A$25:$A$316,0))),"")</f>
        <v/>
      </c>
      <c r="G218" s="101">
        <f>IFERROR(IF(INDEX(Kalshi!$G$31:$G$501,MATCH($A218,Kalshi!$A$31:$A$501,0))=0,"",INDEX(Kalshi!$G$31:$G$501,MATCH($A218,Kalshi!$A$31:$A$501,0))),"")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IFERROR(IF(INDEX(Polymarket!$B$25:$B$316,MATCH($A219,Polymarket!$A$25:$A$316,0))=0,"",INDEX(Polymarket!$B$25:$B$316,MATCH($A219,Polymarket!$A$25:$A$316,0))),"")</f>
        <v/>
      </c>
      <c r="C219" s="100">
        <f>IFERROR(IF(INDEX(Kalshi!$D$31:$D$501,MATCH($A219,Kalshi!$A$31:$A$501,0))=0,"",INDEX(Kalshi!$D$31:$D$501,MATCH($A219,Kalshi!$A$31:$A$501,0))),"")</f>
        <v/>
      </c>
      <c r="D219" s="18">
        <f>IF(AND(ISNUMBER(B219),ISNUMBER(C219)),B219-C219,"")</f>
        <v/>
      </c>
      <c r="E219" s="17">
        <f>IF(ISNUMBER(D219),ABS(D219),"")</f>
        <v/>
      </c>
      <c r="F219" s="100">
        <f>IFERROR(IF(INDEX(Polymarket!$C$25:$C$316,MATCH($A219,Polymarket!$A$25:$A$316,0))=0,"",INDEX(Polymarket!$C$25:$C$316,MATCH($A219,Polymarket!$A$25:$A$316,0))),"")</f>
        <v/>
      </c>
      <c r="G219" s="100">
        <f>IFERROR(IF(INDEX(Kalshi!$G$31:$G$501,MATCH($A219,Kalshi!$A$31:$A$501,0))=0,"",INDEX(Kalshi!$G$31:$G$501,MATCH($A219,Kalshi!$A$31:$A$501,0))),"")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IFERROR(IF(INDEX(Polymarket!$B$25:$B$316,MATCH($A220,Polymarket!$A$25:$A$316,0))=0,"",INDEX(Polymarket!$B$25:$B$316,MATCH($A220,Polymarket!$A$25:$A$316,0))),"")</f>
        <v/>
      </c>
      <c r="C220" s="101">
        <f>IFERROR(IF(INDEX(Kalshi!$D$31:$D$501,MATCH($A220,Kalshi!$A$31:$A$501,0))=0,"",INDEX(Kalshi!$D$31:$D$501,MATCH($A220,Kalshi!$A$31:$A$501,0))),"")</f>
        <v/>
      </c>
      <c r="D220" s="31">
        <f>IF(AND(ISNUMBER(B220),ISNUMBER(C220)),B220-C220,"")</f>
        <v/>
      </c>
      <c r="E220" s="29">
        <f>IF(ISNUMBER(D220),ABS(D220),"")</f>
        <v/>
      </c>
      <c r="F220" s="101">
        <f>IFERROR(IF(INDEX(Polymarket!$C$25:$C$316,MATCH($A220,Polymarket!$A$25:$A$316,0))=0,"",INDEX(Polymarket!$C$25:$C$316,MATCH($A220,Polymarket!$A$25:$A$316,0))),"")</f>
        <v/>
      </c>
      <c r="G220" s="101">
        <f>IFERROR(IF(INDEX(Kalshi!$G$31:$G$501,MATCH($A220,Kalshi!$A$31:$A$501,0))=0,"",INDEX(Kalshi!$G$31:$G$501,MATCH($A220,Kalshi!$A$31:$A$501,0))),"")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IFERROR(IF(INDEX(Polymarket!$B$25:$B$316,MATCH($A221,Polymarket!$A$25:$A$316,0))=0,"",INDEX(Polymarket!$B$25:$B$316,MATCH($A221,Polymarket!$A$25:$A$316,0))),"")</f>
        <v/>
      </c>
      <c r="C221" s="100">
        <f>IFERROR(IF(INDEX(Kalshi!$D$31:$D$501,MATCH($A221,Kalshi!$A$31:$A$501,0))=0,"",INDEX(Kalshi!$D$31:$D$501,MATCH($A221,Kalshi!$A$31:$A$501,0))),"")</f>
        <v/>
      </c>
      <c r="D221" s="18">
        <f>IF(AND(ISNUMBER(B221),ISNUMBER(C221)),B221-C221,"")</f>
        <v/>
      </c>
      <c r="E221" s="17">
        <f>IF(ISNUMBER(D221),ABS(D221),"")</f>
        <v/>
      </c>
      <c r="F221" s="100">
        <f>IFERROR(IF(INDEX(Polymarket!$C$25:$C$316,MATCH($A221,Polymarket!$A$25:$A$316,0))=0,"",INDEX(Polymarket!$C$25:$C$316,MATCH($A221,Polymarket!$A$25:$A$316,0))),"")</f>
        <v/>
      </c>
      <c r="G221" s="100">
        <f>IFERROR(IF(INDEX(Kalshi!$G$31:$G$501,MATCH($A221,Kalshi!$A$31:$A$501,0))=0,"",INDEX(Kalshi!$G$31:$G$501,MATCH($A221,Kalshi!$A$31:$A$501,0))),"")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IFERROR(IF(INDEX(Polymarket!$B$25:$B$316,MATCH($A222,Polymarket!$A$25:$A$316,0))=0,"",INDEX(Polymarket!$B$25:$B$316,MATCH($A222,Polymarket!$A$25:$A$316,0))),"")</f>
        <v/>
      </c>
      <c r="C222" s="101">
        <f>IFERROR(IF(INDEX(Kalshi!$D$31:$D$501,MATCH($A222,Kalshi!$A$31:$A$501,0))=0,"",INDEX(Kalshi!$D$31:$D$501,MATCH($A222,Kalshi!$A$31:$A$501,0))),"")</f>
        <v/>
      </c>
      <c r="D222" s="31">
        <f>IF(AND(ISNUMBER(B222),ISNUMBER(C222)),B222-C222,"")</f>
        <v/>
      </c>
      <c r="E222" s="29">
        <f>IF(ISNUMBER(D222),ABS(D222),"")</f>
        <v/>
      </c>
      <c r="F222" s="101">
        <f>IFERROR(IF(INDEX(Polymarket!$C$25:$C$316,MATCH($A222,Polymarket!$A$25:$A$316,0))=0,"",INDEX(Polymarket!$C$25:$C$316,MATCH($A222,Polymarket!$A$25:$A$316,0))),"")</f>
        <v/>
      </c>
      <c r="G222" s="101">
        <f>IFERROR(IF(INDEX(Kalshi!$G$31:$G$501,MATCH($A222,Kalshi!$A$31:$A$501,0))=0,"",INDEX(Kalshi!$G$31:$G$501,MATCH($A222,Kalshi!$A$31:$A$501,0))),"")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IFERROR(IF(INDEX(Polymarket!$B$25:$B$316,MATCH($A223,Polymarket!$A$25:$A$316,0))=0,"",INDEX(Polymarket!$B$25:$B$316,MATCH($A223,Polymarket!$A$25:$A$316,0))),"")</f>
        <v/>
      </c>
      <c r="C223" s="100">
        <f>IFERROR(IF(INDEX(Kalshi!$D$31:$D$501,MATCH($A223,Kalshi!$A$31:$A$501,0))=0,"",INDEX(Kalshi!$D$31:$D$501,MATCH($A223,Kalshi!$A$31:$A$501,0))),"")</f>
        <v/>
      </c>
      <c r="D223" s="18">
        <f>IF(AND(ISNUMBER(B223),ISNUMBER(C223)),B223-C223,"")</f>
        <v/>
      </c>
      <c r="E223" s="17">
        <f>IF(ISNUMBER(D223),ABS(D223),"")</f>
        <v/>
      </c>
      <c r="F223" s="100">
        <f>IFERROR(IF(INDEX(Polymarket!$C$25:$C$316,MATCH($A223,Polymarket!$A$25:$A$316,0))=0,"",INDEX(Polymarket!$C$25:$C$316,MATCH($A223,Polymarket!$A$25:$A$316,0))),"")</f>
        <v/>
      </c>
      <c r="G223" s="100">
        <f>IFERROR(IF(INDEX(Kalshi!$G$31:$G$501,MATCH($A223,Kalshi!$A$31:$A$501,0))=0,"",INDEX(Kalshi!$G$31:$G$501,MATCH($A223,Kalshi!$A$31:$A$501,0))),"")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IFERROR(IF(INDEX(Polymarket!$B$25:$B$316,MATCH($A224,Polymarket!$A$25:$A$316,0))=0,"",INDEX(Polymarket!$B$25:$B$316,MATCH($A224,Polymarket!$A$25:$A$316,0))),"")</f>
        <v/>
      </c>
      <c r="C224" s="101">
        <f>IFERROR(IF(INDEX(Kalshi!$D$31:$D$501,MATCH($A224,Kalshi!$A$31:$A$501,0))=0,"",INDEX(Kalshi!$D$31:$D$501,MATCH($A224,Kalshi!$A$31:$A$501,0))),"")</f>
        <v/>
      </c>
      <c r="D224" s="31">
        <f>IF(AND(ISNUMBER(B224),ISNUMBER(C224)),B224-C224,"")</f>
        <v/>
      </c>
      <c r="E224" s="29">
        <f>IF(ISNUMBER(D224),ABS(D224),"")</f>
        <v/>
      </c>
      <c r="F224" s="101">
        <f>IFERROR(IF(INDEX(Polymarket!$C$25:$C$316,MATCH($A224,Polymarket!$A$25:$A$316,0))=0,"",INDEX(Polymarket!$C$25:$C$316,MATCH($A224,Polymarket!$A$25:$A$316,0))),"")</f>
        <v/>
      </c>
      <c r="G224" s="101">
        <f>IFERROR(IF(INDEX(Kalshi!$G$31:$G$501,MATCH($A224,Kalshi!$A$31:$A$501,0))=0,"",INDEX(Kalshi!$G$31:$G$501,MATCH($A224,Kalshi!$A$31:$A$501,0))),"")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IFERROR(IF(INDEX(Polymarket!$B$25:$B$316,MATCH($A225,Polymarket!$A$25:$A$316,0))=0,"",INDEX(Polymarket!$B$25:$B$316,MATCH($A225,Polymarket!$A$25:$A$316,0))),"")</f>
        <v/>
      </c>
      <c r="C225" s="100">
        <f>IFERROR(IF(INDEX(Kalshi!$D$31:$D$501,MATCH($A225,Kalshi!$A$31:$A$501,0))=0,"",INDEX(Kalshi!$D$31:$D$501,MATCH($A225,Kalshi!$A$31:$A$501,0))),"")</f>
        <v/>
      </c>
      <c r="D225" s="18">
        <f>IF(AND(ISNUMBER(B225),ISNUMBER(C225)),B225-C225,"")</f>
        <v/>
      </c>
      <c r="E225" s="17">
        <f>IF(ISNUMBER(D225),ABS(D225),"")</f>
        <v/>
      </c>
      <c r="F225" s="100">
        <f>IFERROR(IF(INDEX(Polymarket!$C$25:$C$316,MATCH($A225,Polymarket!$A$25:$A$316,0))=0,"",INDEX(Polymarket!$C$25:$C$316,MATCH($A225,Polymarket!$A$25:$A$316,0))),"")</f>
        <v/>
      </c>
      <c r="G225" s="100">
        <f>IFERROR(IF(INDEX(Kalshi!$G$31:$G$501,MATCH($A225,Kalshi!$A$31:$A$501,0))=0,"",INDEX(Kalshi!$G$31:$G$501,MATCH($A225,Kalshi!$A$31:$A$501,0))),"")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IFERROR(IF(INDEX(Polymarket!$B$25:$B$316,MATCH($A226,Polymarket!$A$25:$A$316,0))=0,"",INDEX(Polymarket!$B$25:$B$316,MATCH($A226,Polymarket!$A$25:$A$316,0))),"")</f>
        <v/>
      </c>
      <c r="C226" s="101">
        <f>IFERROR(IF(INDEX(Kalshi!$D$31:$D$501,MATCH($A226,Kalshi!$A$31:$A$501,0))=0,"",INDEX(Kalshi!$D$31:$D$501,MATCH($A226,Kalshi!$A$31:$A$501,0))),"")</f>
        <v/>
      </c>
      <c r="D226" s="31">
        <f>IF(AND(ISNUMBER(B226),ISNUMBER(C226)),B226-C226,"")</f>
        <v/>
      </c>
      <c r="E226" s="29">
        <f>IF(ISNUMBER(D226),ABS(D226),"")</f>
        <v/>
      </c>
      <c r="F226" s="101">
        <f>IFERROR(IF(INDEX(Polymarket!$C$25:$C$316,MATCH($A226,Polymarket!$A$25:$A$316,0))=0,"",INDEX(Polymarket!$C$25:$C$316,MATCH($A226,Polymarket!$A$25:$A$316,0))),"")</f>
        <v/>
      </c>
      <c r="G226" s="101">
        <f>IFERROR(IF(INDEX(Kalshi!$G$31:$G$501,MATCH($A226,Kalshi!$A$31:$A$501,0))=0,"",INDEX(Kalshi!$G$31:$G$501,MATCH($A226,Kalshi!$A$31:$A$501,0))),"")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IFERROR(IF(INDEX(Polymarket!$B$25:$B$316,MATCH($A227,Polymarket!$A$25:$A$316,0))=0,"",INDEX(Polymarket!$B$25:$B$316,MATCH($A227,Polymarket!$A$25:$A$316,0))),"")</f>
        <v/>
      </c>
      <c r="C227" s="100">
        <f>IFERROR(IF(INDEX(Kalshi!$D$31:$D$501,MATCH($A227,Kalshi!$A$31:$A$501,0))=0,"",INDEX(Kalshi!$D$31:$D$501,MATCH($A227,Kalshi!$A$31:$A$501,0))),"")</f>
        <v/>
      </c>
      <c r="D227" s="18">
        <f>IF(AND(ISNUMBER(B227),ISNUMBER(C227)),B227-C227,"")</f>
        <v/>
      </c>
      <c r="E227" s="17">
        <f>IF(ISNUMBER(D227),ABS(D227),"")</f>
        <v/>
      </c>
      <c r="F227" s="100">
        <f>IFERROR(IF(INDEX(Polymarket!$C$25:$C$316,MATCH($A227,Polymarket!$A$25:$A$316,0))=0,"",INDEX(Polymarket!$C$25:$C$316,MATCH($A227,Polymarket!$A$25:$A$316,0))),"")</f>
        <v/>
      </c>
      <c r="G227" s="100">
        <f>IFERROR(IF(INDEX(Kalshi!$G$31:$G$501,MATCH($A227,Kalshi!$A$31:$A$501,0))=0,"",INDEX(Kalshi!$G$31:$G$501,MATCH($A227,Kalshi!$A$31:$A$501,0))),"")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IFERROR(IF(INDEX(Polymarket!$B$25:$B$316,MATCH($A228,Polymarket!$A$25:$A$316,0))=0,"",INDEX(Polymarket!$B$25:$B$316,MATCH($A228,Polymarket!$A$25:$A$316,0))),"")</f>
        <v/>
      </c>
      <c r="C228" s="101">
        <f>IFERROR(IF(INDEX(Kalshi!$D$31:$D$501,MATCH($A228,Kalshi!$A$31:$A$501,0))=0,"",INDEX(Kalshi!$D$31:$D$501,MATCH($A228,Kalshi!$A$31:$A$501,0))),"")</f>
        <v/>
      </c>
      <c r="D228" s="31">
        <f>IF(AND(ISNUMBER(B228),ISNUMBER(C228)),B228-C228,"")</f>
        <v/>
      </c>
      <c r="E228" s="29">
        <f>IF(ISNUMBER(D228),ABS(D228),"")</f>
        <v/>
      </c>
      <c r="F228" s="101">
        <f>IFERROR(IF(INDEX(Polymarket!$C$25:$C$316,MATCH($A228,Polymarket!$A$25:$A$316,0))=0,"",INDEX(Polymarket!$C$25:$C$316,MATCH($A228,Polymarket!$A$25:$A$316,0))),"")</f>
        <v/>
      </c>
      <c r="G228" s="101">
        <f>IFERROR(IF(INDEX(Kalshi!$G$31:$G$501,MATCH($A228,Kalshi!$A$31:$A$501,0))=0,"",INDEX(Kalshi!$G$31:$G$501,MATCH($A228,Kalshi!$A$31:$A$501,0))),"")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IFERROR(IF(INDEX(Polymarket!$B$25:$B$316,MATCH($A229,Polymarket!$A$25:$A$316,0))=0,"",INDEX(Polymarket!$B$25:$B$316,MATCH($A229,Polymarket!$A$25:$A$316,0))),"")</f>
        <v/>
      </c>
      <c r="C229" s="100">
        <f>IFERROR(IF(INDEX(Kalshi!$D$31:$D$501,MATCH($A229,Kalshi!$A$31:$A$501,0))=0,"",INDEX(Kalshi!$D$31:$D$501,MATCH($A229,Kalshi!$A$31:$A$501,0))),"")</f>
        <v/>
      </c>
      <c r="D229" s="18">
        <f>IF(AND(ISNUMBER(B229),ISNUMBER(C229)),B229-C229,"")</f>
        <v/>
      </c>
      <c r="E229" s="17">
        <f>IF(ISNUMBER(D229),ABS(D229),"")</f>
        <v/>
      </c>
      <c r="F229" s="100">
        <f>IFERROR(IF(INDEX(Polymarket!$C$25:$C$316,MATCH($A229,Polymarket!$A$25:$A$316,0))=0,"",INDEX(Polymarket!$C$25:$C$316,MATCH($A229,Polymarket!$A$25:$A$316,0))),"")</f>
        <v/>
      </c>
      <c r="G229" s="100">
        <f>IFERROR(IF(INDEX(Kalshi!$G$31:$G$501,MATCH($A229,Kalshi!$A$31:$A$501,0))=0,"",INDEX(Kalshi!$G$31:$G$501,MATCH($A229,Kalshi!$A$31:$A$501,0))),"")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IFERROR(IF(INDEX(Polymarket!$B$25:$B$316,MATCH($A230,Polymarket!$A$25:$A$316,0))=0,"",INDEX(Polymarket!$B$25:$B$316,MATCH($A230,Polymarket!$A$25:$A$316,0))),"")</f>
        <v/>
      </c>
      <c r="C230" s="101">
        <f>IFERROR(IF(INDEX(Kalshi!$D$31:$D$501,MATCH($A230,Kalshi!$A$31:$A$501,0))=0,"",INDEX(Kalshi!$D$31:$D$501,MATCH($A230,Kalshi!$A$31:$A$501,0))),"")</f>
        <v/>
      </c>
      <c r="D230" s="31">
        <f>IF(AND(ISNUMBER(B230),ISNUMBER(C230)),B230-C230,"")</f>
        <v/>
      </c>
      <c r="E230" s="29">
        <f>IF(ISNUMBER(D230),ABS(D230),"")</f>
        <v/>
      </c>
      <c r="F230" s="101">
        <f>IFERROR(IF(INDEX(Polymarket!$C$25:$C$316,MATCH($A230,Polymarket!$A$25:$A$316,0))=0,"",INDEX(Polymarket!$C$25:$C$316,MATCH($A230,Polymarket!$A$25:$A$316,0))),"")</f>
        <v/>
      </c>
      <c r="G230" s="101">
        <f>IFERROR(IF(INDEX(Kalshi!$G$31:$G$501,MATCH($A230,Kalshi!$A$31:$A$501,0))=0,"",INDEX(Kalshi!$G$31:$G$501,MATCH($A230,Kalshi!$A$31:$A$501,0))),"")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IFERROR(IF(INDEX(Polymarket!$B$25:$B$316,MATCH($A231,Polymarket!$A$25:$A$316,0))=0,"",INDEX(Polymarket!$B$25:$B$316,MATCH($A231,Polymarket!$A$25:$A$316,0))),"")</f>
        <v/>
      </c>
      <c r="C231" s="100">
        <f>IFERROR(IF(INDEX(Kalshi!$D$31:$D$501,MATCH($A231,Kalshi!$A$31:$A$501,0))=0,"",INDEX(Kalshi!$D$31:$D$501,MATCH($A231,Kalshi!$A$31:$A$501,0))),"")</f>
        <v/>
      </c>
      <c r="D231" s="18">
        <f>IF(AND(ISNUMBER(B231),ISNUMBER(C231)),B231-C231,"")</f>
        <v/>
      </c>
      <c r="E231" s="17">
        <f>IF(ISNUMBER(D231),ABS(D231),"")</f>
        <v/>
      </c>
      <c r="F231" s="100">
        <f>IFERROR(IF(INDEX(Polymarket!$C$25:$C$316,MATCH($A231,Polymarket!$A$25:$A$316,0))=0,"",INDEX(Polymarket!$C$25:$C$316,MATCH($A231,Polymarket!$A$25:$A$316,0))),"")</f>
        <v/>
      </c>
      <c r="G231" s="100">
        <f>IFERROR(IF(INDEX(Kalshi!$G$31:$G$501,MATCH($A231,Kalshi!$A$31:$A$501,0))=0,"",INDEX(Kalshi!$G$31:$G$501,MATCH($A231,Kalshi!$A$31:$A$501,0))),"")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IFERROR(IF(INDEX(Polymarket!$B$25:$B$316,MATCH($A232,Polymarket!$A$25:$A$316,0))=0,"",INDEX(Polymarket!$B$25:$B$316,MATCH($A232,Polymarket!$A$25:$A$316,0))),"")</f>
        <v/>
      </c>
      <c r="C232" s="101">
        <f>IFERROR(IF(INDEX(Kalshi!$D$31:$D$501,MATCH($A232,Kalshi!$A$31:$A$501,0))=0,"",INDEX(Kalshi!$D$31:$D$501,MATCH($A232,Kalshi!$A$31:$A$501,0))),"")</f>
        <v/>
      </c>
      <c r="D232" s="31">
        <f>IF(AND(ISNUMBER(B232),ISNUMBER(C232)),B232-C232,"")</f>
        <v/>
      </c>
      <c r="E232" s="29">
        <f>IF(ISNUMBER(D232),ABS(D232),"")</f>
        <v/>
      </c>
      <c r="F232" s="101">
        <f>IFERROR(IF(INDEX(Polymarket!$C$25:$C$316,MATCH($A232,Polymarket!$A$25:$A$316,0))=0,"",INDEX(Polymarket!$C$25:$C$316,MATCH($A232,Polymarket!$A$25:$A$316,0))),"")</f>
        <v/>
      </c>
      <c r="G232" s="101">
        <f>IFERROR(IF(INDEX(Kalshi!$G$31:$G$501,MATCH($A232,Kalshi!$A$31:$A$501,0))=0,"",INDEX(Kalshi!$G$31:$G$501,MATCH($A232,Kalshi!$A$31:$A$501,0))),"")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IFERROR(IF(INDEX(Polymarket!$B$25:$B$316,MATCH($A233,Polymarket!$A$25:$A$316,0))=0,"",INDEX(Polymarket!$B$25:$B$316,MATCH($A233,Polymarket!$A$25:$A$316,0))),"")</f>
        <v/>
      </c>
      <c r="C233" s="100">
        <f>IFERROR(IF(INDEX(Kalshi!$D$31:$D$501,MATCH($A233,Kalshi!$A$31:$A$501,0))=0,"",INDEX(Kalshi!$D$31:$D$501,MATCH($A233,Kalshi!$A$31:$A$501,0))),"")</f>
        <v/>
      </c>
      <c r="D233" s="18">
        <f>IF(AND(ISNUMBER(B233),ISNUMBER(C233)),B233-C233,"")</f>
        <v/>
      </c>
      <c r="E233" s="17">
        <f>IF(ISNUMBER(D233),ABS(D233),"")</f>
        <v/>
      </c>
      <c r="F233" s="100">
        <f>IFERROR(IF(INDEX(Polymarket!$C$25:$C$316,MATCH($A233,Polymarket!$A$25:$A$316,0))=0,"",INDEX(Polymarket!$C$25:$C$316,MATCH($A233,Polymarket!$A$25:$A$316,0))),"")</f>
        <v/>
      </c>
      <c r="G233" s="100">
        <f>IFERROR(IF(INDEX(Kalshi!$G$31:$G$501,MATCH($A233,Kalshi!$A$31:$A$501,0))=0,"",INDEX(Kalshi!$G$31:$G$501,MATCH($A233,Kalshi!$A$31:$A$501,0))),"")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IFERROR(IF(INDEX(Polymarket!$B$25:$B$316,MATCH($A234,Polymarket!$A$25:$A$316,0))=0,"",INDEX(Polymarket!$B$25:$B$316,MATCH($A234,Polymarket!$A$25:$A$316,0))),"")</f>
        <v/>
      </c>
      <c r="C234" s="101">
        <f>IFERROR(IF(INDEX(Kalshi!$D$31:$D$501,MATCH($A234,Kalshi!$A$31:$A$501,0))=0,"",INDEX(Kalshi!$D$31:$D$501,MATCH($A234,Kalshi!$A$31:$A$501,0))),"")</f>
        <v/>
      </c>
      <c r="D234" s="31">
        <f>IF(AND(ISNUMBER(B234),ISNUMBER(C234)),B234-C234,"")</f>
        <v/>
      </c>
      <c r="E234" s="29">
        <f>IF(ISNUMBER(D234),ABS(D234),"")</f>
        <v/>
      </c>
      <c r="F234" s="101">
        <f>IFERROR(IF(INDEX(Polymarket!$C$25:$C$316,MATCH($A234,Polymarket!$A$25:$A$316,0))=0,"",INDEX(Polymarket!$C$25:$C$316,MATCH($A234,Polymarket!$A$25:$A$316,0))),"")</f>
        <v/>
      </c>
      <c r="G234" s="101">
        <f>IFERROR(IF(INDEX(Kalshi!$G$31:$G$501,MATCH($A234,Kalshi!$A$31:$A$501,0))=0,"",INDEX(Kalshi!$G$31:$G$501,MATCH($A234,Kalshi!$A$31:$A$501,0))),"")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IFERROR(IF(INDEX(Polymarket!$B$25:$B$316,MATCH($A235,Polymarket!$A$25:$A$316,0))=0,"",INDEX(Polymarket!$B$25:$B$316,MATCH($A235,Polymarket!$A$25:$A$316,0))),"")</f>
        <v/>
      </c>
      <c r="C235" s="100">
        <f>IFERROR(IF(INDEX(Kalshi!$D$31:$D$501,MATCH($A235,Kalshi!$A$31:$A$501,0))=0,"",INDEX(Kalshi!$D$31:$D$501,MATCH($A235,Kalshi!$A$31:$A$501,0))),"")</f>
        <v/>
      </c>
      <c r="D235" s="18">
        <f>IF(AND(ISNUMBER(B235),ISNUMBER(C235)),B235-C235,"")</f>
        <v/>
      </c>
      <c r="E235" s="17">
        <f>IF(ISNUMBER(D235),ABS(D235),"")</f>
        <v/>
      </c>
      <c r="F235" s="100">
        <f>IFERROR(IF(INDEX(Polymarket!$C$25:$C$316,MATCH($A235,Polymarket!$A$25:$A$316,0))=0,"",INDEX(Polymarket!$C$25:$C$316,MATCH($A235,Polymarket!$A$25:$A$316,0))),"")</f>
        <v/>
      </c>
      <c r="G235" s="100">
        <f>IFERROR(IF(INDEX(Kalshi!$G$31:$G$501,MATCH($A235,Kalshi!$A$31:$A$501,0))=0,"",INDEX(Kalshi!$G$31:$G$501,MATCH($A235,Kalshi!$A$31:$A$501,0))),"")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IFERROR(IF(INDEX(Polymarket!$B$25:$B$316,MATCH($A236,Polymarket!$A$25:$A$316,0))=0,"",INDEX(Polymarket!$B$25:$B$316,MATCH($A236,Polymarket!$A$25:$A$316,0))),"")</f>
        <v/>
      </c>
      <c r="C236" s="101">
        <f>IFERROR(IF(INDEX(Kalshi!$D$31:$D$501,MATCH($A236,Kalshi!$A$31:$A$501,0))=0,"",INDEX(Kalshi!$D$31:$D$501,MATCH($A236,Kalshi!$A$31:$A$501,0))),"")</f>
        <v/>
      </c>
      <c r="D236" s="31">
        <f>IF(AND(ISNUMBER(B236),ISNUMBER(C236)),B236-C236,"")</f>
        <v/>
      </c>
      <c r="E236" s="29">
        <f>IF(ISNUMBER(D236),ABS(D236),"")</f>
        <v/>
      </c>
      <c r="F236" s="101">
        <f>IFERROR(IF(INDEX(Polymarket!$C$25:$C$316,MATCH($A236,Polymarket!$A$25:$A$316,0))=0,"",INDEX(Polymarket!$C$25:$C$316,MATCH($A236,Polymarket!$A$25:$A$316,0))),"")</f>
        <v/>
      </c>
      <c r="G236" s="101">
        <f>IFERROR(IF(INDEX(Kalshi!$G$31:$G$501,MATCH($A236,Kalshi!$A$31:$A$501,0))=0,"",INDEX(Kalshi!$G$31:$G$501,MATCH($A236,Kalshi!$A$31:$A$501,0))),"")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IFERROR(IF(INDEX(Polymarket!$B$25:$B$316,MATCH($A237,Polymarket!$A$25:$A$316,0))=0,"",INDEX(Polymarket!$B$25:$B$316,MATCH($A237,Polymarket!$A$25:$A$316,0))),"")</f>
        <v/>
      </c>
      <c r="C237" s="100">
        <f>IFERROR(IF(INDEX(Kalshi!$D$31:$D$501,MATCH($A237,Kalshi!$A$31:$A$501,0))=0,"",INDEX(Kalshi!$D$31:$D$501,MATCH($A237,Kalshi!$A$31:$A$501,0))),"")</f>
        <v/>
      </c>
      <c r="D237" s="18">
        <f>IF(AND(ISNUMBER(B237),ISNUMBER(C237)),B237-C237,"")</f>
        <v/>
      </c>
      <c r="E237" s="17">
        <f>IF(ISNUMBER(D237),ABS(D237),"")</f>
        <v/>
      </c>
      <c r="F237" s="100">
        <f>IFERROR(IF(INDEX(Polymarket!$C$25:$C$316,MATCH($A237,Polymarket!$A$25:$A$316,0))=0,"",INDEX(Polymarket!$C$25:$C$316,MATCH($A237,Polymarket!$A$25:$A$316,0))),"")</f>
        <v/>
      </c>
      <c r="G237" s="100">
        <f>IFERROR(IF(INDEX(Kalshi!$G$31:$G$501,MATCH($A237,Kalshi!$A$31:$A$501,0))=0,"",INDEX(Kalshi!$G$31:$G$501,MATCH($A237,Kalshi!$A$31:$A$501,0))),"")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IFERROR(IF(INDEX(Polymarket!$B$25:$B$316,MATCH($A238,Polymarket!$A$25:$A$316,0))=0,"",INDEX(Polymarket!$B$25:$B$316,MATCH($A238,Polymarket!$A$25:$A$316,0))),"")</f>
        <v/>
      </c>
      <c r="C238" s="101">
        <f>IFERROR(IF(INDEX(Kalshi!$D$31:$D$501,MATCH($A238,Kalshi!$A$31:$A$501,0))=0,"",INDEX(Kalshi!$D$31:$D$501,MATCH($A238,Kalshi!$A$31:$A$501,0))),"")</f>
        <v/>
      </c>
      <c r="D238" s="31">
        <f>IF(AND(ISNUMBER(B238),ISNUMBER(C238)),B238-C238,"")</f>
        <v/>
      </c>
      <c r="E238" s="29">
        <f>IF(ISNUMBER(D238),ABS(D238),"")</f>
        <v/>
      </c>
      <c r="F238" s="101">
        <f>IFERROR(IF(INDEX(Polymarket!$C$25:$C$316,MATCH($A238,Polymarket!$A$25:$A$316,0))=0,"",INDEX(Polymarket!$C$25:$C$316,MATCH($A238,Polymarket!$A$25:$A$316,0))),"")</f>
        <v/>
      </c>
      <c r="G238" s="101">
        <f>IFERROR(IF(INDEX(Kalshi!$G$31:$G$501,MATCH($A238,Kalshi!$A$31:$A$501,0))=0,"",INDEX(Kalshi!$G$31:$G$501,MATCH($A238,Kalshi!$A$31:$A$501,0))),"")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IFERROR(IF(INDEX(Polymarket!$B$25:$B$316,MATCH($A239,Polymarket!$A$25:$A$316,0))=0,"",INDEX(Polymarket!$B$25:$B$316,MATCH($A239,Polymarket!$A$25:$A$316,0))),"")</f>
        <v/>
      </c>
      <c r="C239" s="100">
        <f>IFERROR(IF(INDEX(Kalshi!$D$31:$D$501,MATCH($A239,Kalshi!$A$31:$A$501,0))=0,"",INDEX(Kalshi!$D$31:$D$501,MATCH($A239,Kalshi!$A$31:$A$501,0))),"")</f>
        <v/>
      </c>
      <c r="D239" s="18">
        <f>IF(AND(ISNUMBER(B239),ISNUMBER(C239)),B239-C239,"")</f>
        <v/>
      </c>
      <c r="E239" s="17">
        <f>IF(ISNUMBER(D239),ABS(D239),"")</f>
        <v/>
      </c>
      <c r="F239" s="100">
        <f>IFERROR(IF(INDEX(Polymarket!$C$25:$C$316,MATCH($A239,Polymarket!$A$25:$A$316,0))=0,"",INDEX(Polymarket!$C$25:$C$316,MATCH($A239,Polymarket!$A$25:$A$316,0))),"")</f>
        <v/>
      </c>
      <c r="G239" s="100">
        <f>IFERROR(IF(INDEX(Kalshi!$G$31:$G$501,MATCH($A239,Kalshi!$A$31:$A$501,0))=0,"",INDEX(Kalshi!$G$31:$G$501,MATCH($A239,Kalshi!$A$31:$A$501,0))),"")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IFERROR(IF(INDEX(Polymarket!$B$25:$B$316,MATCH($A240,Polymarket!$A$25:$A$316,0))=0,"",INDEX(Polymarket!$B$25:$B$316,MATCH($A240,Polymarket!$A$25:$A$316,0))),"")</f>
        <v/>
      </c>
      <c r="C240" s="101">
        <f>IFERROR(IF(INDEX(Kalshi!$D$31:$D$501,MATCH($A240,Kalshi!$A$31:$A$501,0))=0,"",INDEX(Kalshi!$D$31:$D$501,MATCH($A240,Kalshi!$A$31:$A$501,0))),"")</f>
        <v/>
      </c>
      <c r="D240" s="31">
        <f>IF(AND(ISNUMBER(B240),ISNUMBER(C240)),B240-C240,"")</f>
        <v/>
      </c>
      <c r="E240" s="29">
        <f>IF(ISNUMBER(D240),ABS(D240),"")</f>
        <v/>
      </c>
      <c r="F240" s="101">
        <f>IFERROR(IF(INDEX(Polymarket!$C$25:$C$316,MATCH($A240,Polymarket!$A$25:$A$316,0))=0,"",INDEX(Polymarket!$C$25:$C$316,MATCH($A240,Polymarket!$A$25:$A$316,0))),"")</f>
        <v/>
      </c>
      <c r="G240" s="101">
        <f>IFERROR(IF(INDEX(Kalshi!$G$31:$G$501,MATCH($A240,Kalshi!$A$31:$A$501,0))=0,"",INDEX(Kalshi!$G$31:$G$501,MATCH($A240,Kalshi!$A$31:$A$501,0))),"")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IFERROR(IF(INDEX(Polymarket!$B$25:$B$316,MATCH($A241,Polymarket!$A$25:$A$316,0))=0,"",INDEX(Polymarket!$B$25:$B$316,MATCH($A241,Polymarket!$A$25:$A$316,0))),"")</f>
        <v/>
      </c>
      <c r="C241" s="100">
        <f>IFERROR(IF(INDEX(Kalshi!$D$31:$D$501,MATCH($A241,Kalshi!$A$31:$A$501,0))=0,"",INDEX(Kalshi!$D$31:$D$501,MATCH($A241,Kalshi!$A$31:$A$501,0))),"")</f>
        <v/>
      </c>
      <c r="D241" s="18">
        <f>IF(AND(ISNUMBER(B241),ISNUMBER(C241)),B241-C241,"")</f>
        <v/>
      </c>
      <c r="E241" s="17">
        <f>IF(ISNUMBER(D241),ABS(D241),"")</f>
        <v/>
      </c>
      <c r="F241" s="100">
        <f>IFERROR(IF(INDEX(Polymarket!$C$25:$C$316,MATCH($A241,Polymarket!$A$25:$A$316,0))=0,"",INDEX(Polymarket!$C$25:$C$316,MATCH($A241,Polymarket!$A$25:$A$316,0))),"")</f>
        <v/>
      </c>
      <c r="G241" s="100">
        <f>IFERROR(IF(INDEX(Kalshi!$G$31:$G$501,MATCH($A241,Kalshi!$A$31:$A$501,0))=0,"",INDEX(Kalshi!$G$31:$G$501,MATCH($A241,Kalshi!$A$31:$A$501,0))),"")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IFERROR(IF(INDEX(Polymarket!$B$25:$B$316,MATCH($A242,Polymarket!$A$25:$A$316,0))=0,"",INDEX(Polymarket!$B$25:$B$316,MATCH($A242,Polymarket!$A$25:$A$316,0))),"")</f>
        <v/>
      </c>
      <c r="C242" s="101">
        <f>IFERROR(IF(INDEX(Kalshi!$D$31:$D$501,MATCH($A242,Kalshi!$A$31:$A$501,0))=0,"",INDEX(Kalshi!$D$31:$D$501,MATCH($A242,Kalshi!$A$31:$A$501,0))),"")</f>
        <v/>
      </c>
      <c r="D242" s="31">
        <f>IF(AND(ISNUMBER(B242),ISNUMBER(C242)),B242-C242,"")</f>
        <v/>
      </c>
      <c r="E242" s="29">
        <f>IF(ISNUMBER(D242),ABS(D242),"")</f>
        <v/>
      </c>
      <c r="F242" s="101">
        <f>IFERROR(IF(INDEX(Polymarket!$C$25:$C$316,MATCH($A242,Polymarket!$A$25:$A$316,0))=0,"",INDEX(Polymarket!$C$25:$C$316,MATCH($A242,Polymarket!$A$25:$A$316,0))),"")</f>
        <v/>
      </c>
      <c r="G242" s="101">
        <f>IFERROR(IF(INDEX(Kalshi!$G$31:$G$501,MATCH($A242,Kalshi!$A$31:$A$501,0))=0,"",INDEX(Kalshi!$G$31:$G$501,MATCH($A242,Kalshi!$A$31:$A$501,0))),"")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IFERROR(IF(INDEX(Polymarket!$B$25:$B$316,MATCH($A243,Polymarket!$A$25:$A$316,0))=0,"",INDEX(Polymarket!$B$25:$B$316,MATCH($A243,Polymarket!$A$25:$A$316,0))),"")</f>
        <v/>
      </c>
      <c r="C243" s="100">
        <f>IFERROR(IF(INDEX(Kalshi!$D$31:$D$501,MATCH($A243,Kalshi!$A$31:$A$501,0))=0,"",INDEX(Kalshi!$D$31:$D$501,MATCH($A243,Kalshi!$A$31:$A$501,0))),"")</f>
        <v/>
      </c>
      <c r="D243" s="18">
        <f>IF(AND(ISNUMBER(B243),ISNUMBER(C243)),B243-C243,"")</f>
        <v/>
      </c>
      <c r="E243" s="17">
        <f>IF(ISNUMBER(D243),ABS(D243),"")</f>
        <v/>
      </c>
      <c r="F243" s="100">
        <f>IFERROR(IF(INDEX(Polymarket!$C$25:$C$316,MATCH($A243,Polymarket!$A$25:$A$316,0))=0,"",INDEX(Polymarket!$C$25:$C$316,MATCH($A243,Polymarket!$A$25:$A$316,0))),"")</f>
        <v/>
      </c>
      <c r="G243" s="100">
        <f>IFERROR(IF(INDEX(Kalshi!$G$31:$G$501,MATCH($A243,Kalshi!$A$31:$A$501,0))=0,"",INDEX(Kalshi!$G$31:$G$501,MATCH($A243,Kalshi!$A$31:$A$501,0))),"")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IFERROR(IF(INDEX(Polymarket!$B$25:$B$316,MATCH($A244,Polymarket!$A$25:$A$316,0))=0,"",INDEX(Polymarket!$B$25:$B$316,MATCH($A244,Polymarket!$A$25:$A$316,0))),"")</f>
        <v/>
      </c>
      <c r="C244" s="101">
        <f>IFERROR(IF(INDEX(Kalshi!$D$31:$D$501,MATCH($A244,Kalshi!$A$31:$A$501,0))=0,"",INDEX(Kalshi!$D$31:$D$501,MATCH($A244,Kalshi!$A$31:$A$501,0))),"")</f>
        <v/>
      </c>
      <c r="D244" s="31">
        <f>IF(AND(ISNUMBER(B244),ISNUMBER(C244)),B244-C244,"")</f>
        <v/>
      </c>
      <c r="E244" s="29">
        <f>IF(ISNUMBER(D244),ABS(D244),"")</f>
        <v/>
      </c>
      <c r="F244" s="101">
        <f>IFERROR(IF(INDEX(Polymarket!$C$25:$C$316,MATCH($A244,Polymarket!$A$25:$A$316,0))=0,"",INDEX(Polymarket!$C$25:$C$316,MATCH($A244,Polymarket!$A$25:$A$316,0))),"")</f>
        <v/>
      </c>
      <c r="G244" s="101">
        <f>IFERROR(IF(INDEX(Kalshi!$G$31:$G$501,MATCH($A244,Kalshi!$A$31:$A$501,0))=0,"",INDEX(Kalshi!$G$31:$G$501,MATCH($A244,Kalshi!$A$31:$A$501,0))),"")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IFERROR(IF(INDEX(Polymarket!$B$25:$B$316,MATCH($A245,Polymarket!$A$25:$A$316,0))=0,"",INDEX(Polymarket!$B$25:$B$316,MATCH($A245,Polymarket!$A$25:$A$316,0))),"")</f>
        <v/>
      </c>
      <c r="C245" s="100">
        <f>IFERROR(IF(INDEX(Kalshi!$D$31:$D$501,MATCH($A245,Kalshi!$A$31:$A$501,0))=0,"",INDEX(Kalshi!$D$31:$D$501,MATCH($A245,Kalshi!$A$31:$A$501,0))),"")</f>
        <v/>
      </c>
      <c r="D245" s="18">
        <f>IF(AND(ISNUMBER(B245),ISNUMBER(C245)),B245-C245,"")</f>
        <v/>
      </c>
      <c r="E245" s="17">
        <f>IF(ISNUMBER(D245),ABS(D245),"")</f>
        <v/>
      </c>
      <c r="F245" s="100">
        <f>IFERROR(IF(INDEX(Polymarket!$C$25:$C$316,MATCH($A245,Polymarket!$A$25:$A$316,0))=0,"",INDEX(Polymarket!$C$25:$C$316,MATCH($A245,Polymarket!$A$25:$A$316,0))),"")</f>
        <v/>
      </c>
      <c r="G245" s="100">
        <f>IFERROR(IF(INDEX(Kalshi!$G$31:$G$501,MATCH($A245,Kalshi!$A$31:$A$501,0))=0,"",INDEX(Kalshi!$G$31:$G$501,MATCH($A245,Kalshi!$A$31:$A$501,0))),"")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IFERROR(IF(INDEX(Polymarket!$B$25:$B$316,MATCH($A246,Polymarket!$A$25:$A$316,0))=0,"",INDEX(Polymarket!$B$25:$B$316,MATCH($A246,Polymarket!$A$25:$A$316,0))),"")</f>
        <v/>
      </c>
      <c r="C246" s="101">
        <f>IFERROR(IF(INDEX(Kalshi!$D$31:$D$501,MATCH($A246,Kalshi!$A$31:$A$501,0))=0,"",INDEX(Kalshi!$D$31:$D$501,MATCH($A246,Kalshi!$A$31:$A$501,0))),"")</f>
        <v/>
      </c>
      <c r="D246" s="31">
        <f>IF(AND(ISNUMBER(B246),ISNUMBER(C246)),B246-C246,"")</f>
        <v/>
      </c>
      <c r="E246" s="29">
        <f>IF(ISNUMBER(D246),ABS(D246),"")</f>
        <v/>
      </c>
      <c r="F246" s="101">
        <f>IFERROR(IF(INDEX(Polymarket!$C$25:$C$316,MATCH($A246,Polymarket!$A$25:$A$316,0))=0,"",INDEX(Polymarket!$C$25:$C$316,MATCH($A246,Polymarket!$A$25:$A$316,0))),"")</f>
        <v/>
      </c>
      <c r="G246" s="101">
        <f>IFERROR(IF(INDEX(Kalshi!$G$31:$G$501,MATCH($A246,Kalshi!$A$31:$A$501,0))=0,"",INDEX(Kalshi!$G$31:$G$501,MATCH($A246,Kalshi!$A$31:$A$501,0))),"")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IFERROR(IF(INDEX(Polymarket!$B$25:$B$316,MATCH($A247,Polymarket!$A$25:$A$316,0))=0,"",INDEX(Polymarket!$B$25:$B$316,MATCH($A247,Polymarket!$A$25:$A$316,0))),"")</f>
        <v/>
      </c>
      <c r="C247" s="100">
        <f>IFERROR(IF(INDEX(Kalshi!$D$31:$D$501,MATCH($A247,Kalshi!$A$31:$A$501,0))=0,"",INDEX(Kalshi!$D$31:$D$501,MATCH($A247,Kalshi!$A$31:$A$501,0))),"")</f>
        <v/>
      </c>
      <c r="D247" s="18">
        <f>IF(AND(ISNUMBER(B247),ISNUMBER(C247)),B247-C247,"")</f>
        <v/>
      </c>
      <c r="E247" s="17">
        <f>IF(ISNUMBER(D247),ABS(D247),"")</f>
        <v/>
      </c>
      <c r="F247" s="100">
        <f>IFERROR(IF(INDEX(Polymarket!$C$25:$C$316,MATCH($A247,Polymarket!$A$25:$A$316,0))=0,"",INDEX(Polymarket!$C$25:$C$316,MATCH($A247,Polymarket!$A$25:$A$316,0))),"")</f>
        <v/>
      </c>
      <c r="G247" s="100">
        <f>IFERROR(IF(INDEX(Kalshi!$G$31:$G$501,MATCH($A247,Kalshi!$A$31:$A$501,0))=0,"",INDEX(Kalshi!$G$31:$G$501,MATCH($A247,Kalshi!$A$31:$A$501,0))),"")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IFERROR(IF(INDEX(Polymarket!$B$25:$B$316,MATCH($A248,Polymarket!$A$25:$A$316,0))=0,"",INDEX(Polymarket!$B$25:$B$316,MATCH($A248,Polymarket!$A$25:$A$316,0))),"")</f>
        <v/>
      </c>
      <c r="C248" s="101">
        <f>IFERROR(IF(INDEX(Kalshi!$D$31:$D$501,MATCH($A248,Kalshi!$A$31:$A$501,0))=0,"",INDEX(Kalshi!$D$31:$D$501,MATCH($A248,Kalshi!$A$31:$A$501,0))),"")</f>
        <v/>
      </c>
      <c r="D248" s="31">
        <f>IF(AND(ISNUMBER(B248),ISNUMBER(C248)),B248-C248,"")</f>
        <v/>
      </c>
      <c r="E248" s="29">
        <f>IF(ISNUMBER(D248),ABS(D248),"")</f>
        <v/>
      </c>
      <c r="F248" s="101">
        <f>IFERROR(IF(INDEX(Polymarket!$C$25:$C$316,MATCH($A248,Polymarket!$A$25:$A$316,0))=0,"",INDEX(Polymarket!$C$25:$C$316,MATCH($A248,Polymarket!$A$25:$A$316,0))),"")</f>
        <v/>
      </c>
      <c r="G248" s="101">
        <f>IFERROR(IF(INDEX(Kalshi!$G$31:$G$501,MATCH($A248,Kalshi!$A$31:$A$501,0))=0,"",INDEX(Kalshi!$G$31:$G$501,MATCH($A248,Kalshi!$A$31:$A$501,0))),"")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IFERROR(IF(INDEX(Polymarket!$B$25:$B$316,MATCH($A249,Polymarket!$A$25:$A$316,0))=0,"",INDEX(Polymarket!$B$25:$B$316,MATCH($A249,Polymarket!$A$25:$A$316,0))),"")</f>
        <v/>
      </c>
      <c r="C249" s="100">
        <f>IFERROR(IF(INDEX(Kalshi!$D$31:$D$501,MATCH($A249,Kalshi!$A$31:$A$501,0))=0,"",INDEX(Kalshi!$D$31:$D$501,MATCH($A249,Kalshi!$A$31:$A$501,0))),"")</f>
        <v/>
      </c>
      <c r="D249" s="18">
        <f>IF(AND(ISNUMBER(B249),ISNUMBER(C249)),B249-C249,"")</f>
        <v/>
      </c>
      <c r="E249" s="17">
        <f>IF(ISNUMBER(D249),ABS(D249),"")</f>
        <v/>
      </c>
      <c r="F249" s="100">
        <f>IFERROR(IF(INDEX(Polymarket!$C$25:$C$316,MATCH($A249,Polymarket!$A$25:$A$316,0))=0,"",INDEX(Polymarket!$C$25:$C$316,MATCH($A249,Polymarket!$A$25:$A$316,0))),"")</f>
        <v/>
      </c>
      <c r="G249" s="100">
        <f>IFERROR(IF(INDEX(Kalshi!$G$31:$G$501,MATCH($A249,Kalshi!$A$31:$A$501,0))=0,"",INDEX(Kalshi!$G$31:$G$501,MATCH($A249,Kalshi!$A$31:$A$501,0))),"")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IFERROR(IF(INDEX(Polymarket!$B$25:$B$316,MATCH($A250,Polymarket!$A$25:$A$316,0))=0,"",INDEX(Polymarket!$B$25:$B$316,MATCH($A250,Polymarket!$A$25:$A$316,0))),"")</f>
        <v/>
      </c>
      <c r="C250" s="101">
        <f>IFERROR(IF(INDEX(Kalshi!$D$31:$D$501,MATCH($A250,Kalshi!$A$31:$A$501,0))=0,"",INDEX(Kalshi!$D$31:$D$501,MATCH($A250,Kalshi!$A$31:$A$501,0))),"")</f>
        <v/>
      </c>
      <c r="D250" s="31">
        <f>IF(AND(ISNUMBER(B250),ISNUMBER(C250)),B250-C250,"")</f>
        <v/>
      </c>
      <c r="E250" s="29">
        <f>IF(ISNUMBER(D250),ABS(D250),"")</f>
        <v/>
      </c>
      <c r="F250" s="101">
        <f>IFERROR(IF(INDEX(Polymarket!$C$25:$C$316,MATCH($A250,Polymarket!$A$25:$A$316,0))=0,"",INDEX(Polymarket!$C$25:$C$316,MATCH($A250,Polymarket!$A$25:$A$316,0))),"")</f>
        <v/>
      </c>
      <c r="G250" s="101">
        <f>IFERROR(IF(INDEX(Kalshi!$G$31:$G$501,MATCH($A250,Kalshi!$A$31:$A$501,0))=0,"",INDEX(Kalshi!$G$31:$G$501,MATCH($A250,Kalshi!$A$31:$A$501,0))),"")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IFERROR(IF(INDEX(Polymarket!$B$25:$B$316,MATCH($A251,Polymarket!$A$25:$A$316,0))=0,"",INDEX(Polymarket!$B$25:$B$316,MATCH($A251,Polymarket!$A$25:$A$316,0))),"")</f>
        <v/>
      </c>
      <c r="C251" s="100">
        <f>IFERROR(IF(INDEX(Kalshi!$D$31:$D$501,MATCH($A251,Kalshi!$A$31:$A$501,0))=0,"",INDEX(Kalshi!$D$31:$D$501,MATCH($A251,Kalshi!$A$31:$A$501,0))),"")</f>
        <v/>
      </c>
      <c r="D251" s="18">
        <f>IF(AND(ISNUMBER(B251),ISNUMBER(C251)),B251-C251,"")</f>
        <v/>
      </c>
      <c r="E251" s="17">
        <f>IF(ISNUMBER(D251),ABS(D251),"")</f>
        <v/>
      </c>
      <c r="F251" s="100">
        <f>IFERROR(IF(INDEX(Polymarket!$C$25:$C$316,MATCH($A251,Polymarket!$A$25:$A$316,0))=0,"",INDEX(Polymarket!$C$25:$C$316,MATCH($A251,Polymarket!$A$25:$A$316,0))),"")</f>
        <v/>
      </c>
      <c r="G251" s="100">
        <f>IFERROR(IF(INDEX(Kalshi!$G$31:$G$501,MATCH($A251,Kalshi!$A$31:$A$501,0))=0,"",INDEX(Kalshi!$G$31:$G$501,MATCH($A251,Kalshi!$A$31:$A$501,0))),"")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IFERROR(IF(INDEX(Polymarket!$B$25:$B$316,MATCH($A252,Polymarket!$A$25:$A$316,0))=0,"",INDEX(Polymarket!$B$25:$B$316,MATCH($A252,Polymarket!$A$25:$A$316,0))),"")</f>
        <v/>
      </c>
      <c r="C252" s="101">
        <f>IFERROR(IF(INDEX(Kalshi!$D$31:$D$501,MATCH($A252,Kalshi!$A$31:$A$501,0))=0,"",INDEX(Kalshi!$D$31:$D$501,MATCH($A252,Kalshi!$A$31:$A$501,0))),"")</f>
        <v/>
      </c>
      <c r="D252" s="31">
        <f>IF(AND(ISNUMBER(B252),ISNUMBER(C252)),B252-C252,"")</f>
        <v/>
      </c>
      <c r="E252" s="29">
        <f>IF(ISNUMBER(D252),ABS(D252),"")</f>
        <v/>
      </c>
      <c r="F252" s="101">
        <f>IFERROR(IF(INDEX(Polymarket!$C$25:$C$316,MATCH($A252,Polymarket!$A$25:$A$316,0))=0,"",INDEX(Polymarket!$C$25:$C$316,MATCH($A252,Polymarket!$A$25:$A$316,0))),"")</f>
        <v/>
      </c>
      <c r="G252" s="101">
        <f>IFERROR(IF(INDEX(Kalshi!$G$31:$G$501,MATCH($A252,Kalshi!$A$31:$A$501,0))=0,"",INDEX(Kalshi!$G$31:$G$501,MATCH($A252,Kalshi!$A$31:$A$501,0))),"")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IFERROR(IF(INDEX(Polymarket!$B$25:$B$316,MATCH($A253,Polymarket!$A$25:$A$316,0))=0,"",INDEX(Polymarket!$B$25:$B$316,MATCH($A253,Polymarket!$A$25:$A$316,0))),"")</f>
        <v/>
      </c>
      <c r="C253" s="100">
        <f>IFERROR(IF(INDEX(Kalshi!$D$31:$D$501,MATCH($A253,Kalshi!$A$31:$A$501,0))=0,"",INDEX(Kalshi!$D$31:$D$501,MATCH($A253,Kalshi!$A$31:$A$501,0))),"")</f>
        <v/>
      </c>
      <c r="D253" s="18">
        <f>IF(AND(ISNUMBER(B253),ISNUMBER(C253)),B253-C253,"")</f>
        <v/>
      </c>
      <c r="E253" s="17">
        <f>IF(ISNUMBER(D253),ABS(D253),"")</f>
        <v/>
      </c>
      <c r="F253" s="100">
        <f>IFERROR(IF(INDEX(Polymarket!$C$25:$C$316,MATCH($A253,Polymarket!$A$25:$A$316,0))=0,"",INDEX(Polymarket!$C$25:$C$316,MATCH($A253,Polymarket!$A$25:$A$316,0))),"")</f>
        <v/>
      </c>
      <c r="G253" s="100">
        <f>IFERROR(IF(INDEX(Kalshi!$G$31:$G$501,MATCH($A253,Kalshi!$A$31:$A$501,0))=0,"",INDEX(Kalshi!$G$31:$G$501,MATCH($A253,Kalshi!$A$31:$A$501,0))),"")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IFERROR(IF(INDEX(Polymarket!$B$25:$B$316,MATCH($A254,Polymarket!$A$25:$A$316,0))=0,"",INDEX(Polymarket!$B$25:$B$316,MATCH($A254,Polymarket!$A$25:$A$316,0))),"")</f>
        <v/>
      </c>
      <c r="C254" s="101">
        <f>IFERROR(IF(INDEX(Kalshi!$D$31:$D$501,MATCH($A254,Kalshi!$A$31:$A$501,0))=0,"",INDEX(Kalshi!$D$31:$D$501,MATCH($A254,Kalshi!$A$31:$A$501,0))),"")</f>
        <v/>
      </c>
      <c r="D254" s="31">
        <f>IF(AND(ISNUMBER(B254),ISNUMBER(C254)),B254-C254,"")</f>
        <v/>
      </c>
      <c r="E254" s="29">
        <f>IF(ISNUMBER(D254),ABS(D254),"")</f>
        <v/>
      </c>
      <c r="F254" s="101">
        <f>IFERROR(IF(INDEX(Polymarket!$C$25:$C$316,MATCH($A254,Polymarket!$A$25:$A$316,0))=0,"",INDEX(Polymarket!$C$25:$C$316,MATCH($A254,Polymarket!$A$25:$A$316,0))),"")</f>
        <v/>
      </c>
      <c r="G254" s="101">
        <f>IFERROR(IF(INDEX(Kalshi!$G$31:$G$501,MATCH($A254,Kalshi!$A$31:$A$501,0))=0,"",INDEX(Kalshi!$G$31:$G$501,MATCH($A254,Kalshi!$A$31:$A$501,0))),"")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IFERROR(IF(INDEX(Polymarket!$B$25:$B$316,MATCH($A255,Polymarket!$A$25:$A$316,0))=0,"",INDEX(Polymarket!$B$25:$B$316,MATCH($A255,Polymarket!$A$25:$A$316,0))),"")</f>
        <v/>
      </c>
      <c r="C255" s="100">
        <f>IFERROR(IF(INDEX(Kalshi!$D$31:$D$501,MATCH($A255,Kalshi!$A$31:$A$501,0))=0,"",INDEX(Kalshi!$D$31:$D$501,MATCH($A255,Kalshi!$A$31:$A$501,0))),"")</f>
        <v/>
      </c>
      <c r="D255" s="18">
        <f>IF(AND(ISNUMBER(B255),ISNUMBER(C255)),B255-C255,"")</f>
        <v/>
      </c>
      <c r="E255" s="17">
        <f>IF(ISNUMBER(D255),ABS(D255),"")</f>
        <v/>
      </c>
      <c r="F255" s="100">
        <f>IFERROR(IF(INDEX(Polymarket!$C$25:$C$316,MATCH($A255,Polymarket!$A$25:$A$316,0))=0,"",INDEX(Polymarket!$C$25:$C$316,MATCH($A255,Polymarket!$A$25:$A$316,0))),"")</f>
        <v/>
      </c>
      <c r="G255" s="100">
        <f>IFERROR(IF(INDEX(Kalshi!$G$31:$G$501,MATCH($A255,Kalshi!$A$31:$A$501,0))=0,"",INDEX(Kalshi!$G$31:$G$501,MATCH($A255,Kalshi!$A$31:$A$501,0))),"")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IFERROR(IF(INDEX(Polymarket!$B$25:$B$316,MATCH($A256,Polymarket!$A$25:$A$316,0))=0,"",INDEX(Polymarket!$B$25:$B$316,MATCH($A256,Polymarket!$A$25:$A$316,0))),"")</f>
        <v/>
      </c>
      <c r="C256" s="101">
        <f>IFERROR(IF(INDEX(Kalshi!$D$31:$D$501,MATCH($A256,Kalshi!$A$31:$A$501,0))=0,"",INDEX(Kalshi!$D$31:$D$501,MATCH($A256,Kalshi!$A$31:$A$501,0))),"")</f>
        <v/>
      </c>
      <c r="D256" s="31">
        <f>IF(AND(ISNUMBER(B256),ISNUMBER(C256)),B256-C256,"")</f>
        <v/>
      </c>
      <c r="E256" s="29">
        <f>IF(ISNUMBER(D256),ABS(D256),"")</f>
        <v/>
      </c>
      <c r="F256" s="101">
        <f>IFERROR(IF(INDEX(Polymarket!$C$25:$C$316,MATCH($A256,Polymarket!$A$25:$A$316,0))=0,"",INDEX(Polymarket!$C$25:$C$316,MATCH($A256,Polymarket!$A$25:$A$316,0))),"")</f>
        <v/>
      </c>
      <c r="G256" s="101">
        <f>IFERROR(IF(INDEX(Kalshi!$G$31:$G$501,MATCH($A256,Kalshi!$A$31:$A$501,0))=0,"",INDEX(Kalshi!$G$31:$G$501,MATCH($A256,Kalshi!$A$31:$A$501,0))),"")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IFERROR(IF(INDEX(Polymarket!$B$25:$B$316,MATCH($A257,Polymarket!$A$25:$A$316,0))=0,"",INDEX(Polymarket!$B$25:$B$316,MATCH($A257,Polymarket!$A$25:$A$316,0))),"")</f>
        <v/>
      </c>
      <c r="C257" s="100">
        <f>IFERROR(IF(INDEX(Kalshi!$D$31:$D$501,MATCH($A257,Kalshi!$A$31:$A$501,0))=0,"",INDEX(Kalshi!$D$31:$D$501,MATCH($A257,Kalshi!$A$31:$A$501,0))),"")</f>
        <v/>
      </c>
      <c r="D257" s="18">
        <f>IF(AND(ISNUMBER(B257),ISNUMBER(C257)),B257-C257,"")</f>
        <v/>
      </c>
      <c r="E257" s="17">
        <f>IF(ISNUMBER(D257),ABS(D257),"")</f>
        <v/>
      </c>
      <c r="F257" s="100">
        <f>IFERROR(IF(INDEX(Polymarket!$C$25:$C$316,MATCH($A257,Polymarket!$A$25:$A$316,0))=0,"",INDEX(Polymarket!$C$25:$C$316,MATCH($A257,Polymarket!$A$25:$A$316,0))),"")</f>
        <v/>
      </c>
      <c r="G257" s="100">
        <f>IFERROR(IF(INDEX(Kalshi!$G$31:$G$501,MATCH($A257,Kalshi!$A$31:$A$501,0))=0,"",INDEX(Kalshi!$G$31:$G$501,MATCH($A257,Kalshi!$A$31:$A$501,0))),"")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IFERROR(IF(INDEX(Polymarket!$B$25:$B$316,MATCH($A258,Polymarket!$A$25:$A$316,0))=0,"",INDEX(Polymarket!$B$25:$B$316,MATCH($A258,Polymarket!$A$25:$A$316,0))),"")</f>
        <v/>
      </c>
      <c r="C258" s="101">
        <f>IFERROR(IF(INDEX(Kalshi!$D$31:$D$501,MATCH($A258,Kalshi!$A$31:$A$501,0))=0,"",INDEX(Kalshi!$D$31:$D$501,MATCH($A258,Kalshi!$A$31:$A$501,0))),"")</f>
        <v/>
      </c>
      <c r="D258" s="31">
        <f>IF(AND(ISNUMBER(B258),ISNUMBER(C258)),B258-C258,"")</f>
        <v/>
      </c>
      <c r="E258" s="29">
        <f>IF(ISNUMBER(D258),ABS(D258),"")</f>
        <v/>
      </c>
      <c r="F258" s="101">
        <f>IFERROR(IF(INDEX(Polymarket!$C$25:$C$316,MATCH($A258,Polymarket!$A$25:$A$316,0))=0,"",INDEX(Polymarket!$C$25:$C$316,MATCH($A258,Polymarket!$A$25:$A$316,0))),"")</f>
        <v/>
      </c>
      <c r="G258" s="101">
        <f>IFERROR(IF(INDEX(Kalshi!$G$31:$G$501,MATCH($A258,Kalshi!$A$31:$A$501,0))=0,"",INDEX(Kalshi!$G$31:$G$501,MATCH($A258,Kalshi!$A$31:$A$501,0))),"")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IFERROR(IF(INDEX(Polymarket!$B$25:$B$316,MATCH($A259,Polymarket!$A$25:$A$316,0))=0,"",INDEX(Polymarket!$B$25:$B$316,MATCH($A259,Polymarket!$A$25:$A$316,0))),"")</f>
        <v/>
      </c>
      <c r="C259" s="100">
        <f>IFERROR(IF(INDEX(Kalshi!$D$31:$D$501,MATCH($A259,Kalshi!$A$31:$A$501,0))=0,"",INDEX(Kalshi!$D$31:$D$501,MATCH($A259,Kalshi!$A$31:$A$501,0))),"")</f>
        <v/>
      </c>
      <c r="D259" s="18">
        <f>IF(AND(ISNUMBER(B259),ISNUMBER(C259)),B259-C259,"")</f>
        <v/>
      </c>
      <c r="E259" s="17">
        <f>IF(ISNUMBER(D259),ABS(D259),"")</f>
        <v/>
      </c>
      <c r="F259" s="100">
        <f>IFERROR(IF(INDEX(Polymarket!$C$25:$C$316,MATCH($A259,Polymarket!$A$25:$A$316,0))=0,"",INDEX(Polymarket!$C$25:$C$316,MATCH($A259,Polymarket!$A$25:$A$316,0))),"")</f>
        <v/>
      </c>
      <c r="G259" s="100">
        <f>IFERROR(IF(INDEX(Kalshi!$G$31:$G$501,MATCH($A259,Kalshi!$A$31:$A$501,0))=0,"",INDEX(Kalshi!$G$31:$G$501,MATCH($A259,Kalshi!$A$31:$A$501,0))),"")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IFERROR(IF(INDEX(Polymarket!$B$25:$B$316,MATCH($A260,Polymarket!$A$25:$A$316,0))=0,"",INDEX(Polymarket!$B$25:$B$316,MATCH($A260,Polymarket!$A$25:$A$316,0))),"")</f>
        <v/>
      </c>
      <c r="C260" s="101">
        <f>IFERROR(IF(INDEX(Kalshi!$D$31:$D$501,MATCH($A260,Kalshi!$A$31:$A$501,0))=0,"",INDEX(Kalshi!$D$31:$D$501,MATCH($A260,Kalshi!$A$31:$A$501,0))),"")</f>
        <v/>
      </c>
      <c r="D260" s="31">
        <f>IF(AND(ISNUMBER(B260),ISNUMBER(C260)),B260-C260,"")</f>
        <v/>
      </c>
      <c r="E260" s="29">
        <f>IF(ISNUMBER(D260),ABS(D260),"")</f>
        <v/>
      </c>
      <c r="F260" s="101">
        <f>IFERROR(IF(INDEX(Polymarket!$C$25:$C$316,MATCH($A260,Polymarket!$A$25:$A$316,0))=0,"",INDEX(Polymarket!$C$25:$C$316,MATCH($A260,Polymarket!$A$25:$A$316,0))),"")</f>
        <v/>
      </c>
      <c r="G260" s="101">
        <f>IFERROR(IF(INDEX(Kalshi!$G$31:$G$501,MATCH($A260,Kalshi!$A$31:$A$501,0))=0,"",INDEX(Kalshi!$G$31:$G$501,MATCH($A260,Kalshi!$A$31:$A$501,0))),"")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IFERROR(IF(INDEX(Polymarket!$B$25:$B$316,MATCH($A261,Polymarket!$A$25:$A$316,0))=0,"",INDEX(Polymarket!$B$25:$B$316,MATCH($A261,Polymarket!$A$25:$A$316,0))),"")</f>
        <v/>
      </c>
      <c r="C261" s="100">
        <f>IFERROR(IF(INDEX(Kalshi!$D$31:$D$501,MATCH($A261,Kalshi!$A$31:$A$501,0))=0,"",INDEX(Kalshi!$D$31:$D$501,MATCH($A261,Kalshi!$A$31:$A$501,0))),"")</f>
        <v/>
      </c>
      <c r="D261" s="18">
        <f>IF(AND(ISNUMBER(B261),ISNUMBER(C261)),B261-C261,"")</f>
        <v/>
      </c>
      <c r="E261" s="17">
        <f>IF(ISNUMBER(D261),ABS(D261),"")</f>
        <v/>
      </c>
      <c r="F261" s="100">
        <f>IFERROR(IF(INDEX(Polymarket!$C$25:$C$316,MATCH($A261,Polymarket!$A$25:$A$316,0))=0,"",INDEX(Polymarket!$C$25:$C$316,MATCH($A261,Polymarket!$A$25:$A$316,0))),"")</f>
        <v/>
      </c>
      <c r="G261" s="100">
        <f>IFERROR(IF(INDEX(Kalshi!$G$31:$G$501,MATCH($A261,Kalshi!$A$31:$A$501,0))=0,"",INDEX(Kalshi!$G$31:$G$501,MATCH($A261,Kalshi!$A$31:$A$501,0))),"")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IFERROR(IF(INDEX(Polymarket!$B$25:$B$316,MATCH($A262,Polymarket!$A$25:$A$316,0))=0,"",INDEX(Polymarket!$B$25:$B$316,MATCH($A262,Polymarket!$A$25:$A$316,0))),"")</f>
        <v/>
      </c>
      <c r="C262" s="101">
        <f>IFERROR(IF(INDEX(Kalshi!$D$31:$D$501,MATCH($A262,Kalshi!$A$31:$A$501,0))=0,"",INDEX(Kalshi!$D$31:$D$501,MATCH($A262,Kalshi!$A$31:$A$501,0))),"")</f>
        <v/>
      </c>
      <c r="D262" s="31">
        <f>IF(AND(ISNUMBER(B262),ISNUMBER(C262)),B262-C262,"")</f>
        <v/>
      </c>
      <c r="E262" s="29">
        <f>IF(ISNUMBER(D262),ABS(D262),"")</f>
        <v/>
      </c>
      <c r="F262" s="101">
        <f>IFERROR(IF(INDEX(Polymarket!$C$25:$C$316,MATCH($A262,Polymarket!$A$25:$A$316,0))=0,"",INDEX(Polymarket!$C$25:$C$316,MATCH($A262,Polymarket!$A$25:$A$316,0))),"")</f>
        <v/>
      </c>
      <c r="G262" s="101">
        <f>IFERROR(IF(INDEX(Kalshi!$G$31:$G$501,MATCH($A262,Kalshi!$A$31:$A$501,0))=0,"",INDEX(Kalshi!$G$31:$G$501,MATCH($A262,Kalshi!$A$31:$A$501,0))),"")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IFERROR(IF(INDEX(Polymarket!$B$25:$B$316,MATCH($A263,Polymarket!$A$25:$A$316,0))=0,"",INDEX(Polymarket!$B$25:$B$316,MATCH($A263,Polymarket!$A$25:$A$316,0))),"")</f>
        <v/>
      </c>
      <c r="C263" s="100">
        <f>IFERROR(IF(INDEX(Kalshi!$D$31:$D$501,MATCH($A263,Kalshi!$A$31:$A$501,0))=0,"",INDEX(Kalshi!$D$31:$D$501,MATCH($A263,Kalshi!$A$31:$A$501,0))),"")</f>
        <v/>
      </c>
      <c r="D263" s="18">
        <f>IF(AND(ISNUMBER(B263),ISNUMBER(C263)),B263-C263,"")</f>
        <v/>
      </c>
      <c r="E263" s="17">
        <f>IF(ISNUMBER(D263),ABS(D263),"")</f>
        <v/>
      </c>
      <c r="F263" s="100">
        <f>IFERROR(IF(INDEX(Polymarket!$C$25:$C$316,MATCH($A263,Polymarket!$A$25:$A$316,0))=0,"",INDEX(Polymarket!$C$25:$C$316,MATCH($A263,Polymarket!$A$25:$A$316,0))),"")</f>
        <v/>
      </c>
      <c r="G263" s="100">
        <f>IFERROR(IF(INDEX(Kalshi!$G$31:$G$501,MATCH($A263,Kalshi!$A$31:$A$501,0))=0,"",INDEX(Kalshi!$G$31:$G$501,MATCH($A263,Kalshi!$A$31:$A$501,0))),"")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IFERROR(IF(INDEX(Polymarket!$B$25:$B$316,MATCH($A264,Polymarket!$A$25:$A$316,0))=0,"",INDEX(Polymarket!$B$25:$B$316,MATCH($A264,Polymarket!$A$25:$A$316,0))),"")</f>
        <v/>
      </c>
      <c r="C264" s="101">
        <f>IFERROR(IF(INDEX(Kalshi!$D$31:$D$501,MATCH($A264,Kalshi!$A$31:$A$501,0))=0,"",INDEX(Kalshi!$D$31:$D$501,MATCH($A264,Kalshi!$A$31:$A$501,0))),"")</f>
        <v/>
      </c>
      <c r="D264" s="31">
        <f>IF(AND(ISNUMBER(B264),ISNUMBER(C264)),B264-C264,"")</f>
        <v/>
      </c>
      <c r="E264" s="29">
        <f>IF(ISNUMBER(D264),ABS(D264),"")</f>
        <v/>
      </c>
      <c r="F264" s="101">
        <f>IFERROR(IF(INDEX(Polymarket!$C$25:$C$316,MATCH($A264,Polymarket!$A$25:$A$316,0))=0,"",INDEX(Polymarket!$C$25:$C$316,MATCH($A264,Polymarket!$A$25:$A$316,0))),"")</f>
        <v/>
      </c>
      <c r="G264" s="101">
        <f>IFERROR(IF(INDEX(Kalshi!$G$31:$G$501,MATCH($A264,Kalshi!$A$31:$A$501,0))=0,"",INDEX(Kalshi!$G$31:$G$501,MATCH($A264,Kalshi!$A$31:$A$501,0))),"")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IFERROR(IF(INDEX(Polymarket!$B$25:$B$316,MATCH($A265,Polymarket!$A$25:$A$316,0))=0,"",INDEX(Polymarket!$B$25:$B$316,MATCH($A265,Polymarket!$A$25:$A$316,0))),"")</f>
        <v/>
      </c>
      <c r="C265" s="100">
        <f>IFERROR(IF(INDEX(Kalshi!$D$31:$D$501,MATCH($A265,Kalshi!$A$31:$A$501,0))=0,"",INDEX(Kalshi!$D$31:$D$501,MATCH($A265,Kalshi!$A$31:$A$501,0))),"")</f>
        <v/>
      </c>
      <c r="D265" s="18">
        <f>IF(AND(ISNUMBER(B265),ISNUMBER(C265)),B265-C265,"")</f>
        <v/>
      </c>
      <c r="E265" s="17">
        <f>IF(ISNUMBER(D265),ABS(D265),"")</f>
        <v/>
      </c>
      <c r="F265" s="100">
        <f>IFERROR(IF(INDEX(Polymarket!$C$25:$C$316,MATCH($A265,Polymarket!$A$25:$A$316,0))=0,"",INDEX(Polymarket!$C$25:$C$316,MATCH($A265,Polymarket!$A$25:$A$316,0))),"")</f>
        <v/>
      </c>
      <c r="G265" s="100">
        <f>IFERROR(IF(INDEX(Kalshi!$G$31:$G$501,MATCH($A265,Kalshi!$A$31:$A$501,0))=0,"",INDEX(Kalshi!$G$31:$G$501,MATCH($A265,Kalshi!$A$31:$A$501,0))),"")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IFERROR(IF(INDEX(Polymarket!$B$25:$B$316,MATCH($A266,Polymarket!$A$25:$A$316,0))=0,"",INDEX(Polymarket!$B$25:$B$316,MATCH($A266,Polymarket!$A$25:$A$316,0))),"")</f>
        <v/>
      </c>
      <c r="C266" s="101">
        <f>IFERROR(IF(INDEX(Kalshi!$D$31:$D$501,MATCH($A266,Kalshi!$A$31:$A$501,0))=0,"",INDEX(Kalshi!$D$31:$D$501,MATCH($A266,Kalshi!$A$31:$A$501,0))),"")</f>
        <v/>
      </c>
      <c r="D266" s="31">
        <f>IF(AND(ISNUMBER(B266),ISNUMBER(C266)),B266-C266,"")</f>
        <v/>
      </c>
      <c r="E266" s="29">
        <f>IF(ISNUMBER(D266),ABS(D266),"")</f>
        <v/>
      </c>
      <c r="F266" s="101">
        <f>IFERROR(IF(INDEX(Polymarket!$C$25:$C$316,MATCH($A266,Polymarket!$A$25:$A$316,0))=0,"",INDEX(Polymarket!$C$25:$C$316,MATCH($A266,Polymarket!$A$25:$A$316,0))),"")</f>
        <v/>
      </c>
      <c r="G266" s="101">
        <f>IFERROR(IF(INDEX(Kalshi!$G$31:$G$501,MATCH($A266,Kalshi!$A$31:$A$501,0))=0,"",INDEX(Kalshi!$G$31:$G$501,MATCH($A266,Kalshi!$A$31:$A$501,0))),"")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IFERROR(IF(INDEX(Polymarket!$B$25:$B$316,MATCH($A267,Polymarket!$A$25:$A$316,0))=0,"",INDEX(Polymarket!$B$25:$B$316,MATCH($A267,Polymarket!$A$25:$A$316,0))),"")</f>
        <v/>
      </c>
      <c r="C267" s="100">
        <f>IFERROR(IF(INDEX(Kalshi!$D$31:$D$501,MATCH($A267,Kalshi!$A$31:$A$501,0))=0,"",INDEX(Kalshi!$D$31:$D$501,MATCH($A267,Kalshi!$A$31:$A$501,0))),"")</f>
        <v/>
      </c>
      <c r="D267" s="18">
        <f>IF(AND(ISNUMBER(B267),ISNUMBER(C267)),B267-C267,"")</f>
        <v/>
      </c>
      <c r="E267" s="17">
        <f>IF(ISNUMBER(D267),ABS(D267),"")</f>
        <v/>
      </c>
      <c r="F267" s="100">
        <f>IFERROR(IF(INDEX(Polymarket!$C$25:$C$316,MATCH($A267,Polymarket!$A$25:$A$316,0))=0,"",INDEX(Polymarket!$C$25:$C$316,MATCH($A267,Polymarket!$A$25:$A$316,0))),"")</f>
        <v/>
      </c>
      <c r="G267" s="100">
        <f>IFERROR(IF(INDEX(Kalshi!$G$31:$G$501,MATCH($A267,Kalshi!$A$31:$A$501,0))=0,"",INDEX(Kalshi!$G$31:$G$501,MATCH($A267,Kalshi!$A$31:$A$501,0))),"")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IFERROR(IF(INDEX(Polymarket!$B$25:$B$316,MATCH($A268,Polymarket!$A$25:$A$316,0))=0,"",INDEX(Polymarket!$B$25:$B$316,MATCH($A268,Polymarket!$A$25:$A$316,0))),"")</f>
        <v/>
      </c>
      <c r="C268" s="101">
        <f>IFERROR(IF(INDEX(Kalshi!$D$31:$D$501,MATCH($A268,Kalshi!$A$31:$A$501,0))=0,"",INDEX(Kalshi!$D$31:$D$501,MATCH($A268,Kalshi!$A$31:$A$501,0))),"")</f>
        <v/>
      </c>
      <c r="D268" s="31">
        <f>IF(AND(ISNUMBER(B268),ISNUMBER(C268)),B268-C268,"")</f>
        <v/>
      </c>
      <c r="E268" s="29">
        <f>IF(ISNUMBER(D268),ABS(D268),"")</f>
        <v/>
      </c>
      <c r="F268" s="101">
        <f>IFERROR(IF(INDEX(Polymarket!$C$25:$C$316,MATCH($A268,Polymarket!$A$25:$A$316,0))=0,"",INDEX(Polymarket!$C$25:$C$316,MATCH($A268,Polymarket!$A$25:$A$316,0))),"")</f>
        <v/>
      </c>
      <c r="G268" s="101">
        <f>IFERROR(IF(INDEX(Kalshi!$G$31:$G$501,MATCH($A268,Kalshi!$A$31:$A$501,0))=0,"",INDEX(Kalshi!$G$31:$G$501,MATCH($A268,Kalshi!$A$31:$A$501,0))),"")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IFERROR(IF(INDEX(Polymarket!$B$25:$B$316,MATCH($A269,Polymarket!$A$25:$A$316,0))=0,"",INDEX(Polymarket!$B$25:$B$316,MATCH($A269,Polymarket!$A$25:$A$316,0))),"")</f>
        <v/>
      </c>
      <c r="C269" s="100">
        <f>IFERROR(IF(INDEX(Kalshi!$D$31:$D$501,MATCH($A269,Kalshi!$A$31:$A$501,0))=0,"",INDEX(Kalshi!$D$31:$D$501,MATCH($A269,Kalshi!$A$31:$A$501,0))),"")</f>
        <v/>
      </c>
      <c r="D269" s="18">
        <f>IF(AND(ISNUMBER(B269),ISNUMBER(C269)),B269-C269,"")</f>
        <v/>
      </c>
      <c r="E269" s="17">
        <f>IF(ISNUMBER(D269),ABS(D269),"")</f>
        <v/>
      </c>
      <c r="F269" s="100">
        <f>IFERROR(IF(INDEX(Polymarket!$C$25:$C$316,MATCH($A269,Polymarket!$A$25:$A$316,0))=0,"",INDEX(Polymarket!$C$25:$C$316,MATCH($A269,Polymarket!$A$25:$A$316,0))),"")</f>
        <v/>
      </c>
      <c r="G269" s="100">
        <f>IFERROR(IF(INDEX(Kalshi!$G$31:$G$501,MATCH($A269,Kalshi!$A$31:$A$501,0))=0,"",INDEX(Kalshi!$G$31:$G$501,MATCH($A269,Kalshi!$A$31:$A$501,0))),"")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IFERROR(IF(INDEX(Polymarket!$B$25:$B$316,MATCH($A270,Polymarket!$A$25:$A$316,0))=0,"",INDEX(Polymarket!$B$25:$B$316,MATCH($A270,Polymarket!$A$25:$A$316,0))),"")</f>
        <v/>
      </c>
      <c r="C270" s="101">
        <f>IFERROR(IF(INDEX(Kalshi!$D$31:$D$501,MATCH($A270,Kalshi!$A$31:$A$501,0))=0,"",INDEX(Kalshi!$D$31:$D$501,MATCH($A270,Kalshi!$A$31:$A$501,0))),"")</f>
        <v/>
      </c>
      <c r="D270" s="31">
        <f>IF(AND(ISNUMBER(B270),ISNUMBER(C270)),B270-C270,"")</f>
        <v/>
      </c>
      <c r="E270" s="29">
        <f>IF(ISNUMBER(D270),ABS(D270),"")</f>
        <v/>
      </c>
      <c r="F270" s="101">
        <f>IFERROR(IF(INDEX(Polymarket!$C$25:$C$316,MATCH($A270,Polymarket!$A$25:$A$316,0))=0,"",INDEX(Polymarket!$C$25:$C$316,MATCH($A270,Polymarket!$A$25:$A$316,0))),"")</f>
        <v/>
      </c>
      <c r="G270" s="101">
        <f>IFERROR(IF(INDEX(Kalshi!$G$31:$G$501,MATCH($A270,Kalshi!$A$31:$A$501,0))=0,"",INDEX(Kalshi!$G$31:$G$501,MATCH($A270,Kalshi!$A$31:$A$501,0))),"")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IFERROR(IF(INDEX(Polymarket!$B$25:$B$316,MATCH($A271,Polymarket!$A$25:$A$316,0))=0,"",INDEX(Polymarket!$B$25:$B$316,MATCH($A271,Polymarket!$A$25:$A$316,0))),"")</f>
        <v/>
      </c>
      <c r="C271" s="100">
        <f>IFERROR(IF(INDEX(Kalshi!$D$31:$D$501,MATCH($A271,Kalshi!$A$31:$A$501,0))=0,"",INDEX(Kalshi!$D$31:$D$501,MATCH($A271,Kalshi!$A$31:$A$501,0))),"")</f>
        <v/>
      </c>
      <c r="D271" s="18">
        <f>IF(AND(ISNUMBER(B271),ISNUMBER(C271)),B271-C271,"")</f>
        <v/>
      </c>
      <c r="E271" s="17">
        <f>IF(ISNUMBER(D271),ABS(D271),"")</f>
        <v/>
      </c>
      <c r="F271" s="100">
        <f>IFERROR(IF(INDEX(Polymarket!$C$25:$C$316,MATCH($A271,Polymarket!$A$25:$A$316,0))=0,"",INDEX(Polymarket!$C$25:$C$316,MATCH($A271,Polymarket!$A$25:$A$316,0))),"")</f>
        <v/>
      </c>
      <c r="G271" s="100">
        <f>IFERROR(IF(INDEX(Kalshi!$G$31:$G$501,MATCH($A271,Kalshi!$A$31:$A$501,0))=0,"",INDEX(Kalshi!$G$31:$G$501,MATCH($A271,Kalshi!$A$31:$A$501,0))),"")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IFERROR(IF(INDEX(Polymarket!$B$25:$B$316,MATCH($A272,Polymarket!$A$25:$A$316,0))=0,"",INDEX(Polymarket!$B$25:$B$316,MATCH($A272,Polymarket!$A$25:$A$316,0))),"")</f>
        <v/>
      </c>
      <c r="C272" s="101">
        <f>IFERROR(IF(INDEX(Kalshi!$D$31:$D$501,MATCH($A272,Kalshi!$A$31:$A$501,0))=0,"",INDEX(Kalshi!$D$31:$D$501,MATCH($A272,Kalshi!$A$31:$A$501,0))),"")</f>
        <v/>
      </c>
      <c r="D272" s="31">
        <f>IF(AND(ISNUMBER(B272),ISNUMBER(C272)),B272-C272,"")</f>
        <v/>
      </c>
      <c r="E272" s="29">
        <f>IF(ISNUMBER(D272),ABS(D272),"")</f>
        <v/>
      </c>
      <c r="F272" s="101">
        <f>IFERROR(IF(INDEX(Polymarket!$C$25:$C$316,MATCH($A272,Polymarket!$A$25:$A$316,0))=0,"",INDEX(Polymarket!$C$25:$C$316,MATCH($A272,Polymarket!$A$25:$A$316,0))),"")</f>
        <v/>
      </c>
      <c r="G272" s="101">
        <f>IFERROR(IF(INDEX(Kalshi!$G$31:$G$501,MATCH($A272,Kalshi!$A$31:$A$501,0))=0,"",INDEX(Kalshi!$G$31:$G$501,MATCH($A272,Kalshi!$A$31:$A$501,0))),"")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IFERROR(IF(INDEX(Polymarket!$B$25:$B$316,MATCH($A273,Polymarket!$A$25:$A$316,0))=0,"",INDEX(Polymarket!$B$25:$B$316,MATCH($A273,Polymarket!$A$25:$A$316,0))),"")</f>
        <v/>
      </c>
      <c r="C273" s="100">
        <f>IFERROR(IF(INDEX(Kalshi!$D$31:$D$501,MATCH($A273,Kalshi!$A$31:$A$501,0))=0,"",INDEX(Kalshi!$D$31:$D$501,MATCH($A273,Kalshi!$A$31:$A$501,0))),"")</f>
        <v/>
      </c>
      <c r="D273" s="18">
        <f>IF(AND(ISNUMBER(B273),ISNUMBER(C273)),B273-C273,"")</f>
        <v/>
      </c>
      <c r="E273" s="17">
        <f>IF(ISNUMBER(D273),ABS(D273),"")</f>
        <v/>
      </c>
      <c r="F273" s="100">
        <f>IFERROR(IF(INDEX(Polymarket!$C$25:$C$316,MATCH($A273,Polymarket!$A$25:$A$316,0))=0,"",INDEX(Polymarket!$C$25:$C$316,MATCH($A273,Polymarket!$A$25:$A$316,0))),"")</f>
        <v/>
      </c>
      <c r="G273" s="100">
        <f>IFERROR(IF(INDEX(Kalshi!$G$31:$G$501,MATCH($A273,Kalshi!$A$31:$A$501,0))=0,"",INDEX(Kalshi!$G$31:$G$501,MATCH($A273,Kalshi!$A$31:$A$501,0))),"")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IFERROR(IF(INDEX(Polymarket!$B$25:$B$316,MATCH($A274,Polymarket!$A$25:$A$316,0))=0,"",INDEX(Polymarket!$B$25:$B$316,MATCH($A274,Polymarket!$A$25:$A$316,0))),"")</f>
        <v/>
      </c>
      <c r="C274" s="101">
        <f>IFERROR(IF(INDEX(Kalshi!$D$31:$D$501,MATCH($A274,Kalshi!$A$31:$A$501,0))=0,"",INDEX(Kalshi!$D$31:$D$501,MATCH($A274,Kalshi!$A$31:$A$501,0))),"")</f>
        <v/>
      </c>
      <c r="D274" s="31">
        <f>IF(AND(ISNUMBER(B274),ISNUMBER(C274)),B274-C274,"")</f>
        <v/>
      </c>
      <c r="E274" s="29">
        <f>IF(ISNUMBER(D274),ABS(D274),"")</f>
        <v/>
      </c>
      <c r="F274" s="101">
        <f>IFERROR(IF(INDEX(Polymarket!$C$25:$C$316,MATCH($A274,Polymarket!$A$25:$A$316,0))=0,"",INDEX(Polymarket!$C$25:$C$316,MATCH($A274,Polymarket!$A$25:$A$316,0))),"")</f>
        <v/>
      </c>
      <c r="G274" s="101">
        <f>IFERROR(IF(INDEX(Kalshi!$G$31:$G$501,MATCH($A274,Kalshi!$A$31:$A$501,0))=0,"",INDEX(Kalshi!$G$31:$G$501,MATCH($A274,Kalshi!$A$31:$A$501,0))),"")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IFERROR(IF(INDEX(Polymarket!$B$25:$B$316,MATCH($A275,Polymarket!$A$25:$A$316,0))=0,"",INDEX(Polymarket!$B$25:$B$316,MATCH($A275,Polymarket!$A$25:$A$316,0))),"")</f>
        <v/>
      </c>
      <c r="C275" s="100">
        <f>IFERROR(IF(INDEX(Kalshi!$D$31:$D$501,MATCH($A275,Kalshi!$A$31:$A$501,0))=0,"",INDEX(Kalshi!$D$31:$D$501,MATCH($A275,Kalshi!$A$31:$A$501,0))),"")</f>
        <v/>
      </c>
      <c r="D275" s="18">
        <f>IF(AND(ISNUMBER(B275),ISNUMBER(C275)),B275-C275,"")</f>
        <v/>
      </c>
      <c r="E275" s="17">
        <f>IF(ISNUMBER(D275),ABS(D275),"")</f>
        <v/>
      </c>
      <c r="F275" s="100">
        <f>IFERROR(IF(INDEX(Polymarket!$C$25:$C$316,MATCH($A275,Polymarket!$A$25:$A$316,0))=0,"",INDEX(Polymarket!$C$25:$C$316,MATCH($A275,Polymarket!$A$25:$A$316,0))),"")</f>
        <v/>
      </c>
      <c r="G275" s="100">
        <f>IFERROR(IF(INDEX(Kalshi!$G$31:$G$501,MATCH($A275,Kalshi!$A$31:$A$501,0))=0,"",INDEX(Kalshi!$G$31:$G$501,MATCH($A275,Kalshi!$A$31:$A$501,0))),"")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IFERROR(IF(INDEX(Polymarket!$B$25:$B$316,MATCH($A276,Polymarket!$A$25:$A$316,0))=0,"",INDEX(Polymarket!$B$25:$B$316,MATCH($A276,Polymarket!$A$25:$A$316,0))),"")</f>
        <v/>
      </c>
      <c r="C276" s="101">
        <f>IFERROR(IF(INDEX(Kalshi!$D$31:$D$501,MATCH($A276,Kalshi!$A$31:$A$501,0))=0,"",INDEX(Kalshi!$D$31:$D$501,MATCH($A276,Kalshi!$A$31:$A$501,0))),"")</f>
        <v/>
      </c>
      <c r="D276" s="31">
        <f>IF(AND(ISNUMBER(B276),ISNUMBER(C276)),B276-C276,"")</f>
        <v/>
      </c>
      <c r="E276" s="29">
        <f>IF(ISNUMBER(D276),ABS(D276),"")</f>
        <v/>
      </c>
      <c r="F276" s="101">
        <f>IFERROR(IF(INDEX(Polymarket!$C$25:$C$316,MATCH($A276,Polymarket!$A$25:$A$316,0))=0,"",INDEX(Polymarket!$C$25:$C$316,MATCH($A276,Polymarket!$A$25:$A$316,0))),"")</f>
        <v/>
      </c>
      <c r="G276" s="101">
        <f>IFERROR(IF(INDEX(Kalshi!$G$31:$G$501,MATCH($A276,Kalshi!$A$31:$A$501,0))=0,"",INDEX(Kalshi!$G$31:$G$501,MATCH($A276,Kalshi!$A$31:$A$501,0))),"")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IFERROR(IF(INDEX(Polymarket!$B$25:$B$316,MATCH($A277,Polymarket!$A$25:$A$316,0))=0,"",INDEX(Polymarket!$B$25:$B$316,MATCH($A277,Polymarket!$A$25:$A$316,0))),"")</f>
        <v/>
      </c>
      <c r="C277" s="100">
        <f>IFERROR(IF(INDEX(Kalshi!$D$31:$D$501,MATCH($A277,Kalshi!$A$31:$A$501,0))=0,"",INDEX(Kalshi!$D$31:$D$501,MATCH($A277,Kalshi!$A$31:$A$501,0))),"")</f>
        <v/>
      </c>
      <c r="D277" s="18">
        <f>IF(AND(ISNUMBER(B277),ISNUMBER(C277)),B277-C277,"")</f>
        <v/>
      </c>
      <c r="E277" s="17">
        <f>IF(ISNUMBER(D277),ABS(D277),"")</f>
        <v/>
      </c>
      <c r="F277" s="100">
        <f>IFERROR(IF(INDEX(Polymarket!$C$25:$C$316,MATCH($A277,Polymarket!$A$25:$A$316,0))=0,"",INDEX(Polymarket!$C$25:$C$316,MATCH($A277,Polymarket!$A$25:$A$316,0))),"")</f>
        <v/>
      </c>
      <c r="G277" s="100">
        <f>IFERROR(IF(INDEX(Kalshi!$G$31:$G$501,MATCH($A277,Kalshi!$A$31:$A$501,0))=0,"",INDEX(Kalshi!$G$31:$G$501,MATCH($A277,Kalshi!$A$31:$A$501,0))),"")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IFERROR(IF(INDEX(Polymarket!$B$25:$B$316,MATCH($A278,Polymarket!$A$25:$A$316,0))=0,"",INDEX(Polymarket!$B$25:$B$316,MATCH($A278,Polymarket!$A$25:$A$316,0))),"")</f>
        <v/>
      </c>
      <c r="C278" s="101">
        <f>IFERROR(IF(INDEX(Kalshi!$D$31:$D$501,MATCH($A278,Kalshi!$A$31:$A$501,0))=0,"",INDEX(Kalshi!$D$31:$D$501,MATCH($A278,Kalshi!$A$31:$A$501,0))),"")</f>
        <v/>
      </c>
      <c r="D278" s="31">
        <f>IF(AND(ISNUMBER(B278),ISNUMBER(C278)),B278-C278,"")</f>
        <v/>
      </c>
      <c r="E278" s="29">
        <f>IF(ISNUMBER(D278),ABS(D278),"")</f>
        <v/>
      </c>
      <c r="F278" s="101">
        <f>IFERROR(IF(INDEX(Polymarket!$C$25:$C$316,MATCH($A278,Polymarket!$A$25:$A$316,0))=0,"",INDEX(Polymarket!$C$25:$C$316,MATCH($A278,Polymarket!$A$25:$A$316,0))),"")</f>
        <v/>
      </c>
      <c r="G278" s="101">
        <f>IFERROR(IF(INDEX(Kalshi!$G$31:$G$501,MATCH($A278,Kalshi!$A$31:$A$501,0))=0,"",INDEX(Kalshi!$G$31:$G$501,MATCH($A278,Kalshi!$A$31:$A$501,0))),"")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IFERROR(IF(INDEX(Polymarket!$B$25:$B$316,MATCH($A279,Polymarket!$A$25:$A$316,0))=0,"",INDEX(Polymarket!$B$25:$B$316,MATCH($A279,Polymarket!$A$25:$A$316,0))),"")</f>
        <v/>
      </c>
      <c r="C279" s="100">
        <f>IFERROR(IF(INDEX(Kalshi!$D$31:$D$501,MATCH($A279,Kalshi!$A$31:$A$501,0))=0,"",INDEX(Kalshi!$D$31:$D$501,MATCH($A279,Kalshi!$A$31:$A$501,0))),"")</f>
        <v/>
      </c>
      <c r="D279" s="18">
        <f>IF(AND(ISNUMBER(B279),ISNUMBER(C279)),B279-C279,"")</f>
        <v/>
      </c>
      <c r="E279" s="17">
        <f>IF(ISNUMBER(D279),ABS(D279),"")</f>
        <v/>
      </c>
      <c r="F279" s="100">
        <f>IFERROR(IF(INDEX(Polymarket!$C$25:$C$316,MATCH($A279,Polymarket!$A$25:$A$316,0))=0,"",INDEX(Polymarket!$C$25:$C$316,MATCH($A279,Polymarket!$A$25:$A$316,0))),"")</f>
        <v/>
      </c>
      <c r="G279" s="100">
        <f>IFERROR(IF(INDEX(Kalshi!$G$31:$G$501,MATCH($A279,Kalshi!$A$31:$A$501,0))=0,"",INDEX(Kalshi!$G$31:$G$501,MATCH($A279,Kalshi!$A$31:$A$501,0))),"")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IFERROR(IF(INDEX(Polymarket!$B$25:$B$316,MATCH($A280,Polymarket!$A$25:$A$316,0))=0,"",INDEX(Polymarket!$B$25:$B$316,MATCH($A280,Polymarket!$A$25:$A$316,0))),"")</f>
        <v/>
      </c>
      <c r="C280" s="101">
        <f>IFERROR(IF(INDEX(Kalshi!$D$31:$D$501,MATCH($A280,Kalshi!$A$31:$A$501,0))=0,"",INDEX(Kalshi!$D$31:$D$501,MATCH($A280,Kalshi!$A$31:$A$501,0))),"")</f>
        <v/>
      </c>
      <c r="D280" s="31">
        <f>IF(AND(ISNUMBER(B280),ISNUMBER(C280)),B280-C280,"")</f>
        <v/>
      </c>
      <c r="E280" s="29">
        <f>IF(ISNUMBER(D280),ABS(D280),"")</f>
        <v/>
      </c>
      <c r="F280" s="101">
        <f>IFERROR(IF(INDEX(Polymarket!$C$25:$C$316,MATCH($A280,Polymarket!$A$25:$A$316,0))=0,"",INDEX(Polymarket!$C$25:$C$316,MATCH($A280,Polymarket!$A$25:$A$316,0))),"")</f>
        <v/>
      </c>
      <c r="G280" s="101">
        <f>IFERROR(IF(INDEX(Kalshi!$G$31:$G$501,MATCH($A280,Kalshi!$A$31:$A$501,0))=0,"",INDEX(Kalshi!$G$31:$G$501,MATCH($A280,Kalshi!$A$31:$A$501,0))),"")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IFERROR(IF(INDEX(Polymarket!$B$25:$B$316,MATCH($A281,Polymarket!$A$25:$A$316,0))=0,"",INDEX(Polymarket!$B$25:$B$316,MATCH($A281,Polymarket!$A$25:$A$316,0))),"")</f>
        <v/>
      </c>
      <c r="C281" s="100">
        <f>IFERROR(IF(INDEX(Kalshi!$D$31:$D$501,MATCH($A281,Kalshi!$A$31:$A$501,0))=0,"",INDEX(Kalshi!$D$31:$D$501,MATCH($A281,Kalshi!$A$31:$A$501,0))),"")</f>
        <v/>
      </c>
      <c r="D281" s="18">
        <f>IF(AND(ISNUMBER(B281),ISNUMBER(C281)),B281-C281,"")</f>
        <v/>
      </c>
      <c r="E281" s="17">
        <f>IF(ISNUMBER(D281),ABS(D281),"")</f>
        <v/>
      </c>
      <c r="F281" s="100">
        <f>IFERROR(IF(INDEX(Polymarket!$C$25:$C$316,MATCH($A281,Polymarket!$A$25:$A$316,0))=0,"",INDEX(Polymarket!$C$25:$C$316,MATCH($A281,Polymarket!$A$25:$A$316,0))),"")</f>
        <v/>
      </c>
      <c r="G281" s="100">
        <f>IFERROR(IF(INDEX(Kalshi!$G$31:$G$501,MATCH($A281,Kalshi!$A$31:$A$501,0))=0,"",INDEX(Kalshi!$G$31:$G$501,MATCH($A281,Kalshi!$A$31:$A$501,0))),"")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IFERROR(IF(INDEX(Polymarket!$B$25:$B$316,MATCH($A282,Polymarket!$A$25:$A$316,0))=0,"",INDEX(Polymarket!$B$25:$B$316,MATCH($A282,Polymarket!$A$25:$A$316,0))),"")</f>
        <v/>
      </c>
      <c r="C282" s="101">
        <f>IFERROR(IF(INDEX(Kalshi!$D$31:$D$501,MATCH($A282,Kalshi!$A$31:$A$501,0))=0,"",INDEX(Kalshi!$D$31:$D$501,MATCH($A282,Kalshi!$A$31:$A$501,0))),"")</f>
        <v/>
      </c>
      <c r="D282" s="31">
        <f>IF(AND(ISNUMBER(B282),ISNUMBER(C282)),B282-C282,"")</f>
        <v/>
      </c>
      <c r="E282" s="29">
        <f>IF(ISNUMBER(D282),ABS(D282),"")</f>
        <v/>
      </c>
      <c r="F282" s="101">
        <f>IFERROR(IF(INDEX(Polymarket!$C$25:$C$316,MATCH($A282,Polymarket!$A$25:$A$316,0))=0,"",INDEX(Polymarket!$C$25:$C$316,MATCH($A282,Polymarket!$A$25:$A$316,0))),"")</f>
        <v/>
      </c>
      <c r="G282" s="101">
        <f>IFERROR(IF(INDEX(Kalshi!$G$31:$G$501,MATCH($A282,Kalshi!$A$31:$A$501,0))=0,"",INDEX(Kalshi!$G$31:$G$501,MATCH($A282,Kalshi!$A$31:$A$501,0))),"")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IFERROR(IF(INDEX(Polymarket!$B$25:$B$316,MATCH($A283,Polymarket!$A$25:$A$316,0))=0,"",INDEX(Polymarket!$B$25:$B$316,MATCH($A283,Polymarket!$A$25:$A$316,0))),"")</f>
        <v/>
      </c>
      <c r="C283" s="100">
        <f>IFERROR(IF(INDEX(Kalshi!$D$31:$D$501,MATCH($A283,Kalshi!$A$31:$A$501,0))=0,"",INDEX(Kalshi!$D$31:$D$501,MATCH($A283,Kalshi!$A$31:$A$501,0))),"")</f>
        <v/>
      </c>
      <c r="D283" s="18">
        <f>IF(AND(ISNUMBER(B283),ISNUMBER(C283)),B283-C283,"")</f>
        <v/>
      </c>
      <c r="E283" s="17">
        <f>IF(ISNUMBER(D283),ABS(D283),"")</f>
        <v/>
      </c>
      <c r="F283" s="100">
        <f>IFERROR(IF(INDEX(Polymarket!$C$25:$C$316,MATCH($A283,Polymarket!$A$25:$A$316,0))=0,"",INDEX(Polymarket!$C$25:$C$316,MATCH($A283,Polymarket!$A$25:$A$316,0))),"")</f>
        <v/>
      </c>
      <c r="G283" s="100">
        <f>IFERROR(IF(INDEX(Kalshi!$G$31:$G$501,MATCH($A283,Kalshi!$A$31:$A$501,0))=0,"",INDEX(Kalshi!$G$31:$G$501,MATCH($A283,Kalshi!$A$31:$A$501,0))),"")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IFERROR(IF(INDEX(Polymarket!$B$25:$B$316,MATCH($A284,Polymarket!$A$25:$A$316,0))=0,"",INDEX(Polymarket!$B$25:$B$316,MATCH($A284,Polymarket!$A$25:$A$316,0))),"")</f>
        <v/>
      </c>
      <c r="C284" s="101">
        <f>IFERROR(IF(INDEX(Kalshi!$D$31:$D$501,MATCH($A284,Kalshi!$A$31:$A$501,0))=0,"",INDEX(Kalshi!$D$31:$D$501,MATCH($A284,Kalshi!$A$31:$A$501,0))),"")</f>
        <v/>
      </c>
      <c r="D284" s="31">
        <f>IF(AND(ISNUMBER(B284),ISNUMBER(C284)),B284-C284,"")</f>
        <v/>
      </c>
      <c r="E284" s="29">
        <f>IF(ISNUMBER(D284),ABS(D284),"")</f>
        <v/>
      </c>
      <c r="F284" s="101">
        <f>IFERROR(IF(INDEX(Polymarket!$C$25:$C$316,MATCH($A284,Polymarket!$A$25:$A$316,0))=0,"",INDEX(Polymarket!$C$25:$C$316,MATCH($A284,Polymarket!$A$25:$A$316,0))),"")</f>
        <v/>
      </c>
      <c r="G284" s="101">
        <f>IFERROR(IF(INDEX(Kalshi!$G$31:$G$501,MATCH($A284,Kalshi!$A$31:$A$501,0))=0,"",INDEX(Kalshi!$G$31:$G$501,MATCH($A284,Kalshi!$A$31:$A$501,0))),"")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IFERROR(IF(INDEX(Polymarket!$B$25:$B$316,MATCH($A285,Polymarket!$A$25:$A$316,0))=0,"",INDEX(Polymarket!$B$25:$B$316,MATCH($A285,Polymarket!$A$25:$A$316,0))),"")</f>
        <v/>
      </c>
      <c r="C285" s="100">
        <f>IFERROR(IF(INDEX(Kalshi!$D$31:$D$501,MATCH($A285,Kalshi!$A$31:$A$501,0))=0,"",INDEX(Kalshi!$D$31:$D$501,MATCH($A285,Kalshi!$A$31:$A$501,0))),"")</f>
        <v/>
      </c>
      <c r="D285" s="18">
        <f>IF(AND(ISNUMBER(B285),ISNUMBER(C285)),B285-C285,"")</f>
        <v/>
      </c>
      <c r="E285" s="17">
        <f>IF(ISNUMBER(D285),ABS(D285),"")</f>
        <v/>
      </c>
      <c r="F285" s="100">
        <f>IFERROR(IF(INDEX(Polymarket!$C$25:$C$316,MATCH($A285,Polymarket!$A$25:$A$316,0))=0,"",INDEX(Polymarket!$C$25:$C$316,MATCH($A285,Polymarket!$A$25:$A$316,0))),"")</f>
        <v/>
      </c>
      <c r="G285" s="100">
        <f>IFERROR(IF(INDEX(Kalshi!$G$31:$G$501,MATCH($A285,Kalshi!$A$31:$A$501,0))=0,"",INDEX(Kalshi!$G$31:$G$501,MATCH($A285,Kalshi!$A$31:$A$501,0))),"")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IFERROR(IF(INDEX(Polymarket!$B$25:$B$316,MATCH($A286,Polymarket!$A$25:$A$316,0))=0,"",INDEX(Polymarket!$B$25:$B$316,MATCH($A286,Polymarket!$A$25:$A$316,0))),"")</f>
        <v/>
      </c>
      <c r="C286" s="101">
        <f>IFERROR(IF(INDEX(Kalshi!$D$31:$D$501,MATCH($A286,Kalshi!$A$31:$A$501,0))=0,"",INDEX(Kalshi!$D$31:$D$501,MATCH($A286,Kalshi!$A$31:$A$501,0))),"")</f>
        <v/>
      </c>
      <c r="D286" s="31">
        <f>IF(AND(ISNUMBER(B286),ISNUMBER(C286)),B286-C286,"")</f>
        <v/>
      </c>
      <c r="E286" s="29">
        <f>IF(ISNUMBER(D286),ABS(D286),"")</f>
        <v/>
      </c>
      <c r="F286" s="101">
        <f>IFERROR(IF(INDEX(Polymarket!$C$25:$C$316,MATCH($A286,Polymarket!$A$25:$A$316,0))=0,"",INDEX(Polymarket!$C$25:$C$316,MATCH($A286,Polymarket!$A$25:$A$316,0))),"")</f>
        <v/>
      </c>
      <c r="G286" s="101">
        <f>IFERROR(IF(INDEX(Kalshi!$G$31:$G$501,MATCH($A286,Kalshi!$A$31:$A$501,0))=0,"",INDEX(Kalshi!$G$31:$G$501,MATCH($A286,Kalshi!$A$31:$A$501,0))),"")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IFERROR(IF(INDEX(Polymarket!$B$25:$B$316,MATCH($A287,Polymarket!$A$25:$A$316,0))=0,"",INDEX(Polymarket!$B$25:$B$316,MATCH($A287,Polymarket!$A$25:$A$316,0))),"")</f>
        <v/>
      </c>
      <c r="C287" s="100">
        <f>IFERROR(IF(INDEX(Kalshi!$D$31:$D$501,MATCH($A287,Kalshi!$A$31:$A$501,0))=0,"",INDEX(Kalshi!$D$31:$D$501,MATCH($A287,Kalshi!$A$31:$A$501,0))),"")</f>
        <v/>
      </c>
      <c r="D287" s="18">
        <f>IF(AND(ISNUMBER(B287),ISNUMBER(C287)),B287-C287,"")</f>
        <v/>
      </c>
      <c r="E287" s="17">
        <f>IF(ISNUMBER(D287),ABS(D287),"")</f>
        <v/>
      </c>
      <c r="F287" s="100">
        <f>IFERROR(IF(INDEX(Polymarket!$C$25:$C$316,MATCH($A287,Polymarket!$A$25:$A$316,0))=0,"",INDEX(Polymarket!$C$25:$C$316,MATCH($A287,Polymarket!$A$25:$A$316,0))),"")</f>
        <v/>
      </c>
      <c r="G287" s="100">
        <f>IFERROR(IF(INDEX(Kalshi!$G$31:$G$501,MATCH($A287,Kalshi!$A$31:$A$501,0))=0,"",INDEX(Kalshi!$G$31:$G$501,MATCH($A287,Kalshi!$A$31:$A$501,0))),"")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IFERROR(IF(INDEX(Polymarket!$B$25:$B$316,MATCH($A288,Polymarket!$A$25:$A$316,0))=0,"",INDEX(Polymarket!$B$25:$B$316,MATCH($A288,Polymarket!$A$25:$A$316,0))),"")</f>
        <v/>
      </c>
      <c r="C288" s="101">
        <f>IFERROR(IF(INDEX(Kalshi!$D$31:$D$501,MATCH($A288,Kalshi!$A$31:$A$501,0))=0,"",INDEX(Kalshi!$D$31:$D$501,MATCH($A288,Kalshi!$A$31:$A$501,0))),"")</f>
        <v/>
      </c>
      <c r="D288" s="31">
        <f>IF(AND(ISNUMBER(B288),ISNUMBER(C288)),B288-C288,"")</f>
        <v/>
      </c>
      <c r="E288" s="29">
        <f>IF(ISNUMBER(D288),ABS(D288),"")</f>
        <v/>
      </c>
      <c r="F288" s="101">
        <f>IFERROR(IF(INDEX(Polymarket!$C$25:$C$316,MATCH($A288,Polymarket!$A$25:$A$316,0))=0,"",INDEX(Polymarket!$C$25:$C$316,MATCH($A288,Polymarket!$A$25:$A$316,0))),"")</f>
        <v/>
      </c>
      <c r="G288" s="101">
        <f>IFERROR(IF(INDEX(Kalshi!$G$31:$G$501,MATCH($A288,Kalshi!$A$31:$A$501,0))=0,"",INDEX(Kalshi!$G$31:$G$501,MATCH($A288,Kalshi!$A$31:$A$501,0))),"")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IFERROR(IF(INDEX(Polymarket!$B$25:$B$316,MATCH($A289,Polymarket!$A$25:$A$316,0))=0,"",INDEX(Polymarket!$B$25:$B$316,MATCH($A289,Polymarket!$A$25:$A$316,0))),"")</f>
        <v/>
      </c>
      <c r="C289" s="100">
        <f>IFERROR(IF(INDEX(Kalshi!$D$31:$D$501,MATCH($A289,Kalshi!$A$31:$A$501,0))=0,"",INDEX(Kalshi!$D$31:$D$501,MATCH($A289,Kalshi!$A$31:$A$501,0))),"")</f>
        <v/>
      </c>
      <c r="D289" s="18">
        <f>IF(AND(ISNUMBER(B289),ISNUMBER(C289)),B289-C289,"")</f>
        <v/>
      </c>
      <c r="E289" s="17">
        <f>IF(ISNUMBER(D289),ABS(D289),"")</f>
        <v/>
      </c>
      <c r="F289" s="100">
        <f>IFERROR(IF(INDEX(Polymarket!$C$25:$C$316,MATCH($A289,Polymarket!$A$25:$A$316,0))=0,"",INDEX(Polymarket!$C$25:$C$316,MATCH($A289,Polymarket!$A$25:$A$316,0))),"")</f>
        <v/>
      </c>
      <c r="G289" s="100">
        <f>IFERROR(IF(INDEX(Kalshi!$G$31:$G$501,MATCH($A289,Kalshi!$A$31:$A$501,0))=0,"",INDEX(Kalshi!$G$31:$G$501,MATCH($A289,Kalshi!$A$31:$A$501,0))),"")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IFERROR(IF(INDEX(Polymarket!$B$25:$B$316,MATCH($A290,Polymarket!$A$25:$A$316,0))=0,"",INDEX(Polymarket!$B$25:$B$316,MATCH($A290,Polymarket!$A$25:$A$316,0))),"")</f>
        <v/>
      </c>
      <c r="C290" s="101">
        <f>IFERROR(IF(INDEX(Kalshi!$D$31:$D$501,MATCH($A290,Kalshi!$A$31:$A$501,0))=0,"",INDEX(Kalshi!$D$31:$D$501,MATCH($A290,Kalshi!$A$31:$A$501,0))),"")</f>
        <v/>
      </c>
      <c r="D290" s="31">
        <f>IF(AND(ISNUMBER(B290),ISNUMBER(C290)),B290-C290,"")</f>
        <v/>
      </c>
      <c r="E290" s="29">
        <f>IF(ISNUMBER(D290),ABS(D290),"")</f>
        <v/>
      </c>
      <c r="F290" s="101">
        <f>IFERROR(IF(INDEX(Polymarket!$C$25:$C$316,MATCH($A290,Polymarket!$A$25:$A$316,0))=0,"",INDEX(Polymarket!$C$25:$C$316,MATCH($A290,Polymarket!$A$25:$A$316,0))),"")</f>
        <v/>
      </c>
      <c r="G290" s="101">
        <f>IFERROR(IF(INDEX(Kalshi!$G$31:$G$501,MATCH($A290,Kalshi!$A$31:$A$501,0))=0,"",INDEX(Kalshi!$G$31:$G$501,MATCH($A290,Kalshi!$A$31:$A$501,0))),"")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IFERROR(IF(INDEX(Polymarket!$B$25:$B$316,MATCH($A291,Polymarket!$A$25:$A$316,0))=0,"",INDEX(Polymarket!$B$25:$B$316,MATCH($A291,Polymarket!$A$25:$A$316,0))),"")</f>
        <v/>
      </c>
      <c r="C291" s="100">
        <f>IFERROR(IF(INDEX(Kalshi!$D$31:$D$501,MATCH($A291,Kalshi!$A$31:$A$501,0))=0,"",INDEX(Kalshi!$D$31:$D$501,MATCH($A291,Kalshi!$A$31:$A$501,0))),"")</f>
        <v/>
      </c>
      <c r="D291" s="18">
        <f>IF(AND(ISNUMBER(B291),ISNUMBER(C291)),B291-C291,"")</f>
        <v/>
      </c>
      <c r="E291" s="17">
        <f>IF(ISNUMBER(D291),ABS(D291),"")</f>
        <v/>
      </c>
      <c r="F291" s="100">
        <f>IFERROR(IF(INDEX(Polymarket!$C$25:$C$316,MATCH($A291,Polymarket!$A$25:$A$316,0))=0,"",INDEX(Polymarket!$C$25:$C$316,MATCH($A291,Polymarket!$A$25:$A$316,0))),"")</f>
        <v/>
      </c>
      <c r="G291" s="100">
        <f>IFERROR(IF(INDEX(Kalshi!$G$31:$G$501,MATCH($A291,Kalshi!$A$31:$A$501,0))=0,"",INDEX(Kalshi!$G$31:$G$501,MATCH($A291,Kalshi!$A$31:$A$501,0))),"")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IFERROR(IF(INDEX(Polymarket!$B$25:$B$316,MATCH($A292,Polymarket!$A$25:$A$316,0))=0,"",INDEX(Polymarket!$B$25:$B$316,MATCH($A292,Polymarket!$A$25:$A$316,0))),"")</f>
        <v/>
      </c>
      <c r="C292" s="101">
        <f>IFERROR(IF(INDEX(Kalshi!$D$31:$D$501,MATCH($A292,Kalshi!$A$31:$A$501,0))=0,"",INDEX(Kalshi!$D$31:$D$501,MATCH($A292,Kalshi!$A$31:$A$501,0))),"")</f>
        <v/>
      </c>
      <c r="D292" s="31">
        <f>IF(AND(ISNUMBER(B292),ISNUMBER(C292)),B292-C292,"")</f>
        <v/>
      </c>
      <c r="E292" s="29">
        <f>IF(ISNUMBER(D292),ABS(D292),"")</f>
        <v/>
      </c>
      <c r="F292" s="101">
        <f>IFERROR(IF(INDEX(Polymarket!$C$25:$C$316,MATCH($A292,Polymarket!$A$25:$A$316,0))=0,"",INDEX(Polymarket!$C$25:$C$316,MATCH($A292,Polymarket!$A$25:$A$316,0))),"")</f>
        <v/>
      </c>
      <c r="G292" s="101">
        <f>IFERROR(IF(INDEX(Kalshi!$G$31:$G$501,MATCH($A292,Kalshi!$A$31:$A$501,0))=0,"",INDEX(Kalshi!$G$31:$G$501,MATCH($A292,Kalshi!$A$31:$A$501,0))),"")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IFERROR(IF(INDEX(Polymarket!$B$25:$B$316,MATCH($A293,Polymarket!$A$25:$A$316,0))=0,"",INDEX(Polymarket!$B$25:$B$316,MATCH($A293,Polymarket!$A$25:$A$316,0))),"")</f>
        <v/>
      </c>
      <c r="C293" s="100">
        <f>IFERROR(IF(INDEX(Kalshi!$D$31:$D$501,MATCH($A293,Kalshi!$A$31:$A$501,0))=0,"",INDEX(Kalshi!$D$31:$D$501,MATCH($A293,Kalshi!$A$31:$A$501,0))),"")</f>
        <v/>
      </c>
      <c r="D293" s="18">
        <f>IF(AND(ISNUMBER(B293),ISNUMBER(C293)),B293-C293,"")</f>
        <v/>
      </c>
      <c r="E293" s="17">
        <f>IF(ISNUMBER(D293),ABS(D293),"")</f>
        <v/>
      </c>
      <c r="F293" s="100">
        <f>IFERROR(IF(INDEX(Polymarket!$C$25:$C$316,MATCH($A293,Polymarket!$A$25:$A$316,0))=0,"",INDEX(Polymarket!$C$25:$C$316,MATCH($A293,Polymarket!$A$25:$A$316,0))),"")</f>
        <v/>
      </c>
      <c r="G293" s="100">
        <f>IFERROR(IF(INDEX(Kalshi!$G$31:$G$501,MATCH($A293,Kalshi!$A$31:$A$501,0))=0,"",INDEX(Kalshi!$G$31:$G$501,MATCH($A293,Kalshi!$A$31:$A$501,0))),"")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IFERROR(IF(INDEX(Polymarket!$B$25:$B$316,MATCH($A294,Polymarket!$A$25:$A$316,0))=0,"",INDEX(Polymarket!$B$25:$B$316,MATCH($A294,Polymarket!$A$25:$A$316,0))),"")</f>
        <v/>
      </c>
      <c r="C294" s="101">
        <f>IFERROR(IF(INDEX(Kalshi!$D$31:$D$501,MATCH($A294,Kalshi!$A$31:$A$501,0))=0,"",INDEX(Kalshi!$D$31:$D$501,MATCH($A294,Kalshi!$A$31:$A$501,0))),"")</f>
        <v/>
      </c>
      <c r="D294" s="31">
        <f>IF(AND(ISNUMBER(B294),ISNUMBER(C294)),B294-C294,"")</f>
        <v/>
      </c>
      <c r="E294" s="29">
        <f>IF(ISNUMBER(D294),ABS(D294),"")</f>
        <v/>
      </c>
      <c r="F294" s="101">
        <f>IFERROR(IF(INDEX(Polymarket!$C$25:$C$316,MATCH($A294,Polymarket!$A$25:$A$316,0))=0,"",INDEX(Polymarket!$C$25:$C$316,MATCH($A294,Polymarket!$A$25:$A$316,0))),"")</f>
        <v/>
      </c>
      <c r="G294" s="101">
        <f>IFERROR(IF(INDEX(Kalshi!$G$31:$G$501,MATCH($A294,Kalshi!$A$31:$A$501,0))=0,"",INDEX(Kalshi!$G$31:$G$501,MATCH($A294,Kalshi!$A$31:$A$501,0))),"")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IFERROR(IF(INDEX(Polymarket!$B$25:$B$316,MATCH($A295,Polymarket!$A$25:$A$316,0))=0,"",INDEX(Polymarket!$B$25:$B$316,MATCH($A295,Polymarket!$A$25:$A$316,0))),"")</f>
        <v/>
      </c>
      <c r="C295" s="100">
        <f>IFERROR(IF(INDEX(Kalshi!$D$31:$D$501,MATCH($A295,Kalshi!$A$31:$A$501,0))=0,"",INDEX(Kalshi!$D$31:$D$501,MATCH($A295,Kalshi!$A$31:$A$501,0))),"")</f>
        <v/>
      </c>
      <c r="D295" s="18">
        <f>IF(AND(ISNUMBER(B295),ISNUMBER(C295)),B295-C295,"")</f>
        <v/>
      </c>
      <c r="E295" s="17">
        <f>IF(ISNUMBER(D295),ABS(D295),"")</f>
        <v/>
      </c>
      <c r="F295" s="100">
        <f>IFERROR(IF(INDEX(Polymarket!$C$25:$C$316,MATCH($A295,Polymarket!$A$25:$A$316,0))=0,"",INDEX(Polymarket!$C$25:$C$316,MATCH($A295,Polymarket!$A$25:$A$316,0))),"")</f>
        <v/>
      </c>
      <c r="G295" s="100">
        <f>IFERROR(IF(INDEX(Kalshi!$G$31:$G$501,MATCH($A295,Kalshi!$A$31:$A$501,0))=0,"",INDEX(Kalshi!$G$31:$G$501,MATCH($A295,Kalshi!$A$31:$A$501,0))),"")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IFERROR(IF(INDEX(Polymarket!$B$25:$B$316,MATCH($A296,Polymarket!$A$25:$A$316,0))=0,"",INDEX(Polymarket!$B$25:$B$316,MATCH($A296,Polymarket!$A$25:$A$316,0))),"")</f>
        <v/>
      </c>
      <c r="C296" s="101">
        <f>IFERROR(IF(INDEX(Kalshi!$D$31:$D$501,MATCH($A296,Kalshi!$A$31:$A$501,0))=0,"",INDEX(Kalshi!$D$31:$D$501,MATCH($A296,Kalshi!$A$31:$A$501,0))),"")</f>
        <v/>
      </c>
      <c r="D296" s="31">
        <f>IF(AND(ISNUMBER(B296),ISNUMBER(C296)),B296-C296,"")</f>
        <v/>
      </c>
      <c r="E296" s="29">
        <f>IF(ISNUMBER(D296),ABS(D296),"")</f>
        <v/>
      </c>
      <c r="F296" s="101">
        <f>IFERROR(IF(INDEX(Polymarket!$C$25:$C$316,MATCH($A296,Polymarket!$A$25:$A$316,0))=0,"",INDEX(Polymarket!$C$25:$C$316,MATCH($A296,Polymarket!$A$25:$A$316,0))),"")</f>
        <v/>
      </c>
      <c r="G296" s="101">
        <f>IFERROR(IF(INDEX(Kalshi!$G$31:$G$501,MATCH($A296,Kalshi!$A$31:$A$501,0))=0,"",INDEX(Kalshi!$G$31:$G$501,MATCH($A296,Kalshi!$A$31:$A$501,0))),"")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IFERROR(IF(INDEX(Polymarket!$B$25:$B$316,MATCH($A297,Polymarket!$A$25:$A$316,0))=0,"",INDEX(Polymarket!$B$25:$B$316,MATCH($A297,Polymarket!$A$25:$A$316,0))),"")</f>
        <v/>
      </c>
      <c r="C297" s="100">
        <f>IFERROR(IF(INDEX(Kalshi!$D$31:$D$501,MATCH($A297,Kalshi!$A$31:$A$501,0))=0,"",INDEX(Kalshi!$D$31:$D$501,MATCH($A297,Kalshi!$A$31:$A$501,0))),"")</f>
        <v/>
      </c>
      <c r="D297" s="18">
        <f>IF(AND(ISNUMBER(B297),ISNUMBER(C297)),B297-C297,"")</f>
        <v/>
      </c>
      <c r="E297" s="17">
        <f>IF(ISNUMBER(D297),ABS(D297),"")</f>
        <v/>
      </c>
      <c r="F297" s="100">
        <f>IFERROR(IF(INDEX(Polymarket!$C$25:$C$316,MATCH($A297,Polymarket!$A$25:$A$316,0))=0,"",INDEX(Polymarket!$C$25:$C$316,MATCH($A297,Polymarket!$A$25:$A$316,0))),"")</f>
        <v/>
      </c>
      <c r="G297" s="100">
        <f>IFERROR(IF(INDEX(Kalshi!$G$31:$G$501,MATCH($A297,Kalshi!$A$31:$A$501,0))=0,"",INDEX(Kalshi!$G$31:$G$501,MATCH($A297,Kalshi!$A$31:$A$501,0))),"")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IFERROR(IF(INDEX(Polymarket!$B$25:$B$316,MATCH($A298,Polymarket!$A$25:$A$316,0))=0,"",INDEX(Polymarket!$B$25:$B$316,MATCH($A298,Polymarket!$A$25:$A$316,0))),"")</f>
        <v/>
      </c>
      <c r="C298" s="101">
        <f>IFERROR(IF(INDEX(Kalshi!$D$31:$D$501,MATCH($A298,Kalshi!$A$31:$A$501,0))=0,"",INDEX(Kalshi!$D$31:$D$501,MATCH($A298,Kalshi!$A$31:$A$501,0))),"")</f>
        <v/>
      </c>
      <c r="D298" s="31">
        <f>IF(AND(ISNUMBER(B298),ISNUMBER(C298)),B298-C298,"")</f>
        <v/>
      </c>
      <c r="E298" s="29">
        <f>IF(ISNUMBER(D298),ABS(D298),"")</f>
        <v/>
      </c>
      <c r="F298" s="101">
        <f>IFERROR(IF(INDEX(Polymarket!$C$25:$C$316,MATCH($A298,Polymarket!$A$25:$A$316,0))=0,"",INDEX(Polymarket!$C$25:$C$316,MATCH($A298,Polymarket!$A$25:$A$316,0))),"")</f>
        <v/>
      </c>
      <c r="G298" s="101">
        <f>IFERROR(IF(INDEX(Kalshi!$G$31:$G$501,MATCH($A298,Kalshi!$A$31:$A$501,0))=0,"",INDEX(Kalshi!$G$31:$G$501,MATCH($A298,Kalshi!$A$31:$A$501,0))),"")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IFERROR(IF(INDEX(Polymarket!$B$25:$B$316,MATCH($A299,Polymarket!$A$25:$A$316,0))=0,"",INDEX(Polymarket!$B$25:$B$316,MATCH($A299,Polymarket!$A$25:$A$316,0))),"")</f>
        <v/>
      </c>
      <c r="C299" s="100">
        <f>IFERROR(IF(INDEX(Kalshi!$D$31:$D$501,MATCH($A299,Kalshi!$A$31:$A$501,0))=0,"",INDEX(Kalshi!$D$31:$D$501,MATCH($A299,Kalshi!$A$31:$A$501,0))),"")</f>
        <v/>
      </c>
      <c r="D299" s="18">
        <f>IF(AND(ISNUMBER(B299),ISNUMBER(C299)),B299-C299,"")</f>
        <v/>
      </c>
      <c r="E299" s="17">
        <f>IF(ISNUMBER(D299),ABS(D299),"")</f>
        <v/>
      </c>
      <c r="F299" s="100">
        <f>IFERROR(IF(INDEX(Polymarket!$C$25:$C$316,MATCH($A299,Polymarket!$A$25:$A$316,0))=0,"",INDEX(Polymarket!$C$25:$C$316,MATCH($A299,Polymarket!$A$25:$A$316,0))),"")</f>
        <v/>
      </c>
      <c r="G299" s="100">
        <f>IFERROR(IF(INDEX(Kalshi!$G$31:$G$501,MATCH($A299,Kalshi!$A$31:$A$501,0))=0,"",INDEX(Kalshi!$G$31:$G$501,MATCH($A299,Kalshi!$A$31:$A$501,0))),"")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IFERROR(IF(INDEX(Polymarket!$B$25:$B$316,MATCH($A300,Polymarket!$A$25:$A$316,0))=0,"",INDEX(Polymarket!$B$25:$B$316,MATCH($A300,Polymarket!$A$25:$A$316,0))),"")</f>
        <v/>
      </c>
      <c r="C300" s="101">
        <f>IFERROR(IF(INDEX(Kalshi!$D$31:$D$501,MATCH($A300,Kalshi!$A$31:$A$501,0))=0,"",INDEX(Kalshi!$D$31:$D$501,MATCH($A300,Kalshi!$A$31:$A$501,0))),"")</f>
        <v/>
      </c>
      <c r="D300" s="31">
        <f>IF(AND(ISNUMBER(B300),ISNUMBER(C300)),B300-C300,"")</f>
        <v/>
      </c>
      <c r="E300" s="29">
        <f>IF(ISNUMBER(D300),ABS(D300),"")</f>
        <v/>
      </c>
      <c r="F300" s="101">
        <f>IFERROR(IF(INDEX(Polymarket!$C$25:$C$316,MATCH($A300,Polymarket!$A$25:$A$316,0))=0,"",INDEX(Polymarket!$C$25:$C$316,MATCH($A300,Polymarket!$A$25:$A$316,0))),"")</f>
        <v/>
      </c>
      <c r="G300" s="101">
        <f>IFERROR(IF(INDEX(Kalshi!$G$31:$G$501,MATCH($A300,Kalshi!$A$31:$A$501,0))=0,"",INDEX(Kalshi!$G$31:$G$501,MATCH($A300,Kalshi!$A$31:$A$501,0))),"")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IFERROR(IF(INDEX(Polymarket!$B$25:$B$316,MATCH($A301,Polymarket!$A$25:$A$316,0))=0,"",INDEX(Polymarket!$B$25:$B$316,MATCH($A301,Polymarket!$A$25:$A$316,0))),"")</f>
        <v/>
      </c>
      <c r="C301" s="100">
        <f>IFERROR(IF(INDEX(Kalshi!$D$31:$D$501,MATCH($A301,Kalshi!$A$31:$A$501,0))=0,"",INDEX(Kalshi!$D$31:$D$501,MATCH($A301,Kalshi!$A$31:$A$501,0))),"")</f>
        <v/>
      </c>
      <c r="D301" s="18">
        <f>IF(AND(ISNUMBER(B301),ISNUMBER(C301)),B301-C301,"")</f>
        <v/>
      </c>
      <c r="E301" s="17">
        <f>IF(ISNUMBER(D301),ABS(D301),"")</f>
        <v/>
      </c>
      <c r="F301" s="100">
        <f>IFERROR(IF(INDEX(Polymarket!$C$25:$C$316,MATCH($A301,Polymarket!$A$25:$A$316,0))=0,"",INDEX(Polymarket!$C$25:$C$316,MATCH($A301,Polymarket!$A$25:$A$316,0))),"")</f>
        <v/>
      </c>
      <c r="G301" s="100">
        <f>IFERROR(IF(INDEX(Kalshi!$G$31:$G$501,MATCH($A301,Kalshi!$A$31:$A$501,0))=0,"",INDEX(Kalshi!$G$31:$G$501,MATCH($A301,Kalshi!$A$31:$A$501,0))),"")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IFERROR(IF(INDEX(Polymarket!$B$25:$B$316,MATCH($A302,Polymarket!$A$25:$A$316,0))=0,"",INDEX(Polymarket!$B$25:$B$316,MATCH($A302,Polymarket!$A$25:$A$316,0))),"")</f>
        <v/>
      </c>
      <c r="C302" s="101">
        <f>IFERROR(IF(INDEX(Kalshi!$D$31:$D$501,MATCH($A302,Kalshi!$A$31:$A$501,0))=0,"",INDEX(Kalshi!$D$31:$D$501,MATCH($A302,Kalshi!$A$31:$A$501,0))),"")</f>
        <v/>
      </c>
      <c r="D302" s="31">
        <f>IF(AND(ISNUMBER(B302),ISNUMBER(C302)),B302-C302,"")</f>
        <v/>
      </c>
      <c r="E302" s="29">
        <f>IF(ISNUMBER(D302),ABS(D302),"")</f>
        <v/>
      </c>
      <c r="F302" s="101">
        <f>IFERROR(IF(INDEX(Polymarket!$C$25:$C$316,MATCH($A302,Polymarket!$A$25:$A$316,0))=0,"",INDEX(Polymarket!$C$25:$C$316,MATCH($A302,Polymarket!$A$25:$A$316,0))),"")</f>
        <v/>
      </c>
      <c r="G302" s="101">
        <f>IFERROR(IF(INDEX(Kalshi!$G$31:$G$501,MATCH($A302,Kalshi!$A$31:$A$501,0))=0,"",INDEX(Kalshi!$G$31:$G$501,MATCH($A302,Kalshi!$A$31:$A$501,0))),"")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IFERROR(IF(INDEX(Polymarket!$B$25:$B$316,MATCH($A303,Polymarket!$A$25:$A$316,0))=0,"",INDEX(Polymarket!$B$25:$B$316,MATCH($A303,Polymarket!$A$25:$A$316,0))),"")</f>
        <v/>
      </c>
      <c r="C303" s="100">
        <f>IFERROR(IF(INDEX(Kalshi!$D$31:$D$501,MATCH($A303,Kalshi!$A$31:$A$501,0))=0,"",INDEX(Kalshi!$D$31:$D$501,MATCH($A303,Kalshi!$A$31:$A$501,0))),"")</f>
        <v/>
      </c>
      <c r="D303" s="18">
        <f>IF(AND(ISNUMBER(B303),ISNUMBER(C303)),B303-C303,"")</f>
        <v/>
      </c>
      <c r="E303" s="17">
        <f>IF(ISNUMBER(D303),ABS(D303),"")</f>
        <v/>
      </c>
      <c r="F303" s="100">
        <f>IFERROR(IF(INDEX(Polymarket!$C$25:$C$316,MATCH($A303,Polymarket!$A$25:$A$316,0))=0,"",INDEX(Polymarket!$C$25:$C$316,MATCH($A303,Polymarket!$A$25:$A$316,0))),"")</f>
        <v/>
      </c>
      <c r="G303" s="100">
        <f>IFERROR(IF(INDEX(Kalshi!$G$31:$G$501,MATCH($A303,Kalshi!$A$31:$A$501,0))=0,"",INDEX(Kalshi!$G$31:$G$501,MATCH($A303,Kalshi!$A$31:$A$501,0))),"")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IFERROR(IF(INDEX(Polymarket!$B$25:$B$316,MATCH($A304,Polymarket!$A$25:$A$316,0))=0,"",INDEX(Polymarket!$B$25:$B$316,MATCH($A304,Polymarket!$A$25:$A$316,0))),"")</f>
        <v/>
      </c>
      <c r="C304" s="101">
        <f>IFERROR(IF(INDEX(Kalshi!$D$31:$D$501,MATCH($A304,Kalshi!$A$31:$A$501,0))=0,"",INDEX(Kalshi!$D$31:$D$501,MATCH($A304,Kalshi!$A$31:$A$501,0))),"")</f>
        <v/>
      </c>
      <c r="D304" s="31">
        <f>IF(AND(ISNUMBER(B304),ISNUMBER(C304)),B304-C304,"")</f>
        <v/>
      </c>
      <c r="E304" s="29">
        <f>IF(ISNUMBER(D304),ABS(D304),"")</f>
        <v/>
      </c>
      <c r="F304" s="101">
        <f>IFERROR(IF(INDEX(Polymarket!$C$25:$C$316,MATCH($A304,Polymarket!$A$25:$A$316,0))=0,"",INDEX(Polymarket!$C$25:$C$316,MATCH($A304,Polymarket!$A$25:$A$316,0))),"")</f>
        <v/>
      </c>
      <c r="G304" s="101">
        <f>IFERROR(IF(INDEX(Kalshi!$G$31:$G$501,MATCH($A304,Kalshi!$A$31:$A$501,0))=0,"",INDEX(Kalshi!$G$31:$G$501,MATCH($A304,Kalshi!$A$31:$A$501,0))),"")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IFERROR(IF(INDEX(Polymarket!$B$25:$B$316,MATCH($A305,Polymarket!$A$25:$A$316,0))=0,"",INDEX(Polymarket!$B$25:$B$316,MATCH($A305,Polymarket!$A$25:$A$316,0))),"")</f>
        <v/>
      </c>
      <c r="C305" s="100">
        <f>IFERROR(IF(INDEX(Kalshi!$D$31:$D$501,MATCH($A305,Kalshi!$A$31:$A$501,0))=0,"",INDEX(Kalshi!$D$31:$D$501,MATCH($A305,Kalshi!$A$31:$A$501,0))),"")</f>
        <v/>
      </c>
      <c r="D305" s="18">
        <f>IF(AND(ISNUMBER(B305),ISNUMBER(C305)),B305-C305,"")</f>
        <v/>
      </c>
      <c r="E305" s="17">
        <f>IF(ISNUMBER(D305),ABS(D305),"")</f>
        <v/>
      </c>
      <c r="F305" s="100">
        <f>IFERROR(IF(INDEX(Polymarket!$C$25:$C$316,MATCH($A305,Polymarket!$A$25:$A$316,0))=0,"",INDEX(Polymarket!$C$25:$C$316,MATCH($A305,Polymarket!$A$25:$A$316,0))),"")</f>
        <v/>
      </c>
      <c r="G305" s="100">
        <f>IFERROR(IF(INDEX(Kalshi!$G$31:$G$501,MATCH($A305,Kalshi!$A$31:$A$501,0))=0,"",INDEX(Kalshi!$G$31:$G$501,MATCH($A305,Kalshi!$A$31:$A$501,0))),"")</f>
        <v/>
      </c>
      <c r="H305" s="20">
        <f>IF(AND(ISNUMBER(B305),ISNUMBER(C305)),MIN(B305,C305),"")</f>
        <v/>
      </c>
      <c r="I305" s="20">
        <f>IF(AND(ISNUMBER(F305),ISNUMBER(G305)),MIN(F305,G305),"")</f>
        <v/>
      </c>
      <c r="J305" s="17">
        <f>IF(AND(ISNUMBER(H305),ISNUMBER(I305)),H305+I305,"")</f>
        <v/>
      </c>
      <c r="K305" s="16" t="n">
        <v>0.5</v>
      </c>
      <c r="L305" s="26" t="inlineStr">
        <is>
          <t>25 Oct</t>
        </is>
      </c>
    </row>
    <row r="306">
      <c r="A306" s="41" t="n">
        <v>46322</v>
      </c>
      <c r="B306" s="101">
        <f>IFERROR(IF(INDEX(Polymarket!$B$25:$B$316,MATCH($A306,Polymarket!$A$25:$A$316,0))=0,"",INDEX(Polymarket!$B$25:$B$316,MATCH($A306,Polymarket!$A$25:$A$316,0))),"")</f>
        <v/>
      </c>
      <c r="C306" s="101">
        <f>IFERROR(IF(INDEX(Kalshi!$D$31:$D$501,MATCH($A306,Kalshi!$A$31:$A$501,0))=0,"",INDEX(Kalshi!$D$31:$D$501,MATCH($A306,Kalshi!$A$31:$A$501,0))),"")</f>
        <v/>
      </c>
      <c r="D306" s="31">
        <f>IF(AND(ISNUMBER(B306),ISNUMBER(C306)),B306-C306,"")</f>
        <v/>
      </c>
      <c r="E306" s="29">
        <f>IF(ISNUMBER(D306),ABS(D306),"")</f>
        <v/>
      </c>
      <c r="F306" s="101">
        <f>IFERROR(IF(INDEX(Polymarket!$C$25:$C$316,MATCH($A306,Polymarket!$A$25:$A$316,0))=0,"",INDEX(Polymarket!$C$25:$C$316,MATCH($A306,Polymarket!$A$25:$A$316,0))),"")</f>
        <v/>
      </c>
      <c r="G306" s="101">
        <f>IFERROR(IF(INDEX(Kalshi!$G$31:$G$501,MATCH($A306,Kalshi!$A$31:$A$501,0))=0,"",INDEX(Kalshi!$G$31:$G$501,MATCH($A306,Kalshi!$A$31:$A$501,0))),"")</f>
        <v/>
      </c>
      <c r="H306" s="30">
        <f>IF(AND(ISNUMBER(B306),ISNUMBER(C306)),MIN(B306,C306),"")</f>
        <v/>
      </c>
      <c r="I306" s="30">
        <f>IF(AND(ISNUMBER(F306),ISNUMBER(G306)),MIN(F306,G306),"")</f>
        <v/>
      </c>
      <c r="J306" s="29">
        <f>IF(AND(ISNUMBER(H306),ISNUMBER(I306)),H306+I306,"")</f>
        <v/>
      </c>
      <c r="K306" s="28" t="n">
        <v>0.5</v>
      </c>
      <c r="L306" s="38" t="inlineStr">
        <is>
          <t>27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2026-10-27 16:38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2026-10-27T16:38:08Z</dcterms:created>
  <dcterms:modified xsi:type="dcterms:W3CDTF">2026-10-27T16:38:12Z</dcterms:modified>
</cp:coreProperties>
</file>