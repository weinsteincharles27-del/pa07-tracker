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 fontId="6" fillId="0" borderId="1" pivotButton="0" quotePrefix="0" xfId="0"/>
    <xf numFmtId="10" fontId="7" fillId="7" borderId="1" pivotButton="0" quotePrefix="0" xfId="0"/>
    <xf numFmtId="171" fontId="8" fillId="0" borderId="1"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74"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Comparison'!$L$15:$L$265</f>
            </numRef>
          </cat>
          <val>
            <numRef>
              <f>'Venue Comparison'!$B$15:$B$265</f>
            </numRef>
          </val>
          <smooth val="0"/>
        </ser>
        <ser>
          <idx val="1"/>
          <order val="1"/>
          <tx>
            <strRef>
              <f>'Venue Comparison'!C14</f>
            </strRef>
          </tx>
          <spPr>
            <a:ln w="22000">
              <a:solidFill>
                <a:srgbClr val="E8802B"/>
              </a:solidFill>
              <a:prstDash val="solid"/>
            </a:ln>
          </spPr>
          <marker>
            <symbol val="none"/>
            <spPr>
              <a:ln>
                <a:prstDash val="solid"/>
              </a:ln>
            </spPr>
          </marker>
          <cat>
            <numRef>
              <f>'Venue Comparison'!$L$15:$L$265</f>
            </numRef>
          </cat>
          <val>
            <numRef>
              <f>'Venue Comparison'!$C$15:$C$265</f>
            </numRef>
          </val>
          <smooth val="0"/>
        </ser>
        <ser>
          <idx val="2"/>
          <order val="2"/>
          <tx>
            <strRef>
              <f>'Venue Comparison'!K14</f>
            </strRef>
          </tx>
          <spPr>
            <a:ln w="12000">
              <a:solidFill>
                <a:srgbClr val="9AA5B1"/>
              </a:solidFill>
              <a:prstDash val="dash"/>
            </a:ln>
          </spPr>
          <marker>
            <symbol val="none"/>
            <spPr>
              <a:ln>
                <a:prstDash val="solid"/>
              </a:ln>
            </spPr>
          </marker>
          <cat>
            <numRef>
              <f>'Venue Comparison'!$L$15:$L$265</f>
            </numRef>
          </cat>
          <val>
            <numRef>
              <f>'Venue Comparison'!$K$15:$K$265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Comparison'!$L$15:$L$265</f>
            </numRef>
          </cat>
          <val>
            <numRef>
              <f>'Venue Comparison'!$D$15:$D$265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'Kalshi'!$M$31:$M$458</f>
            </numRef>
          </cat>
          <val>
            <numRef>
              <f>'Kalshi'!$B$31:$B$458</f>
            </numRef>
          </val>
          <smooth val="0"/>
        </ser>
        <ser>
          <idx val="1"/>
          <order val="1"/>
          <tx>
            <strRef>
              <f>'Kalshi'!C30</f>
            </strRef>
          </tx>
          <spPr>
            <a:ln w="16000">
              <a:solidFill>
                <a:srgbClr val="E8802B"/>
              </a:solidFill>
              <a:prstDash val="solid"/>
            </a:ln>
          </spPr>
          <marker>
            <symbol val="none"/>
            <spPr>
              <a:ln>
                <a:prstDash val="solid"/>
              </a:ln>
            </spPr>
          </marker>
          <cat>
            <numRef>
              <f>'Kalshi'!$M$31:$M$458</f>
            </numRef>
          </cat>
          <val>
            <numRef>
              <f>'Kalshi'!$C$31:$C$458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'Kalshi'!$M$31:$M$458</f>
            </numRef>
          </cat>
          <val>
            <numRef>
              <f>'Kalshi'!$L$31:$L$458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'Polymarket'!$K$25:$K$275</f>
            </numRef>
          </cat>
          <val>
            <numRef>
              <f>'Polymarket'!$D$25:$D$275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'Polymarket'!$K$25:$K$275</f>
            </numRef>
          </cat>
          <val>
            <numRef>
              <f>'Polymarket'!$B$25:$B$275</f>
            </numRef>
          </val>
          <smooth val="0"/>
        </ser>
        <ser>
          <idx val="1"/>
          <order val="1"/>
          <tx>
            <strRef>
              <f>'Polymarket'!C24</f>
            </strRef>
          </tx>
          <spPr>
            <a:ln w="22000">
              <a:solidFill>
                <a:srgbClr val="C0392B"/>
              </a:solidFill>
              <a:prstDash val="solid"/>
            </a:ln>
          </spPr>
          <marker>
            <symbol val="none"/>
            <spPr>
              <a:ln>
                <a:prstDash val="solid"/>
              </a:ln>
            </spPr>
          </marker>
          <cat>
            <numRef>
              <f>'Polymarket'!$K$25:$K$275</f>
            </numRef>
          </cat>
          <val>
            <numRef>
              <f>'Polymarket'!$C$25:$C$275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Kalshi margin — probability by bucket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Victory'!G81</f>
            </strRef>
          </tx>
          <spPr>
            <a:solidFill>
              <a:srgbClr val="E8802B"/>
            </a:solidFill>
            <a:ln>
              <a:prstDash val="solid"/>
            </a:ln>
          </spPr>
          <cat>
            <numRef>
              <f>'Margin of Victory'!$F$82:$F$86</f>
            </numRef>
          </cat>
          <val>
            <numRef>
              <f>'Margin of Victory'!$G$82:$G$86</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Derived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3.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6"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9"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 ref="H81" authorId="0" shapeId="0">
      <text>
        <t>ASSUMPTION: the representative margin for each bucket, signed so Democratic wins are positive. Closed buckets use their true centre. The two open-ended rungs are judgement calls — 'Democrats, 15+ pts' is taken as +18.0 and 'Republicans, 9+ pts' as -11.0. Both feed the expected margin below; change them here and it updates.</t>
      </text>
    </comment>
    <comment ref="G85" authorId="0" shapeId="0">
      <text>
        <t>Kalshi quotes no 0-3 rung, so this is P(wins) from the winner market minus P(wins by 3+) from this ladder — two independently quoted markets. When their spreads overlap the subtraction can go NEGATIVE; MAX(0,...) keeps a negative probability out of the distribution, and the CONSISTENCY CHECK below reports whether the inversion is a midpoint artifact or a genuinely executable edge. Whatever the clamp discards is not shown anywhere else, so read that check before trusting this bucket.</t>
      </text>
    </comment>
    <comment ref="G93" authorId="0" shapeId="0">
      <text>
        <t>Buckets are derived from two separate markets, so this does not have to land on exactly 100%. A large miss means the winner market and the margin ladder disagree about the race.</t>
      </text>
    </comment>
    <comment ref="B100" authorId="0" shapeId="0">
      <text>
        <t>This is the sum of the two clamped 0-3 buckets, so it is the figure MOST exposed to the clamp: whenever an inversion is clamped away, the discarded probability is silently missing from here and this reads too high. The expected margin above barely moves under the clamp (a 0-3 bucket carries a small representative value either way), but this one does. Check the consistency verdict below before quoting it.</t>
      </text>
    </comment>
    <comment ref="B104" authorId="0" shapeId="0">
      <text>
        <t>Sell the 3+ rung at its bid, buy the winner at its ask. Positive means the inversion is actually tradeable; negative means it sits inside the spread and is only an artifact of quoting both markets at their midpoints.</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 Type="http://schemas.openxmlformats.org/officeDocument/2006/relationships/chart" Target="/xl/charts/chart13.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90</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3"/>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2026-09-14 21:26 UTC.</t>
        </is>
      </c>
    </row>
    <row r="4">
      <c r="A4" s="3" t="inlineStr">
        <is>
          <t>HEADLINE</t>
        </is>
      </c>
      <c r="B4" s="4" t="n"/>
      <c r="C4" s="4" t="n"/>
      <c r="D4" s="4" t="n"/>
      <c r="E4" s="4" t="n"/>
      <c r="F4" s="4" t="n"/>
      <c r="G4" s="4" t="n"/>
      <c r="H4" s="4" t="n"/>
    </row>
    <row r="5" ht="30" customHeight="1">
      <c r="A5" s="6" t="inlineStr">
        <is>
          <t>Consensus Democratic win probability</t>
        </is>
      </c>
      <c r="B5" s="115">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5">
        <f>AVERAGE(Polymarket!D20,Kalshi!E18)</f>
        <v/>
      </c>
      <c r="C6" s="67" t="n"/>
      <c r="D6" s="2" t="inlineStr">
        <is>
          <t>Bob Brooks (D) vs incumbent Ryan Mackenzie (R).</t>
        </is>
      </c>
    </row>
    <row r="7" ht="30" customHeight="1">
      <c r="A7" s="6" t="inlineStr">
        <is>
          <t>Market-implied margin (D−R)</t>
        </is>
      </c>
      <c r="B7" s="116">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7">
        <f>Polymarket!D19</f>
        <v/>
      </c>
      <c r="C26" s="118">
        <f>Polymarket!D20</f>
        <v/>
      </c>
      <c r="D26" s="85">
        <f>Polymarket!D21</f>
        <v/>
      </c>
      <c r="E26" s="18">
        <f>B26+C26-1</f>
        <v/>
      </c>
      <c r="F26" s="119">
        <f>Polymarket!E19</f>
        <v/>
      </c>
      <c r="G26" s="20">
        <f>IFERROR(B26/D26,"")</f>
        <v/>
      </c>
      <c r="H26" s="120">
        <f>Polymarket!B12+Polymarket!C12</f>
        <v/>
      </c>
    </row>
    <row r="27">
      <c r="A27" s="22" t="inlineStr">
        <is>
          <t>Kalshi</t>
        </is>
      </c>
      <c r="B27" s="117">
        <f>Kalshi!E17</f>
        <v/>
      </c>
      <c r="C27" s="118">
        <f>Kalshi!E18</f>
        <v/>
      </c>
      <c r="D27" s="85">
        <f>Kalshi!E19</f>
        <v/>
      </c>
      <c r="E27" s="18">
        <f>B27+C27-1</f>
        <v/>
      </c>
      <c r="F27" s="119">
        <f>Kalshi!F17</f>
        <v/>
      </c>
      <c r="G27" s="20">
        <f>IFERROR(B27/D27,"")</f>
        <v/>
      </c>
      <c r="H27" s="120">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21">
        <f>B5</f>
        <v/>
      </c>
      <c r="E32" s="59" t="inlineStr">
        <is>
          <t>Polymarket / Kalshi</t>
        </is>
      </c>
    </row>
    <row r="33">
      <c r="A33" s="122" t="inlineStr">
        <is>
          <t>Margin of victory</t>
        </is>
      </c>
      <c r="B33" s="60" t="inlineStr">
        <is>
          <t>Polymarket only</t>
        </is>
      </c>
      <c r="C33" s="60" t="inlineStr">
        <is>
          <t>Expected margin (D−R)</t>
        </is>
      </c>
      <c r="D33" s="123">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21">
        <f>'Margin of Victory'!B32</f>
        <v/>
      </c>
      <c r="E34" s="59" t="inlineStr">
        <is>
          <t>Margin of Victory</t>
        </is>
      </c>
    </row>
    <row r="35">
      <c r="A35" s="122" t="inlineStr">
        <is>
          <t>Margin of victory</t>
        </is>
      </c>
      <c r="B35" s="60" t="inlineStr">
        <is>
          <t>Kalshi</t>
        </is>
      </c>
      <c r="C35" s="60" t="inlineStr">
        <is>
          <t>Expected margin (D−R)</t>
        </is>
      </c>
      <c r="D35" s="123">
        <f>'Margin of Victory'!B96</f>
        <v/>
      </c>
      <c r="E35" s="60" t="inlineStr">
        <is>
          <t>Margin of Victory</t>
        </is>
      </c>
      <c r="F35" s="88" t="n"/>
      <c r="G35" s="88" t="n"/>
      <c r="H35" s="88" t="n"/>
    </row>
    <row r="36">
      <c r="A36" s="6" t="inlineStr">
        <is>
          <t>Voter turnout</t>
        </is>
      </c>
      <c r="B36" s="59" t="inlineStr">
        <is>
          <t>Kalshi only</t>
        </is>
      </c>
      <c r="C36" s="59" t="inlineStr">
        <is>
          <t>Expected ballots cast</t>
        </is>
      </c>
      <c r="D36" s="124">
        <f>'Voter Turnout'!B22</f>
        <v/>
      </c>
      <c r="E36" s="59" t="inlineStr">
        <is>
          <t>Voter Turnout</t>
        </is>
      </c>
    </row>
    <row r="37">
      <c r="A37" s="122" t="inlineStr">
        <is>
          <t>PA Democratic seats</t>
        </is>
      </c>
      <c r="B37" s="60" t="inlineStr">
        <is>
          <t>Kalshi only</t>
        </is>
      </c>
      <c r="C37" s="60" t="inlineStr">
        <is>
          <t>Expected seats of 17</t>
        </is>
      </c>
      <c r="D37" s="125">
        <f>'PA Seat Count'!B24</f>
        <v/>
      </c>
      <c r="E37" s="60" t="inlineStr">
        <is>
          <t>PA Seat Count</t>
        </is>
      </c>
      <c r="F37" s="88" t="n"/>
      <c r="G37" s="88" t="n"/>
      <c r="H37" s="88" t="n"/>
    </row>
    <row r="38">
      <c r="A38" s="6" t="inlineStr">
        <is>
          <t>Dem primary (settled)</t>
        </is>
      </c>
      <c r="B38" s="59" t="inlineStr">
        <is>
          <t>Kalshi + polls</t>
        </is>
      </c>
      <c r="C38" s="59" t="inlineStr">
        <is>
          <t>Brooks actual result</t>
        </is>
      </c>
      <c r="D38" s="126">
        <f>Polls!H49</f>
        <v/>
      </c>
      <c r="E38" s="59" t="inlineStr">
        <is>
          <t>Polls</t>
        </is>
      </c>
    </row>
    <row r="39">
      <c r="A39" s="2" t="inlineStr">
        <is>
          <t>Margin of victory is quoted on BOTH venues — Polymarket as exclusive brackets, Kalshi as thresholds (KXMIDTERMMOV-PA07D/R) — and the two expected margins are compared on the Margin of Victory sheet. Turnout is Kalshi-only. PA-07 still has no entry in Kalshi's closest-race market, and its PA-07 nominee and 2024 events return no tradeable markets. Full inventory on Notes &amp; Sources.</t>
        </is>
      </c>
    </row>
    <row r="41">
      <c r="A41" s="3" t="inlineStr">
        <is>
          <t>CROSS-VENUE ARBITRAGE CHECK (live, executable prices)</t>
        </is>
      </c>
      <c r="B41" s="4" t="n"/>
      <c r="C41" s="4" t="n"/>
      <c r="D41" s="4" t="n"/>
      <c r="E41" s="4" t="n"/>
      <c r="F41" s="4" t="n"/>
      <c r="G41" s="4" t="n"/>
      <c r="H41" s="4" t="n"/>
    </row>
    <row r="42">
      <c r="A42" s="6" t="inlineStr">
        <is>
          <t>Cheapest Dem YES ask</t>
        </is>
      </c>
      <c r="B42" s="17">
        <f>MIN(Polymarket!C19,Kalshi!D17)</f>
        <v/>
      </c>
      <c r="C42" s="127">
        <f>IF(Polymarket!C19&lt;=Kalshi!D17,"Polymarket","Kalshi")</f>
        <v/>
      </c>
    </row>
    <row r="43">
      <c r="A43" s="6" t="inlineStr">
        <is>
          <t>Cheapest Rep YES ask</t>
        </is>
      </c>
      <c r="B43" s="17">
        <f>MIN(Polymarket!C20,Kalshi!D18)</f>
        <v/>
      </c>
      <c r="C43" s="127">
        <f>IF(Polymarket!C20&lt;=Kalshi!D18,"Polymarket","Kalshi")</f>
        <v/>
      </c>
    </row>
    <row r="44">
      <c r="A44" s="6" t="inlineStr">
        <is>
          <t>Total cost of both legs</t>
        </is>
      </c>
      <c r="B44" s="23">
        <f>B42+B43</f>
        <v/>
      </c>
    </row>
    <row r="45">
      <c r="A45" s="6" t="inlineStr">
        <is>
          <t>Gross edge per $1 payout</t>
        </is>
      </c>
      <c r="B45" s="57">
        <f>1-B44</f>
        <v/>
      </c>
    </row>
    <row r="46">
      <c r="A46" s="6" t="inlineStr">
        <is>
          <t>Arbitrage present?</t>
        </is>
      </c>
      <c r="B46" s="6">
        <f>IF(B45&gt;0,"YES — gross, before fees","No")</f>
        <v/>
      </c>
      <c r="C46" s="66" t="n"/>
      <c r="D46" s="67" t="n"/>
    </row>
    <row r="48">
      <c r="A48" s="3" t="inlineStr">
        <is>
          <t>MOMENTUM — Polymarket Democratic price</t>
        </is>
      </c>
      <c r="B48" s="4" t="n"/>
      <c r="C48" s="4" t="n"/>
      <c r="D48" s="4" t="n"/>
      <c r="E48" s="4" t="n"/>
      <c r="F48" s="4" t="n"/>
      <c r="G48" s="4" t="n"/>
      <c r="H48" s="4" t="n"/>
    </row>
    <row r="49">
      <c r="A49" s="6" t="inlineStr">
        <is>
          <t>Latest</t>
        </is>
      </c>
      <c r="B49" s="104">
        <f>IFERROR(IF(INDEX(Polymarket!$B$25:$B$275,MATCH(Polymarket!$A$275-0,Polymarket!$A$25:$A$275,1))=0,"",INDEX(Polymarket!$B$25:$B$275,MATCH(Polymarket!$A$275-0,Polymarket!$A$25:$A$275,1))),"")</f>
        <v/>
      </c>
      <c r="C49" s="2" t="inlineStr">
        <is>
          <t>change vs latest</t>
        </is>
      </c>
      <c r="D49" s="128">
        <f>IFERROR(IF(INDEX(Polymarket!$A$25:$A$275,MATCH(Polymarket!$A$275-0,Polymarket!$A$25:$A$275,1))=0,"",INDEX(Polymarket!$A$25:$A$275,MATCH(Polymarket!$A$275-0,Polymarket!$A$25:$A$275,1))),"")</f>
        <v/>
      </c>
      <c r="E49" s="2" t="inlineStr">
        <is>
          <t>date actually used</t>
        </is>
      </c>
    </row>
    <row r="50">
      <c r="A50" s="6" t="inlineStr">
        <is>
          <t>7 days ago</t>
        </is>
      </c>
      <c r="B50" s="104">
        <f>IFERROR(IF(INDEX(Polymarket!$B$25:$B$275,MATCH(Polymarket!$A$275-7,Polymarket!$A$25:$A$275,1))=0,"",INDEX(Polymarket!$B$25:$B$275,MATCH(Polymarket!$A$275-7,Polymarket!$A$25:$A$275,1))),"")</f>
        <v/>
      </c>
      <c r="C50" s="18">
        <f>IF(AND(ISNUMBER(B49),ISNUMBER(B50)),B49-B50,"")</f>
        <v/>
      </c>
      <c r="D50" s="128">
        <f>IFERROR(IF(INDEX(Polymarket!$A$25:$A$275,MATCH(Polymarket!$A$275-7,Polymarket!$A$25:$A$275,1))=0,"",INDEX(Polymarket!$A$25:$A$275,MATCH(Polymarket!$A$275-7,Polymarket!$A$25:$A$275,1))),"")</f>
        <v/>
      </c>
    </row>
    <row r="51">
      <c r="A51" s="6" t="inlineStr">
        <is>
          <t>30 days ago</t>
        </is>
      </c>
      <c r="B51" s="104">
        <f>IFERROR(IF(INDEX(Polymarket!$B$25:$B$275,MATCH(Polymarket!$A$275-30,Polymarket!$A$25:$A$275,1))=0,"",INDEX(Polymarket!$B$25:$B$275,MATCH(Polymarket!$A$275-30,Polymarket!$A$25:$A$275,1))),"")</f>
        <v/>
      </c>
      <c r="C51" s="18">
        <f>IF(AND(ISNUMBER(B49),ISNUMBER(B51)),B49-B51,"")</f>
        <v/>
      </c>
      <c r="D51" s="128">
        <f>IFERROR(IF(INDEX(Polymarket!$A$25:$A$275,MATCH(Polymarket!$A$275-30,Polymarket!$A$25:$A$275,1))=0,"",INDEX(Polymarket!$A$25:$A$275,MATCH(Polymarket!$A$275-30,Polymarket!$A$25:$A$275,1))),"")</f>
        <v/>
      </c>
    </row>
    <row r="52">
      <c r="A52" s="6" t="inlineStr">
        <is>
          <t>90 days ago</t>
        </is>
      </c>
      <c r="B52" s="104">
        <f>IFERROR(IF(INDEX(Polymarket!$B$25:$B$275,MATCH(Polymarket!$A$275-90,Polymarket!$A$25:$A$275,1))=0,"",INDEX(Polymarket!$B$25:$B$275,MATCH(Polymarket!$A$275-90,Polymarket!$A$25:$A$275,1))),"")</f>
        <v/>
      </c>
      <c r="C52" s="18">
        <f>IF(AND(ISNUMBER(B49),ISNUMBER(B52)),B49-B52,"")</f>
        <v/>
      </c>
      <c r="D52" s="128">
        <f>IFERROR(IF(INDEX(Polymarket!$A$25:$A$275,MATCH(Polymarket!$A$275-90,Polymarket!$A$25:$A$275,1))=0,"",INDEX(Polymarket!$A$25:$A$275,MATCH(Polymarket!$A$275-90,Polymarket!$A$25:$A$275,1))),"")</f>
        <v/>
      </c>
    </row>
    <row r="53">
      <c r="A53" s="6" t="inlineStr">
        <is>
          <t>Series high</t>
        </is>
      </c>
      <c r="B53" s="20">
        <f>MAX(Polymarket!B25:B275)</f>
        <v/>
      </c>
    </row>
    <row r="54">
      <c r="A54" s="6" t="inlineStr">
        <is>
          <t>Series low</t>
        </is>
      </c>
      <c r="B54" s="20">
        <f>MIN(Polymarket!B25:B275)</f>
        <v/>
      </c>
    </row>
    <row r="55">
      <c r="A55" s="6" t="inlineStr">
        <is>
          <t>Series start (17 Dec 2025)</t>
        </is>
      </c>
      <c r="B55" s="104">
        <f>Polymarket!B25</f>
        <v/>
      </c>
      <c r="C55" s="18">
        <f>IF(AND(ISNUMBER(B49),ISNUMBER(B55)),B49-B55,"")</f>
        <v/>
      </c>
    </row>
    <row r="57">
      <c r="A57" s="3" t="inlineStr">
        <is>
          <t>MARKETS vs POLLS</t>
        </is>
      </c>
      <c r="B57" s="4" t="n"/>
      <c r="C57" s="4" t="n"/>
      <c r="D57" s="4" t="n"/>
      <c r="E57" s="4" t="n"/>
      <c r="F57" s="4" t="n"/>
      <c r="G57" s="4" t="n"/>
      <c r="H57" s="4" t="n"/>
    </row>
    <row r="58">
      <c r="A58" s="6" t="inlineStr">
        <is>
          <t>Weighted poll margin (D−R)</t>
        </is>
      </c>
      <c r="B58" s="119">
        <f>Polls!B35</f>
        <v/>
      </c>
    </row>
    <row r="59">
      <c r="A59" s="6" t="inlineStr">
        <is>
          <t>House-effect adjusted poll margin</t>
        </is>
      </c>
      <c r="B59" s="119">
        <f>Polls!B37</f>
        <v/>
      </c>
    </row>
    <row r="60">
      <c r="A60" s="6" t="inlineStr">
        <is>
          <t>Market-implied margin (ladder)</t>
        </is>
      </c>
      <c r="B60" s="91">
        <f>'Margin of Victory'!B31</f>
        <v/>
      </c>
    </row>
    <row r="61">
      <c r="A61" s="6" t="inlineStr">
        <is>
          <t>Market − polls (raw)</t>
        </is>
      </c>
      <c r="B61" s="18">
        <f>IFERROR(B60/100-B58,"")</f>
        <v/>
      </c>
    </row>
    <row r="62">
      <c r="A62" s="6" t="inlineStr">
        <is>
          <t>Market − polls (adjusted)</t>
        </is>
      </c>
      <c r="B62" s="18">
        <f>IFERROR(B60/100-B59,"")</f>
        <v/>
      </c>
    </row>
    <row r="63">
      <c r="A63" s="6" t="inlineStr">
        <is>
          <t>Read</t>
        </is>
      </c>
      <c r="B63" s="129">
        <f>IF(B62="","",IF(B62&gt;0,"Markets more bullish on Brooks than the adjusted polls","Markets less bullish on Brooks than the adjusted polls"))</f>
        <v/>
      </c>
      <c r="C63" s="66" t="n"/>
      <c r="D63" s="66" t="n"/>
      <c r="E63" s="66" t="n"/>
      <c r="F63" s="66" t="n"/>
      <c r="G63" s="66" t="n"/>
      <c r="H63" s="67" t="n"/>
    </row>
    <row r="64">
      <c r="A64" s="6" t="inlineStr">
        <is>
          <t>Polls in average</t>
        </is>
      </c>
      <c r="B64" s="40">
        <f>COUNT(Polls!L12:L24)</f>
        <v/>
      </c>
    </row>
    <row r="65">
      <c r="A65" s="6" t="inlineStr">
        <is>
          <t>Days since most recent poll</t>
        </is>
      </c>
      <c r="B65" s="40">
        <f>IFERROR(TODAY()-MAX(Polls!E12:E24),"")</f>
        <v/>
      </c>
    </row>
    <row r="66">
      <c r="A66"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8">
      <c r="A68" s="3" t="inlineStr">
        <is>
          <t>DATA FRESHNESS</t>
        </is>
      </c>
      <c r="B68" s="4" t="n"/>
      <c r="C68" s="4" t="n"/>
      <c r="D68" s="4" t="n"/>
      <c r="E68" s="4" t="n"/>
      <c r="F68" s="4" t="n"/>
      <c r="G68" s="4" t="n"/>
      <c r="H68" s="4" t="n"/>
    </row>
    <row r="69">
      <c r="A69" s="6" t="inlineStr">
        <is>
          <t>Snapshot pulled</t>
        </is>
      </c>
      <c r="B69" s="26" t="inlineStr">
        <is>
          <t>2026-09-14 21:26 UTC</t>
        </is>
      </c>
      <c r="C69" s="66" t="n"/>
      <c r="D69" s="66" t="n"/>
      <c r="E69" s="67" t="n"/>
    </row>
    <row r="70">
      <c r="A70" s="6" t="inlineStr">
        <is>
          <t>Polymarket winner history</t>
        </is>
      </c>
      <c r="B70" s="59">
        <f>TEXT(Polymarket!A25,"yyyy-mm-dd")&amp;" to "&amp;TEXT(Polymarket!A275,"yyyy-mm-dd")&amp;"  ("&amp;COUNT(Polymarket!A25:A275)&amp;" days)"</f>
        <v/>
      </c>
      <c r="C70" s="66" t="n"/>
      <c r="D70" s="66" t="n"/>
      <c r="E70" s="67" t="n"/>
    </row>
    <row r="71">
      <c r="A71" s="6" t="inlineStr">
        <is>
          <t>Kalshi winner history</t>
        </is>
      </c>
      <c r="B71" s="59">
        <f>TEXT(Kalshi!A31,"yyyy-mm-dd")&amp;" to "&amp;TEXT(Kalshi!A458,"yyyy-mm-dd")&amp;"  ("&amp;COUNT(Kalshi!A31:A458)&amp;" days)"</f>
        <v/>
      </c>
      <c r="C71" s="66" t="n"/>
      <c r="D71" s="66" t="n"/>
      <c r="E71" s="67" t="n"/>
    </row>
    <row r="72">
      <c r="A72" s="6" t="inlineStr">
        <is>
          <t>Polls source</t>
        </is>
      </c>
      <c r="B72" s="26" t="inlineStr">
        <is>
          <t>house.csv (NYT / 538 house-poll file) — PA-07 rows: 1 general, 4 primary</t>
        </is>
      </c>
      <c r="C72" s="66" t="n"/>
      <c r="D72" s="66" t="n"/>
      <c r="E72" s="66" t="n"/>
      <c r="F72" s="66" t="n"/>
      <c r="G72" s="66" t="n"/>
      <c r="H72" s="67" t="n"/>
    </row>
    <row r="73">
      <c r="A73" s="6" t="inlineStr">
        <is>
          <t>Refresh</t>
        </is>
      </c>
      <c r="B73" s="129" t="inlineStr">
        <is>
          <t>See Notes &amp; Sources for the exact API call behind every blue cell.</t>
        </is>
      </c>
      <c r="C73" s="66" t="n"/>
      <c r="D73" s="66" t="n"/>
      <c r="E73" s="66" t="n"/>
      <c r="F73" s="66" t="n"/>
      <c r="G73" s="66" t="n"/>
      <c r="H73" s="67" t="n"/>
    </row>
  </sheetData>
  <mergeCells count="25">
    <mergeCell ref="A39:H39"/>
    <mergeCell ref="B7:C7"/>
    <mergeCell ref="B15:H15"/>
    <mergeCell ref="B20:H20"/>
    <mergeCell ref="B63:H63"/>
    <mergeCell ref="B16:H16"/>
    <mergeCell ref="A66:H66"/>
    <mergeCell ref="B72:H72"/>
    <mergeCell ref="B22:H22"/>
    <mergeCell ref="B71:E71"/>
    <mergeCell ref="B18:H18"/>
    <mergeCell ref="B21:H21"/>
    <mergeCell ref="B70:E70"/>
    <mergeCell ref="B12:H12"/>
    <mergeCell ref="B11:H11"/>
    <mergeCell ref="B6:C6"/>
    <mergeCell ref="B14:H14"/>
    <mergeCell ref="B17:H17"/>
    <mergeCell ref="B13:H13"/>
    <mergeCell ref="B46:D46"/>
    <mergeCell ref="B5:C5"/>
    <mergeCell ref="B69:E69"/>
    <mergeCell ref="B73:H73"/>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2026-09-14 21:26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2026-09-14 21:26 UTC.</t>
        </is>
      </c>
    </row>
    <row r="178">
      <c r="A178" s="3" t="inlineStr">
        <is>
          <t>MARKETS vs POLLS — margin in percentage points</t>
        </is>
      </c>
      <c r="B178" s="4" t="n"/>
      <c r="C178" s="4" t="n"/>
      <c r="D178" s="4" t="n"/>
      <c r="E178" s="4" t="n"/>
      <c r="F178" s="4" t="n"/>
      <c r="G178" s="4" t="n"/>
      <c r="H178" s="4" t="n"/>
    </row>
    <row r="179">
      <c r="A179" s="6" t="inlineStr">
        <is>
          <t>Weighted poll margin</t>
        </is>
      </c>
      <c r="B179" s="130">
        <f>Polls!B35*100</f>
        <v/>
      </c>
      <c r="C179" s="2" t="inlineStr">
        <is>
          <t>Positive favours Brooks (D). Poll margins are scaled from fractions to points so all three bars share one axis.</t>
        </is>
      </c>
    </row>
    <row r="180">
      <c r="A180" s="6" t="inlineStr">
        <is>
          <t>Adjusted poll margin</t>
        </is>
      </c>
      <c r="B180" s="130">
        <f>Polls!B37*100</f>
        <v/>
      </c>
    </row>
    <row r="181">
      <c r="A181" s="6" t="inlineStr">
        <is>
          <t>Market-implied margin</t>
        </is>
      </c>
      <c r="B181" s="130">
        <f>'Margin of Victory'!B31</f>
        <v/>
      </c>
    </row>
    <row r="183">
      <c r="A183" s="3" t="inlineStr">
        <is>
          <t>DEMOCRATIC PRIMARY — what the polls said vs what happened</t>
        </is>
      </c>
      <c r="B183" s="4" t="n"/>
      <c r="C183" s="4" t="n"/>
      <c r="D183" s="4" t="n"/>
      <c r="E183" s="4" t="n"/>
      <c r="F183" s="4" t="n"/>
      <c r="G183" s="4" t="n"/>
      <c r="H183" s="4" t="n"/>
    </row>
    <row r="184">
      <c r="A184" s="131">
        <f>Polls!A45&amp;" ("&amp;TEXT(Polls!E45,"d mmm")&amp;")"</f>
        <v/>
      </c>
      <c r="B184" s="104">
        <f>Polls!H45</f>
        <v/>
      </c>
    </row>
    <row r="185">
      <c r="A185" s="131">
        <f>Polls!A46&amp;" ("&amp;TEXT(Polls!E46,"d mmm")&amp;")"</f>
        <v/>
      </c>
      <c r="B185" s="104">
        <f>Polls!H46</f>
        <v/>
      </c>
    </row>
    <row r="186">
      <c r="A186" s="131">
        <f>Polls!A47&amp;" ("&amp;TEXT(Polls!E47,"d mmm")&amp;")"</f>
        <v/>
      </c>
      <c r="B186" s="104">
        <f>Polls!H47</f>
        <v/>
      </c>
    </row>
    <row r="187">
      <c r="A187" s="131">
        <f>Polls!A48&amp;" ("&amp;TEXT(Polls!E48,"d mmm")&amp;")"</f>
        <v/>
      </c>
      <c r="B187" s="104">
        <f>Polls!H48</f>
        <v/>
      </c>
    </row>
    <row r="188">
      <c r="A188" s="6" t="inlineStr">
        <is>
          <t>ACTUAL RESULT</t>
        </is>
      </c>
      <c r="B188" s="132">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differences Kalshi's nested thresholds into buckets; the two 0-3 buckets come from the winner market, since Kalshi quotes no 0-3 rung. Chart 12 is deliberately a curve, not bars — those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75"/>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2026-09-14 21:26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24418.333615</v>
      </c>
      <c r="C12" s="10" t="n">
        <v>5265.509802000001</v>
      </c>
    </row>
    <row r="13">
      <c r="A13" s="6" t="inlineStr">
        <is>
          <t>Liquidity ($)</t>
        </is>
      </c>
      <c r="B13" s="9" t="n">
        <v>1200.815</v>
      </c>
      <c r="C13" s="10" t="n">
        <v>2280.0464</v>
      </c>
    </row>
    <row r="14">
      <c r="A14" s="6" t="inlineStr">
        <is>
          <t>Last trade</t>
        </is>
      </c>
      <c r="B14" s="11" t="n">
        <v>0.6899999999999999</v>
      </c>
      <c r="C14" s="12" t="n">
        <v>0.27</v>
      </c>
    </row>
    <row r="15">
      <c r="A15" s="6" t="inlineStr">
        <is>
          <t>24h price change</t>
        </is>
      </c>
      <c r="B15" s="13" t="n">
        <v>0.05</v>
      </c>
      <c r="C15" s="14" t="n">
        <v>-0.05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0.72</v>
      </c>
      <c r="C19" s="16" t="n">
        <v>0.74</v>
      </c>
      <c r="D19" s="17">
        <f>(B19+C19)/2</f>
        <v/>
      </c>
      <c r="E19" s="18">
        <f>C19-B19</f>
        <v/>
      </c>
      <c r="F19" s="19" t="n">
        <v>309</v>
      </c>
      <c r="G19" s="19" t="n">
        <v>51</v>
      </c>
      <c r="H19" s="20">
        <f>IFERROR(D19/$D$21,"")</f>
        <v/>
      </c>
    </row>
    <row r="20">
      <c r="A20" s="21" t="inlineStr">
        <is>
          <t>Republican Party</t>
        </is>
      </c>
      <c r="B20" s="16" t="n">
        <v>0.24</v>
      </c>
      <c r="C20" s="16" t="n">
        <v>0.26</v>
      </c>
      <c r="D20" s="17">
        <f>(B20+C20)/2</f>
        <v/>
      </c>
      <c r="E20" s="18">
        <f>C20-B20</f>
        <v/>
      </c>
      <c r="F20" s="19" t="n">
        <v>300.69</v>
      </c>
      <c r="G20" s="19" t="n">
        <v>166.3</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0.73</v>
      </c>
      <c r="C275" s="16" t="n">
        <v>0.25</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5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2026-09-14 21:26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415</v>
      </c>
      <c r="C13" s="44" t="n">
        <v>402</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0.73</v>
      </c>
      <c r="C17" s="16" t="n">
        <v>0.26</v>
      </c>
      <c r="D17" s="20">
        <f>1-C17</f>
        <v/>
      </c>
      <c r="E17" s="17">
        <f>(B17+D17)/2</f>
        <v/>
      </c>
      <c r="F17" s="18">
        <f>D17-B17</f>
        <v/>
      </c>
      <c r="G17" s="19" t="n">
        <v>50142.06</v>
      </c>
      <c r="H17" s="20">
        <f>IFERROR(E17/$E$19,"")</f>
        <v/>
      </c>
    </row>
    <row r="18">
      <c r="A18" s="21" t="inlineStr">
        <is>
          <t>Republican — Ryan Mackenzie</t>
        </is>
      </c>
      <c r="B18" s="16" t="n">
        <v>0.28</v>
      </c>
      <c r="C18" s="16" t="n">
        <v>0.71</v>
      </c>
      <c r="D18" s="20">
        <f>1-C18</f>
        <v/>
      </c>
      <c r="E18" s="17">
        <f>(B18+D18)/2</f>
        <v/>
      </c>
      <c r="F18" s="18">
        <f>D18-B18</f>
        <v/>
      </c>
      <c r="G18" s="19" t="n">
        <v>100</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0.73</v>
      </c>
      <c r="C23" s="19" t="n">
        <v>50142.06</v>
      </c>
      <c r="D23" s="16" t="n">
        <v>0.26</v>
      </c>
      <c r="E23" s="19" t="n">
        <v>619</v>
      </c>
      <c r="F23" s="16" t="n">
        <v>0.28</v>
      </c>
      <c r="G23" s="19" t="n">
        <v>100</v>
      </c>
      <c r="H23" s="16" t="n">
        <v>0.71</v>
      </c>
      <c r="I23" s="19" t="n">
        <v>52248</v>
      </c>
    </row>
    <row r="24">
      <c r="A24" s="35" t="n">
        <v>2</v>
      </c>
      <c r="B24" s="16" t="n">
        <v>0.71</v>
      </c>
      <c r="C24" s="19" t="n">
        <v>149</v>
      </c>
      <c r="D24" s="16" t="n">
        <v>0.25</v>
      </c>
      <c r="E24" s="19" t="n">
        <v>90.86</v>
      </c>
      <c r="F24" s="16" t="n">
        <v>0.26</v>
      </c>
      <c r="G24" s="19" t="n">
        <v>500</v>
      </c>
      <c r="H24" s="16" t="n">
        <v>0.6899999999999999</v>
      </c>
      <c r="I24" s="19" t="n">
        <v>500</v>
      </c>
    </row>
    <row r="25">
      <c r="A25" s="35" t="n">
        <v>3</v>
      </c>
      <c r="B25" s="16" t="n">
        <v>0.7</v>
      </c>
      <c r="C25" s="19" t="n">
        <v>43.04</v>
      </c>
      <c r="D25" s="16" t="n">
        <v>0.24</v>
      </c>
      <c r="E25" s="19" t="n">
        <v>8</v>
      </c>
      <c r="F25" s="16" t="n">
        <v>0.23</v>
      </c>
      <c r="G25" s="19" t="n">
        <v>81</v>
      </c>
      <c r="H25" s="16" t="n">
        <v>0.68</v>
      </c>
      <c r="I25" s="19" t="n">
        <v>5200</v>
      </c>
    </row>
    <row r="26">
      <c r="A26" s="35" t="n">
        <v>4</v>
      </c>
      <c r="B26" s="16" t="n">
        <v>0.6899999999999999</v>
      </c>
      <c r="C26" s="19" t="n">
        <v>433</v>
      </c>
      <c r="D26" s="16" t="n">
        <v>0.23</v>
      </c>
      <c r="E26" s="19" t="n">
        <v>28</v>
      </c>
      <c r="F26" s="16" t="n">
        <v>0.22</v>
      </c>
      <c r="G26" s="19" t="n">
        <v>106</v>
      </c>
      <c r="H26" s="16" t="n">
        <v>0.6</v>
      </c>
      <c r="I26" s="19" t="n">
        <v>300</v>
      </c>
    </row>
    <row r="27">
      <c r="A27" s="35" t="n">
        <v>5</v>
      </c>
      <c r="B27" s="16" t="n">
        <v>0.68</v>
      </c>
      <c r="C27" s="19" t="n">
        <v>5167</v>
      </c>
      <c r="D27" s="16" t="n">
        <v>0.22</v>
      </c>
      <c r="E27" s="19" t="n">
        <v>67</v>
      </c>
      <c r="F27" s="16" t="n">
        <v>0.21</v>
      </c>
      <c r="G27" s="19" t="n">
        <v>50000</v>
      </c>
      <c r="H27" s="16" t="n">
        <v>0.5600000000000001</v>
      </c>
      <c r="I27" s="19" t="n">
        <v>20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220"/>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2026-09-14 21:26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2056.361321</v>
      </c>
      <c r="C10" s="66" t="n"/>
      <c r="D10" s="66" t="n"/>
      <c r="E10" s="66" t="n"/>
      <c r="F10" s="67" t="n"/>
    </row>
    <row r="11">
      <c r="A11" s="6" t="inlineStr">
        <is>
          <t>Liquidity ($)</t>
        </is>
      </c>
      <c r="B11" s="19" t="n">
        <v>43347.43772</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0.11</v>
      </c>
      <c r="D16" s="16" t="n">
        <v>0.18</v>
      </c>
      <c r="E16" s="17">
        <f>(C16+D16)/2</f>
        <v/>
      </c>
      <c r="F16" s="17">
        <f>IFERROR(E16/$E$26,"")</f>
        <v/>
      </c>
      <c r="G16" s="20">
        <f>IFERROR(SUM($F$16:F16),"")</f>
        <v/>
      </c>
      <c r="H16" s="19" t="n">
        <v>632.130643</v>
      </c>
      <c r="I16" s="19" t="n">
        <v>403.4139</v>
      </c>
      <c r="J16" s="75">
        <f>IFERROR(F16*B16,"")</f>
        <v/>
      </c>
    </row>
    <row r="17">
      <c r="A17" s="21" t="inlineStr">
        <is>
          <t>Republican 3-6%</t>
        </is>
      </c>
      <c r="B17" s="78" t="n">
        <v>-4.5</v>
      </c>
      <c r="C17" s="16" t="n">
        <v>0.1</v>
      </c>
      <c r="D17" s="16" t="n">
        <v>0.112</v>
      </c>
      <c r="E17" s="17">
        <f>(C17+D17)/2</f>
        <v/>
      </c>
      <c r="F17" s="17">
        <f>IFERROR(E17/$E$26,"")</f>
        <v/>
      </c>
      <c r="G17" s="20">
        <f>IFERROR(SUM($F$16:F17),"")</f>
        <v/>
      </c>
      <c r="H17" s="19" t="n">
        <v>179.32</v>
      </c>
      <c r="I17" s="19" t="n">
        <v>8410.57555</v>
      </c>
      <c r="J17" s="75">
        <f>IFERROR(F17*B17,"")</f>
        <v/>
      </c>
    </row>
    <row r="18">
      <c r="A18" s="21" t="inlineStr">
        <is>
          <t>Republican 0-3%</t>
        </is>
      </c>
      <c r="B18" s="78" t="n">
        <v>-1.5</v>
      </c>
      <c r="C18" s="16" t="n">
        <v>0.02</v>
      </c>
      <c r="D18" s="16" t="n">
        <v>0.16</v>
      </c>
      <c r="E18" s="17">
        <f>(C18+D18)/2</f>
        <v/>
      </c>
      <c r="F18" s="17">
        <f>IFERROR(E18/$E$26,"")</f>
        <v/>
      </c>
      <c r="G18" s="20">
        <f>IFERROR(SUM($F$16:F18),"")</f>
        <v/>
      </c>
      <c r="H18" s="19" t="n">
        <v>156.333332</v>
      </c>
      <c r="I18" s="19" t="n">
        <v>185.1006</v>
      </c>
      <c r="J18" s="75">
        <f>IFERROR(F18*B18,"")</f>
        <v/>
      </c>
    </row>
    <row r="19">
      <c r="A19" s="15" t="inlineStr">
        <is>
          <t>Democrat 0-3%</t>
        </is>
      </c>
      <c r="B19" s="78" t="n">
        <v>1.5</v>
      </c>
      <c r="C19" s="16" t="n">
        <v>0.1</v>
      </c>
      <c r="D19" s="16" t="n">
        <v>0.15</v>
      </c>
      <c r="E19" s="17">
        <f>(C19+D19)/2</f>
        <v/>
      </c>
      <c r="F19" s="17">
        <f>IFERROR(E19/$E$26,"")</f>
        <v/>
      </c>
      <c r="G19" s="20">
        <f>IFERROR(SUM($F$16:F19),"")</f>
        <v/>
      </c>
      <c r="H19" s="19" t="n">
        <v>101.03</v>
      </c>
      <c r="I19" s="19" t="n">
        <v>255.6531</v>
      </c>
      <c r="J19" s="75">
        <f>IFERROR(F19*B19,"")</f>
        <v/>
      </c>
    </row>
    <row r="20">
      <c r="A20" s="15" t="inlineStr">
        <is>
          <t>Democrat 3-6%</t>
        </is>
      </c>
      <c r="B20" s="78" t="n">
        <v>4.5</v>
      </c>
      <c r="C20" s="16" t="n">
        <v>0.1</v>
      </c>
      <c r="D20" s="16" t="n">
        <v>0.14</v>
      </c>
      <c r="E20" s="17">
        <f>(C20+D20)/2</f>
        <v/>
      </c>
      <c r="F20" s="17">
        <f>IFERROR(E20/$E$26,"")</f>
        <v/>
      </c>
      <c r="G20" s="20">
        <f>IFERROR(SUM($F$16:F20),"")</f>
        <v/>
      </c>
      <c r="H20" s="19" t="n">
        <v>229.186665</v>
      </c>
      <c r="I20" s="19" t="n">
        <v>8270.0229</v>
      </c>
      <c r="J20" s="75">
        <f>IFERROR(F20*B20,"")</f>
        <v/>
      </c>
    </row>
    <row r="21">
      <c r="A21" s="15" t="inlineStr">
        <is>
          <t>Democrat 6-9%</t>
        </is>
      </c>
      <c r="B21" s="78" t="n">
        <v>7.5</v>
      </c>
      <c r="C21" s="16" t="n">
        <v>0.08400000000000001</v>
      </c>
      <c r="D21" s="16" t="n">
        <v>0.097</v>
      </c>
      <c r="E21" s="17">
        <f>(C21+D21)/2</f>
        <v/>
      </c>
      <c r="F21" s="17">
        <f>IFERROR(E21/$E$26,"")</f>
        <v/>
      </c>
      <c r="G21" s="20">
        <f>IFERROR(SUM($F$16:F21),"")</f>
        <v/>
      </c>
      <c r="H21" s="19" t="n">
        <v>223.635421</v>
      </c>
      <c r="I21" s="19" t="n">
        <v>8265.89251</v>
      </c>
      <c r="J21" s="75">
        <f>IFERROR(F21*B21,"")</f>
        <v/>
      </c>
    </row>
    <row r="22">
      <c r="A22" s="15" t="inlineStr">
        <is>
          <t>Democrat 9-12%</t>
        </is>
      </c>
      <c r="B22" s="78" t="n">
        <v>10.5</v>
      </c>
      <c r="C22" s="16" t="n">
        <v>0.08</v>
      </c>
      <c r="D22" s="16" t="n">
        <v>0.12</v>
      </c>
      <c r="E22" s="17">
        <f>(C22+D22)/2</f>
        <v/>
      </c>
      <c r="F22" s="17">
        <f>IFERROR(E22/$E$26,"")</f>
        <v/>
      </c>
      <c r="G22" s="20">
        <f>IFERROR(SUM($F$16:F22),"")</f>
        <v/>
      </c>
      <c r="H22" s="19" t="n">
        <v>122.03</v>
      </c>
      <c r="I22" s="19" t="n">
        <v>8517.7691</v>
      </c>
      <c r="J22" s="75">
        <f>IFERROR(F22*B22,"")</f>
        <v/>
      </c>
    </row>
    <row r="23">
      <c r="A23" s="15" t="inlineStr">
        <is>
          <t>Democrat 12-15%</t>
        </is>
      </c>
      <c r="B23" s="78" t="n">
        <v>13.5</v>
      </c>
      <c r="C23" s="16" t="n">
        <v>0.02</v>
      </c>
      <c r="D23" s="16" t="n">
        <v>0.08</v>
      </c>
      <c r="E23" s="17">
        <f>(C23+D23)/2</f>
        <v/>
      </c>
      <c r="F23" s="17">
        <f>IFERROR(E23/$E$26,"")</f>
        <v/>
      </c>
      <c r="G23" s="20">
        <f>IFERROR(SUM($F$16:F23),"")</f>
        <v/>
      </c>
      <c r="H23" s="19" t="n">
        <v>143.03</v>
      </c>
      <c r="I23" s="19" t="n">
        <v>8342.4542</v>
      </c>
      <c r="J23" s="75">
        <f>IFERROR(F23*B23,"")</f>
        <v/>
      </c>
    </row>
    <row r="24">
      <c r="A24" s="15" t="inlineStr">
        <is>
          <t>Democrat 15-18%</t>
        </is>
      </c>
      <c r="B24" s="78" t="n">
        <v>16.5</v>
      </c>
      <c r="C24" s="16" t="n">
        <v>0.011</v>
      </c>
      <c r="D24" s="16" t="n">
        <v>0.099</v>
      </c>
      <c r="E24" s="17">
        <f>(C24+D24)/2</f>
        <v/>
      </c>
      <c r="F24" s="17">
        <f>IFERROR(E24/$E$26,"")</f>
        <v/>
      </c>
      <c r="G24" s="20">
        <f>IFERROR(SUM($F$16:F24),"")</f>
        <v/>
      </c>
      <c r="H24" s="19" t="n">
        <v>154.03</v>
      </c>
      <c r="I24" s="19" t="n">
        <v>160.09816</v>
      </c>
      <c r="J24" s="75">
        <f>IFERROR(F24*B24,"")</f>
        <v/>
      </c>
    </row>
    <row r="25">
      <c r="A25" s="15" t="inlineStr">
        <is>
          <t>Democrat 18%+</t>
        </is>
      </c>
      <c r="B25" s="78" t="n">
        <v>20</v>
      </c>
      <c r="C25" s="16" t="n">
        <v>0.07000000000000001</v>
      </c>
      <c r="D25" s="16" t="n">
        <v>0.14</v>
      </c>
      <c r="E25" s="17">
        <f>(C25+D25)/2</f>
        <v/>
      </c>
      <c r="F25" s="17">
        <f>IFERROR(E25/$E$26,"")</f>
        <v/>
      </c>
      <c r="G25" s="20">
        <f>IFERROR(SUM($F$16:F25),"")</f>
        <v/>
      </c>
      <c r="H25" s="19" t="n">
        <v>115.63526</v>
      </c>
      <c r="I25" s="19" t="n">
        <v>281.3294</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0.145</v>
      </c>
      <c r="C76" s="28" t="n">
        <v>0.106</v>
      </c>
      <c r="D76" s="28" t="n">
        <v>0.09</v>
      </c>
      <c r="E76" s="28" t="n">
        <v>0.125</v>
      </c>
      <c r="F76" s="28" t="n">
        <v>0.12</v>
      </c>
      <c r="G76" s="28" t="n">
        <v>0.0905</v>
      </c>
      <c r="H76" s="28" t="n">
        <v>0.1</v>
      </c>
      <c r="I76" s="28" t="n">
        <v>0.05</v>
      </c>
      <c r="J76" s="28" t="n">
        <v>0.055</v>
      </c>
      <c r="K76" s="28" t="n">
        <v>0.105</v>
      </c>
    </row>
    <row r="77">
      <c r="A77" s="2" t="inlineStr">
        <is>
          <t>All ten brackets, daily closes from CLOB /prices-history at fidelity=1440. The market opened 11 Aug 2026, so the series is only 34 days long and the brackets are thin — read it as a sanity check on the ladder above, not as a trend.</t>
        </is>
      </c>
    </row>
    <row r="80">
      <c r="A80" s="3" t="inlineStr">
        <is>
          <t>KALSHI MARGIN LADDER — threshold form (KXMIDTERMMOV-PA07D / -PA07R)</t>
        </is>
      </c>
      <c r="B80" s="4" t="n"/>
      <c r="C80" s="4" t="n"/>
      <c r="D80" s="4" t="n"/>
      <c r="E80" s="4" t="n"/>
      <c r="F80" s="4" t="n"/>
      <c r="G80" s="4" t="n"/>
      <c r="H80" s="4" t="n"/>
      <c r="I80" s="4" t="n"/>
      <c r="J80" s="4" t="n"/>
      <c r="K80" s="4" t="n"/>
    </row>
    <row r="81" ht="30" customHeight="1">
      <c r="A81" s="5" t="inlineStr">
        <is>
          <t>Rung</t>
        </is>
      </c>
      <c r="B81" s="5" t="inlineStr">
        <is>
          <t>Threshold (pts)</t>
        </is>
      </c>
      <c r="C81" s="5" t="inlineStr">
        <is>
          <t>YES Bid</t>
        </is>
      </c>
      <c r="D81" s="5" t="inlineStr">
        <is>
          <t>YES Ask</t>
        </is>
      </c>
      <c r="E81" s="5" t="inlineStr">
        <is>
          <t>Mid P(margin ≥ strike)</t>
        </is>
      </c>
      <c r="F81" s="5" t="inlineStr">
        <is>
          <t>Bucket</t>
        </is>
      </c>
      <c r="G81" s="5" t="inlineStr">
        <is>
          <t>Bucket Prob</t>
        </is>
      </c>
      <c r="H81" s="5" t="inlineStr">
        <is>
          <t>Representative (pts)</t>
        </is>
      </c>
      <c r="I81" s="5" t="inlineStr">
        <is>
          <t>Prob × Points</t>
        </is>
      </c>
      <c r="J81" s="5" t="inlineStr">
        <is>
          <t>Ticker</t>
        </is>
      </c>
      <c r="K81" s="5" t="inlineStr"/>
    </row>
    <row r="82">
      <c r="A82" s="21" t="inlineStr">
        <is>
          <t>Republicans, 9+ pts</t>
        </is>
      </c>
      <c r="B82" s="89" t="n">
        <v>9</v>
      </c>
      <c r="C82" s="16" t="n">
        <v>0.051</v>
      </c>
      <c r="D82" s="16" t="n">
        <v>0.11</v>
      </c>
      <c r="E82" s="17">
        <f>IF(COUNT(C82:D82)=2,(C82+D82)/2,"")</f>
        <v/>
      </c>
      <c r="F82" s="59" t="inlineStr">
        <is>
          <t>9+ pts (R)</t>
        </is>
      </c>
      <c r="G82" s="17">
        <f>IFERROR(E82,"")</f>
        <v/>
      </c>
      <c r="H82" s="78" t="n">
        <v>-11</v>
      </c>
      <c r="I82" s="75">
        <f>IFERROR(G82*H82,"")</f>
        <v/>
      </c>
      <c r="J82" s="26" t="inlineStr">
        <is>
          <t>KXMIDTERMMOV-PA07R-P9</t>
        </is>
      </c>
    </row>
    <row r="83">
      <c r="A83" s="21" t="inlineStr">
        <is>
          <t>Republicans, 6+ pts</t>
        </is>
      </c>
      <c r="B83" s="89" t="n">
        <v>6</v>
      </c>
      <c r="C83" s="16" t="n">
        <v>0.13</v>
      </c>
      <c r="D83" s="16" t="n">
        <v>0.18</v>
      </c>
      <c r="E83" s="17">
        <f>IF(COUNT(C83:D83)=2,(C83+D83)/2,"")</f>
        <v/>
      </c>
      <c r="F83" s="59" t="inlineStr">
        <is>
          <t>6-9 pts (R)</t>
        </is>
      </c>
      <c r="G83" s="17">
        <f>IFERROR(MAX(0,E83-E82),"")</f>
        <v/>
      </c>
      <c r="H83" s="78" t="n">
        <v>-7.5</v>
      </c>
      <c r="I83" s="75">
        <f>IFERROR(G83*H83,"")</f>
        <v/>
      </c>
      <c r="J83" s="26" t="inlineStr">
        <is>
          <t>KXMIDTERMMOV-PA07R-P6</t>
        </is>
      </c>
    </row>
    <row r="84">
      <c r="A84" s="21" t="inlineStr">
        <is>
          <t>Republicans, 3+ pts</t>
        </is>
      </c>
      <c r="B84" s="89" t="n">
        <v>3</v>
      </c>
      <c r="C84" s="16" t="n">
        <v>0.15</v>
      </c>
      <c r="D84" s="16" t="n">
        <v>0.22</v>
      </c>
      <c r="E84" s="17">
        <f>IF(COUNT(C84:D84)=2,(C84+D84)/2,"")</f>
        <v/>
      </c>
      <c r="F84" s="59" t="inlineStr">
        <is>
          <t>3-6 pts (R)</t>
        </is>
      </c>
      <c r="G84" s="17">
        <f>IFERROR(MAX(0,E84-E83),"")</f>
        <v/>
      </c>
      <c r="H84" s="78" t="n">
        <v>-4.5</v>
      </c>
      <c r="I84" s="75">
        <f>IFERROR(G84*H84,"")</f>
        <v/>
      </c>
      <c r="J84" s="26" t="inlineStr">
        <is>
          <t>KXMIDTERMMOV-PA07R-P3</t>
        </is>
      </c>
    </row>
    <row r="85">
      <c r="A85" s="21" t="inlineStr">
        <is>
          <t>Republicans, 0-3 pts</t>
        </is>
      </c>
      <c r="F85" s="59" t="inlineStr">
        <is>
          <t>0-3 pts (R)</t>
        </is>
      </c>
      <c r="G85" s="90">
        <f>IFERROR(MAX(0,Kalshi!E18-E84),"")</f>
        <v/>
      </c>
      <c r="H85" s="78" t="n">
        <v>-1.5</v>
      </c>
      <c r="I85" s="75">
        <f>IFERROR(G85*H85,"")</f>
        <v/>
      </c>
      <c r="J85" s="26" t="inlineStr">
        <is>
          <t>(from winner market)</t>
        </is>
      </c>
    </row>
    <row r="86">
      <c r="A86" s="15" t="inlineStr">
        <is>
          <t>Democrats, 0-3 pts</t>
        </is>
      </c>
      <c r="F86" s="59" t="inlineStr">
        <is>
          <t>0-3 pts (D)</t>
        </is>
      </c>
      <c r="G86" s="90">
        <f>IFERROR(MAX(0,Kalshi!E17-E87),"")</f>
        <v/>
      </c>
      <c r="H86" s="78" t="n">
        <v>1.5</v>
      </c>
      <c r="I86" s="75">
        <f>IFERROR(G86*H86,"")</f>
        <v/>
      </c>
      <c r="J86" s="26" t="inlineStr">
        <is>
          <t>(from winner market)</t>
        </is>
      </c>
    </row>
    <row r="87">
      <c r="A87" s="15" t="inlineStr">
        <is>
          <t>Democrats, 3+ pts</t>
        </is>
      </c>
      <c r="B87" s="89" t="n">
        <v>3</v>
      </c>
      <c r="C87" s="16" t="n">
        <v>0.5600000000000001</v>
      </c>
      <c r="D87" s="16" t="n">
        <v>0.65</v>
      </c>
      <c r="E87" s="17">
        <f>IF(COUNT(C87:D87)=2,(C87+D87)/2,"")</f>
        <v/>
      </c>
      <c r="F87" s="59" t="inlineStr">
        <is>
          <t>3-6 pts (D)</t>
        </is>
      </c>
      <c r="G87" s="17">
        <f>IFERROR(MAX(0,E87-E88),"")</f>
        <v/>
      </c>
      <c r="H87" s="78" t="n">
        <v>4.5</v>
      </c>
      <c r="I87" s="75">
        <f>IFERROR(G87*H87,"")</f>
        <v/>
      </c>
      <c r="J87" s="26" t="inlineStr">
        <is>
          <t>KXMIDTERMMOV-PA07D-P3</t>
        </is>
      </c>
    </row>
    <row r="88">
      <c r="A88" s="15" t="inlineStr">
        <is>
          <t>Democrats, 6+ pts</t>
        </is>
      </c>
      <c r="B88" s="89" t="n">
        <v>6</v>
      </c>
      <c r="C88" s="16" t="n">
        <v>0.42</v>
      </c>
      <c r="D88" s="16" t="n">
        <v>0.51</v>
      </c>
      <c r="E88" s="17">
        <f>IF(COUNT(C88:D88)=2,(C88+D88)/2,"")</f>
        <v/>
      </c>
      <c r="F88" s="59" t="inlineStr">
        <is>
          <t>6-9 pts (D)</t>
        </is>
      </c>
      <c r="G88" s="17">
        <f>IFERROR(MAX(0,E88-E89),"")</f>
        <v/>
      </c>
      <c r="H88" s="78" t="n">
        <v>7.5</v>
      </c>
      <c r="I88" s="75">
        <f>IFERROR(G88*H88,"")</f>
        <v/>
      </c>
      <c r="J88" s="26" t="inlineStr">
        <is>
          <t>KXMIDTERMMOV-PA07D-P6</t>
        </is>
      </c>
    </row>
    <row r="89">
      <c r="A89" s="15" t="inlineStr">
        <is>
          <t>Democrats, 9+ pts</t>
        </is>
      </c>
      <c r="B89" s="89" t="n">
        <v>9</v>
      </c>
      <c r="C89" s="16" t="n">
        <v>0.28</v>
      </c>
      <c r="D89" s="16" t="n">
        <v>0.37</v>
      </c>
      <c r="E89" s="17">
        <f>IF(COUNT(C89:D89)=2,(C89+D89)/2,"")</f>
        <v/>
      </c>
      <c r="F89" s="59" t="inlineStr">
        <is>
          <t>9-12 pts (D)</t>
        </is>
      </c>
      <c r="G89" s="17">
        <f>IFERROR(MAX(0,E89-E90),"")</f>
        <v/>
      </c>
      <c r="H89" s="78" t="n">
        <v>10.5</v>
      </c>
      <c r="I89" s="75">
        <f>IFERROR(G89*H89,"")</f>
        <v/>
      </c>
      <c r="J89" s="26" t="inlineStr">
        <is>
          <t>KXMIDTERMMOV-PA07D-P9</t>
        </is>
      </c>
    </row>
    <row r="90">
      <c r="A90" s="15" t="inlineStr">
        <is>
          <t>Democrats, 12+ pts</t>
        </is>
      </c>
      <c r="B90" s="89" t="n">
        <v>12</v>
      </c>
      <c r="C90" s="16" t="n">
        <v>0.17</v>
      </c>
      <c r="D90" s="16" t="n">
        <v>0.26</v>
      </c>
      <c r="E90" s="17">
        <f>IF(COUNT(C90:D90)=2,(C90+D90)/2,"")</f>
        <v/>
      </c>
      <c r="F90" s="59" t="inlineStr">
        <is>
          <t>12-15 pts (D)</t>
        </is>
      </c>
      <c r="G90" s="17">
        <f>IFERROR(MAX(0,E90-E91),"")</f>
        <v/>
      </c>
      <c r="H90" s="78" t="n">
        <v>13.5</v>
      </c>
      <c r="I90" s="75">
        <f>IFERROR(G90*H90,"")</f>
        <v/>
      </c>
      <c r="J90" s="26" t="inlineStr">
        <is>
          <t>KXMIDTERMMOV-PA07D-P12</t>
        </is>
      </c>
    </row>
    <row r="91">
      <c r="A91" s="15" t="inlineStr">
        <is>
          <t>Democrats, 15+ pts</t>
        </is>
      </c>
      <c r="B91" s="89" t="n">
        <v>15</v>
      </c>
      <c r="C91" s="16" t="n">
        <v>0.1</v>
      </c>
      <c r="D91" s="16" t="n">
        <v>0.19</v>
      </c>
      <c r="E91" s="17">
        <f>IF(COUNT(C91:D91)=2,(C91+D91)/2,"")</f>
        <v/>
      </c>
      <c r="F91" s="59" t="inlineStr">
        <is>
          <t>15+ pts (D)</t>
        </is>
      </c>
      <c r="G91" s="17">
        <f>IFERROR(E91,"")</f>
        <v/>
      </c>
      <c r="H91" s="78" t="n">
        <v>18</v>
      </c>
      <c r="I91" s="75">
        <f>IFERROR(G91*H91,"")</f>
        <v/>
      </c>
      <c r="J91" s="26" t="inlineStr">
        <is>
          <t>KXMIDTERMMOV-PA07D-P15</t>
        </is>
      </c>
    </row>
    <row r="93">
      <c r="A93" s="22" t="inlineStr">
        <is>
          <t>TOTAL</t>
        </is>
      </c>
      <c r="G93" s="23">
        <f>SUM(G82:G91)</f>
        <v/>
      </c>
      <c r="I93" s="81">
        <f>SUM(I82:I91)</f>
        <v/>
      </c>
    </row>
    <row r="95">
      <c r="A95" s="3" t="inlineStr">
        <is>
          <t>KALSHI IMPLIED READ &amp; CROSS-VENUE COMPARISON</t>
        </is>
      </c>
      <c r="B95" s="4" t="n"/>
      <c r="C95" s="4" t="n"/>
      <c r="D95" s="4" t="n"/>
      <c r="E95" s="4" t="n"/>
      <c r="F95" s="4" t="n"/>
      <c r="G95" s="4" t="n"/>
      <c r="H95" s="4" t="n"/>
      <c r="I95" s="4" t="n"/>
      <c r="J95" s="4" t="n"/>
      <c r="K95" s="4" t="n"/>
    </row>
    <row r="96">
      <c r="A96" s="6" t="inlineStr">
        <is>
          <t>Kalshi expected margin (D−R)</t>
        </is>
      </c>
      <c r="B96" s="84">
        <f>IFERROR(SUM(I82:I91),"")</f>
        <v/>
      </c>
    </row>
    <row r="97">
      <c r="A97" s="6" t="inlineStr">
        <is>
          <t>Polymarket expected margin (D−R)</t>
        </is>
      </c>
      <c r="B97" s="91">
        <f>B31</f>
        <v/>
      </c>
    </row>
    <row r="98">
      <c r="A98" s="6" t="inlineStr">
        <is>
          <t>Difference (Kalshi − Polymarket)</t>
        </is>
      </c>
      <c r="B98" s="84">
        <f>IFERROR(B96-B97,"")</f>
        <v/>
      </c>
    </row>
    <row r="99">
      <c r="A99" s="6" t="inlineStr">
        <is>
          <t>Kalshi P(D wins by 3+ pts)</t>
        </is>
      </c>
      <c r="B99" s="17">
        <f>IFERROR(E87,"")</f>
        <v/>
      </c>
    </row>
    <row r="100">
      <c r="A100" s="6" t="inlineStr">
        <is>
          <t>Kalshi P(margin under 3 pts either way)</t>
        </is>
      </c>
      <c r="B100" s="90">
        <f>IFERROR(G85+G86,"")</f>
        <v/>
      </c>
    </row>
    <row r="102">
      <c r="A102" s="3" t="inlineStr">
        <is>
          <t>CONSISTENCY CHECK — winner market vs margin ladder</t>
        </is>
      </c>
      <c r="B102" s="4" t="n"/>
      <c r="C102" s="4" t="n"/>
      <c r="D102" s="4" t="n"/>
      <c r="E102" s="4" t="n"/>
      <c r="F102" s="4" t="n"/>
      <c r="G102" s="4" t="n"/>
      <c r="H102" s="4" t="n"/>
      <c r="I102" s="4" t="n"/>
      <c r="J102" s="4" t="n"/>
      <c r="K102" s="4" t="n"/>
    </row>
    <row r="103">
      <c r="A103" s="6" t="inlineStr">
        <is>
          <t>P(R wins) − P(R wins by 3+), on mids</t>
        </is>
      </c>
      <c r="B103" s="18">
        <f>IFERROR(Kalshi!E18-E84,"")</f>
        <v/>
      </c>
    </row>
    <row r="104">
      <c r="A104" s="6" t="inlineStr">
        <is>
          <t>Same, using executable prices</t>
        </is>
      </c>
      <c r="B104" s="18">
        <f>IFERROR(C84-Kalshi!D18,"")</f>
        <v/>
      </c>
    </row>
    <row r="105">
      <c r="A105" s="6" t="inlineStr">
        <is>
          <t>Verdict</t>
        </is>
      </c>
      <c r="B105" s="47">
        <f>IF(B104="","",IF(B104&gt;0,"REAL — the 3+ rung is bid above the winner ask",IF(B103&lt;0,"Artifact — mids invert but the spread covers it; bucket clamped to 0","Consistent — no inversion")))</f>
        <v/>
      </c>
      <c r="C105" s="66" t="n"/>
      <c r="D105" s="66" t="n"/>
      <c r="E105" s="66" t="n"/>
      <c r="F105" s="66" t="n"/>
      <c r="G105" s="66" t="n"/>
      <c r="H105" s="66" t="n"/>
      <c r="I105" s="66" t="n"/>
      <c r="J105" s="66" t="n"/>
      <c r="K105" s="67" t="n"/>
    </row>
    <row r="106">
      <c r="A106" s="2" t="inlineStr">
        <is>
          <t>Kalshi and Polymarket describe the same margin with different instruments: Kalshi sells thresholds ("3+ pts"), Polymarket sells brackets ("3-6%"). Neither is more correct; a persistent gap between the two expected margins is a genuine disagreement worth reading, not a bug.</t>
        </is>
      </c>
    </row>
    <row r="108">
      <c r="A108" s="3" t="inlineStr">
        <is>
          <t>KALSHI MARGIN — DAILY HISTORY (mid of closing bid and ask)</t>
        </is>
      </c>
      <c r="B108" s="4" t="n"/>
      <c r="C108" s="4" t="n"/>
      <c r="D108" s="4" t="n"/>
      <c r="E108" s="4" t="n"/>
      <c r="F108" s="4" t="n"/>
      <c r="G108" s="4" t="n"/>
      <c r="H108" s="4" t="n"/>
      <c r="I108" s="4" t="n"/>
      <c r="J108" s="4" t="n"/>
      <c r="K108" s="4" t="n"/>
    </row>
    <row r="109" ht="30" customHeight="1">
      <c r="A109" s="5" t="inlineStr">
        <is>
          <t>Date</t>
        </is>
      </c>
      <c r="B109" s="5" t="inlineStr">
        <is>
          <t>Republicans, 9+ pts</t>
        </is>
      </c>
      <c r="C109" s="5" t="inlineStr">
        <is>
          <t>Republicans, 6+ pts</t>
        </is>
      </c>
      <c r="D109" s="5" t="inlineStr">
        <is>
          <t>Republicans, 3+ pts</t>
        </is>
      </c>
      <c r="E109" s="5" t="inlineStr">
        <is>
          <t>Democrats, 3+ pts</t>
        </is>
      </c>
      <c r="F109" s="5" t="inlineStr">
        <is>
          <t>Democrats, 6+ pts</t>
        </is>
      </c>
      <c r="G109" s="5" t="inlineStr">
        <is>
          <t>Democrats, 9+ pts</t>
        </is>
      </c>
      <c r="H109" s="5" t="inlineStr">
        <is>
          <t>Democrats, 12+ pts</t>
        </is>
      </c>
      <c r="I109" s="5" t="inlineStr">
        <is>
          <t>Democrats, 15+ pts</t>
        </is>
      </c>
      <c r="J109" s="5" t="inlineStr"/>
      <c r="K109" s="5" t="inlineStr"/>
    </row>
    <row r="110">
      <c r="A110" s="39" t="n">
        <v>46148</v>
      </c>
      <c r="B110" s="16" t="n">
        <v>0.08649999999999999</v>
      </c>
      <c r="C110" s="16" t="n">
        <v>0.17</v>
      </c>
      <c r="D110" s="16" t="n">
        <v>0.25</v>
      </c>
      <c r="E110" s="16" t="n">
        <v>0.6699999999999999</v>
      </c>
      <c r="F110" s="16" t="n">
        <v>0.54</v>
      </c>
      <c r="G110" s="16" t="n">
        <v>0.4</v>
      </c>
      <c r="H110" s="16" t="n">
        <v>0.27</v>
      </c>
      <c r="I110" s="16" t="n">
        <v>0.1345</v>
      </c>
    </row>
    <row r="111">
      <c r="A111" s="41" t="n">
        <v>46149</v>
      </c>
      <c r="B111" s="28" t="n">
        <v>0.105</v>
      </c>
      <c r="C111" s="28" t="n">
        <v>0.175</v>
      </c>
      <c r="D111" s="28" t="n">
        <v>0.235</v>
      </c>
      <c r="E111" s="28" t="n">
        <v>0.6850000000000001</v>
      </c>
      <c r="F111" s="28" t="n">
        <v>0.535</v>
      </c>
      <c r="G111" s="28" t="n">
        <v>0.4</v>
      </c>
      <c r="H111" s="28" t="n">
        <v>0.27</v>
      </c>
      <c r="I111" s="28" t="n">
        <v>0.135</v>
      </c>
    </row>
    <row r="112">
      <c r="A112" s="39" t="n">
        <v>46150</v>
      </c>
      <c r="B112" s="16" t="n">
        <v>0.09950000000000001</v>
      </c>
      <c r="C112" s="16" t="n">
        <v>0.165</v>
      </c>
      <c r="D112" s="16" t="n">
        <v>0.225</v>
      </c>
      <c r="E112" s="16" t="n">
        <v>0.6850000000000001</v>
      </c>
      <c r="F112" s="16" t="n">
        <v>0.525</v>
      </c>
      <c r="G112" s="16" t="n">
        <v>0.415</v>
      </c>
      <c r="H112" s="16" t="n">
        <v>0.285</v>
      </c>
      <c r="I112" s="16" t="n">
        <v>0.145</v>
      </c>
    </row>
    <row r="113">
      <c r="A113" s="41" t="n">
        <v>46151</v>
      </c>
      <c r="B113" s="28" t="n">
        <v>0.09950000000000001</v>
      </c>
      <c r="C113" s="28" t="n">
        <v>0.165</v>
      </c>
      <c r="D113" s="28" t="n">
        <v>0.225</v>
      </c>
      <c r="E113" s="28" t="n">
        <v>0.6850000000000001</v>
      </c>
      <c r="F113" s="28" t="n">
        <v>0.525</v>
      </c>
      <c r="G113" s="28" t="n">
        <v>0.415</v>
      </c>
      <c r="H113" s="28" t="n">
        <v>0.285</v>
      </c>
      <c r="I113" s="28" t="n">
        <v>0.145</v>
      </c>
    </row>
    <row r="114">
      <c r="A114" s="39" t="n">
        <v>46152</v>
      </c>
      <c r="B114" s="16" t="n">
        <v>0.09950000000000001</v>
      </c>
      <c r="C114" s="16" t="n">
        <v>0.165</v>
      </c>
      <c r="D114" s="16" t="n">
        <v>0.225</v>
      </c>
      <c r="E114" s="16" t="n">
        <v>0.6850000000000001</v>
      </c>
      <c r="F114" s="16" t="n">
        <v>0.525</v>
      </c>
      <c r="G114" s="16" t="n">
        <v>0.415</v>
      </c>
      <c r="H114" s="16" t="n">
        <v>0.285</v>
      </c>
      <c r="I114" s="16" t="n">
        <v>0.145</v>
      </c>
    </row>
    <row r="115">
      <c r="A115" s="41" t="n">
        <v>46153</v>
      </c>
      <c r="B115" s="28" t="n">
        <v>0.09950000000000001</v>
      </c>
      <c r="C115" s="28" t="n">
        <v>0.165</v>
      </c>
      <c r="D115" s="28" t="n">
        <v>0.225</v>
      </c>
      <c r="E115" s="28" t="n">
        <v>0.6699999999999999</v>
      </c>
      <c r="F115" s="28" t="n">
        <v>0.54</v>
      </c>
      <c r="G115" s="28" t="n">
        <v>0.4</v>
      </c>
      <c r="H115" s="28" t="n">
        <v>0.27</v>
      </c>
      <c r="I115" s="28" t="n">
        <v>0.155</v>
      </c>
    </row>
    <row r="116">
      <c r="A116" s="39" t="n">
        <v>46154</v>
      </c>
      <c r="B116" s="16" t="n">
        <v>0.09950000000000001</v>
      </c>
      <c r="C116" s="16" t="n">
        <v>0.165</v>
      </c>
      <c r="D116" s="16" t="n">
        <v>0.225</v>
      </c>
      <c r="E116" s="16" t="n">
        <v>0.6699999999999999</v>
      </c>
      <c r="F116" s="16" t="n">
        <v>0.54</v>
      </c>
      <c r="G116" s="16" t="n">
        <v>0.4</v>
      </c>
      <c r="H116" s="16" t="n">
        <v>0.27</v>
      </c>
      <c r="I116" s="16" t="n">
        <v>0.155</v>
      </c>
    </row>
    <row r="117">
      <c r="A117" s="41" t="n">
        <v>46155</v>
      </c>
      <c r="B117" s="28" t="n">
        <v>0.09950000000000001</v>
      </c>
      <c r="C117" s="28" t="n">
        <v>0.165</v>
      </c>
      <c r="D117" s="28" t="n">
        <v>0.225</v>
      </c>
      <c r="E117" s="28" t="n">
        <v>0.6699999999999999</v>
      </c>
      <c r="F117" s="28" t="n">
        <v>0.54</v>
      </c>
      <c r="G117" s="28" t="n">
        <v>0.4</v>
      </c>
      <c r="H117" s="28" t="n">
        <v>0.27</v>
      </c>
      <c r="I117" s="28" t="n">
        <v>0.135</v>
      </c>
    </row>
    <row r="118">
      <c r="A118" s="39" t="n">
        <v>46156</v>
      </c>
      <c r="B118" s="16" t="n">
        <v>0.09950000000000001</v>
      </c>
      <c r="C118" s="16" t="n">
        <v>0.165</v>
      </c>
      <c r="D118" s="16" t="n">
        <v>0.225</v>
      </c>
      <c r="E118" s="16" t="n">
        <v>0.6699999999999999</v>
      </c>
      <c r="F118" s="16" t="n">
        <v>0.54</v>
      </c>
      <c r="G118" s="16" t="n">
        <v>0.4</v>
      </c>
      <c r="H118" s="16" t="n">
        <v>0.27</v>
      </c>
      <c r="I118" s="16" t="n">
        <v>0.1345</v>
      </c>
    </row>
    <row r="119">
      <c r="A119" s="41" t="n">
        <v>46159</v>
      </c>
      <c r="B119" s="28" t="n">
        <v>0.07150000000000001</v>
      </c>
      <c r="C119" s="28" t="n">
        <v>0.165</v>
      </c>
      <c r="D119" s="28" t="n">
        <v>0.225</v>
      </c>
      <c r="E119" s="28" t="n"/>
      <c r="F119" s="28" t="n"/>
      <c r="G119" s="28" t="n"/>
      <c r="H119" s="28" t="n"/>
      <c r="I119" s="28" t="n"/>
    </row>
    <row r="120">
      <c r="A120" s="39" t="n">
        <v>46161</v>
      </c>
      <c r="B120" s="16" t="n"/>
      <c r="C120" s="16" t="n"/>
      <c r="D120" s="16" t="n"/>
      <c r="E120" s="16" t="n">
        <v>0.6699999999999999</v>
      </c>
      <c r="F120" s="16" t="n">
        <v>0.54</v>
      </c>
      <c r="G120" s="16" t="n">
        <v>0.4</v>
      </c>
      <c r="H120" s="16" t="n">
        <v>0.27</v>
      </c>
      <c r="I120" s="16" t="n"/>
    </row>
    <row r="121">
      <c r="A121" s="41" t="n">
        <v>46162</v>
      </c>
      <c r="B121" s="28" t="n"/>
      <c r="C121" s="28" t="n"/>
      <c r="D121" s="28" t="n"/>
      <c r="E121" s="28" t="n">
        <v>0.6850000000000001</v>
      </c>
      <c r="F121" s="28" t="n"/>
      <c r="G121" s="28" t="n">
        <v>0.41</v>
      </c>
      <c r="H121" s="28" t="n"/>
      <c r="I121" s="28" t="n">
        <v>0.1395</v>
      </c>
    </row>
    <row r="122">
      <c r="A122" s="39" t="n">
        <v>46164</v>
      </c>
      <c r="B122" s="16" t="n">
        <v>0.0645</v>
      </c>
      <c r="C122" s="16" t="n"/>
      <c r="D122" s="16" t="n"/>
      <c r="E122" s="16" t="n">
        <v>0.6850000000000001</v>
      </c>
      <c r="F122" s="16" t="n">
        <v>0.54</v>
      </c>
      <c r="G122" s="16" t="n">
        <v>0.41</v>
      </c>
      <c r="H122" s="16" t="n">
        <v>0.27</v>
      </c>
      <c r="I122" s="16" t="n">
        <v>0.166</v>
      </c>
    </row>
    <row r="123">
      <c r="A123" s="41" t="n">
        <v>46165</v>
      </c>
      <c r="B123" s="28" t="n">
        <v>0.07150000000000001</v>
      </c>
      <c r="C123" s="28" t="n"/>
      <c r="D123" s="28" t="n"/>
      <c r="E123" s="28" t="n">
        <v>0.6799999999999999</v>
      </c>
      <c r="F123" s="28" t="n">
        <v>0.54</v>
      </c>
      <c r="G123" s="28" t="n">
        <v>0.41</v>
      </c>
      <c r="H123" s="28" t="n">
        <v>0.27</v>
      </c>
      <c r="I123" s="28" t="n">
        <v>0.1395</v>
      </c>
    </row>
    <row r="124">
      <c r="A124" s="39" t="n">
        <v>46167</v>
      </c>
      <c r="B124" s="16" t="n"/>
      <c r="C124" s="16" t="n">
        <v>0.15</v>
      </c>
      <c r="D124" s="16" t="n">
        <v>0.22</v>
      </c>
      <c r="E124" s="16" t="n"/>
      <c r="F124" s="16" t="n"/>
      <c r="G124" s="16" t="n">
        <v>0.41</v>
      </c>
      <c r="H124" s="16" t="n"/>
      <c r="I124" s="16" t="n"/>
    </row>
    <row r="125">
      <c r="A125" s="41" t="n">
        <v>46168</v>
      </c>
      <c r="B125" s="28" t="n">
        <v>0.08649999999999999</v>
      </c>
      <c r="C125" s="28" t="n">
        <v>0.17</v>
      </c>
      <c r="D125" s="28" t="n">
        <v>0.25</v>
      </c>
      <c r="E125" s="28" t="n"/>
      <c r="F125" s="28" t="n"/>
      <c r="G125" s="28" t="n">
        <v>0.41</v>
      </c>
      <c r="H125" s="28" t="n"/>
      <c r="I125" s="28" t="n"/>
    </row>
    <row r="126">
      <c r="A126" s="39" t="n">
        <v>46169</v>
      </c>
      <c r="B126" s="16" t="n">
        <v>0.08649999999999999</v>
      </c>
      <c r="C126" s="16" t="n">
        <v>0.17</v>
      </c>
      <c r="D126" s="16" t="n">
        <v>0.25</v>
      </c>
      <c r="E126" s="16" t="n"/>
      <c r="F126" s="16" t="n"/>
      <c r="G126" s="16" t="n">
        <v>0.41</v>
      </c>
      <c r="H126" s="16" t="n"/>
      <c r="I126" s="16" t="n">
        <v>0.1395</v>
      </c>
    </row>
    <row r="127">
      <c r="A127" s="41" t="n">
        <v>46170</v>
      </c>
      <c r="B127" s="28" t="n">
        <v>0.08399999999999999</v>
      </c>
      <c r="C127" s="28" t="n">
        <v>0.165</v>
      </c>
      <c r="D127" s="28" t="n">
        <v>0.245</v>
      </c>
      <c r="E127" s="28" t="n">
        <v>0.675</v>
      </c>
      <c r="F127" s="28" t="n">
        <v>0.5449999999999999</v>
      </c>
      <c r="G127" s="28" t="n">
        <v>0.405</v>
      </c>
      <c r="H127" s="28" t="n">
        <v>0.275</v>
      </c>
      <c r="I127" s="28" t="n">
        <v>0.1345</v>
      </c>
    </row>
    <row r="128">
      <c r="A128" s="39" t="n">
        <v>46171</v>
      </c>
      <c r="B128" s="16" t="n">
        <v>0.08399999999999999</v>
      </c>
      <c r="C128" s="16" t="n">
        <v>0.165</v>
      </c>
      <c r="D128" s="16" t="n">
        <v>0.245</v>
      </c>
      <c r="E128" s="16" t="n"/>
      <c r="F128" s="16" t="n"/>
      <c r="G128" s="16" t="n"/>
      <c r="H128" s="16" t="n"/>
      <c r="I128" s="16" t="n"/>
    </row>
    <row r="129">
      <c r="A129" s="41" t="n">
        <v>46172</v>
      </c>
      <c r="B129" s="28" t="n">
        <v>0.08399999999999999</v>
      </c>
      <c r="C129" s="28" t="n">
        <v>0.165</v>
      </c>
      <c r="D129" s="28" t="n">
        <v>0.245</v>
      </c>
      <c r="E129" s="28" t="n"/>
      <c r="F129" s="28" t="n"/>
      <c r="G129" s="28" t="n"/>
      <c r="H129" s="28" t="n">
        <v>0.275</v>
      </c>
      <c r="I129" s="28" t="n"/>
    </row>
    <row r="130">
      <c r="A130" s="39" t="n">
        <v>46173</v>
      </c>
      <c r="B130" s="16" t="n">
        <v>0.08399999999999999</v>
      </c>
      <c r="C130" s="16" t="n">
        <v>0.165</v>
      </c>
      <c r="D130" s="16" t="n">
        <v>0.245</v>
      </c>
      <c r="E130" s="16" t="n"/>
      <c r="F130" s="16" t="n"/>
      <c r="G130" s="16" t="n"/>
      <c r="H130" s="16" t="n"/>
      <c r="I130" s="16" t="n"/>
    </row>
    <row r="131">
      <c r="A131" s="41" t="n">
        <v>46174</v>
      </c>
      <c r="B131" s="28" t="n">
        <v>0.08399999999999999</v>
      </c>
      <c r="C131" s="28" t="n">
        <v>0.165</v>
      </c>
      <c r="D131" s="28" t="n">
        <v>0.245</v>
      </c>
      <c r="E131" s="28" t="n"/>
      <c r="F131" s="28" t="n"/>
      <c r="G131" s="28" t="n"/>
      <c r="H131" s="28" t="n"/>
      <c r="I131" s="28" t="n"/>
    </row>
    <row r="132">
      <c r="A132" s="39" t="n">
        <v>46175</v>
      </c>
      <c r="B132" s="16" t="n">
        <v>0.08399999999999999</v>
      </c>
      <c r="C132" s="16" t="n">
        <v>0.165</v>
      </c>
      <c r="D132" s="16" t="n">
        <v>0.245</v>
      </c>
      <c r="E132" s="16" t="n"/>
      <c r="F132" s="16" t="n"/>
      <c r="G132" s="16" t="n"/>
      <c r="H132" s="16" t="n"/>
      <c r="I132" s="16" t="n">
        <v>0.135</v>
      </c>
    </row>
    <row r="133">
      <c r="A133" s="41" t="n">
        <v>46176</v>
      </c>
      <c r="B133" s="28" t="n">
        <v>0.08399999999999999</v>
      </c>
      <c r="C133" s="28" t="n">
        <v>0.165</v>
      </c>
      <c r="D133" s="28" t="n"/>
      <c r="E133" s="28" t="n"/>
      <c r="F133" s="28" t="n"/>
      <c r="G133" s="28" t="n"/>
      <c r="H133" s="28" t="n"/>
      <c r="I133" s="28" t="n"/>
    </row>
    <row r="134">
      <c r="A134" s="39" t="n">
        <v>46177</v>
      </c>
      <c r="B134" s="16" t="n">
        <v>0.08399999999999999</v>
      </c>
      <c r="C134" s="16" t="n">
        <v>0.165</v>
      </c>
      <c r="D134" s="16" t="n"/>
      <c r="E134" s="16" t="n"/>
      <c r="F134" s="16" t="n"/>
      <c r="G134" s="16" t="n"/>
      <c r="H134" s="16" t="n"/>
      <c r="I134" s="16" t="n"/>
    </row>
    <row r="135">
      <c r="A135" s="41" t="n">
        <v>46178</v>
      </c>
      <c r="B135" s="28" t="n">
        <v>0.08399999999999999</v>
      </c>
      <c r="C135" s="28" t="n">
        <v>0.165</v>
      </c>
      <c r="D135" s="28" t="n"/>
      <c r="E135" s="28" t="n">
        <v>0.675</v>
      </c>
      <c r="F135" s="28" t="n">
        <v>0.5449999999999999</v>
      </c>
      <c r="G135" s="28" t="n"/>
      <c r="H135" s="28" t="n"/>
      <c r="I135" s="28" t="n">
        <v>0.135</v>
      </c>
    </row>
    <row r="136">
      <c r="A136" s="39" t="n">
        <v>46179</v>
      </c>
      <c r="B136" s="16" t="n">
        <v>0.08399999999999999</v>
      </c>
      <c r="C136" s="16" t="n">
        <v>0.165</v>
      </c>
      <c r="D136" s="16" t="n"/>
      <c r="E136" s="16" t="n">
        <v>0.675</v>
      </c>
      <c r="F136" s="16" t="n">
        <v>0.5449999999999999</v>
      </c>
      <c r="G136" s="16" t="n"/>
      <c r="H136" s="16" t="n"/>
      <c r="I136" s="16" t="n"/>
    </row>
    <row r="137">
      <c r="A137" s="41" t="n">
        <v>46180</v>
      </c>
      <c r="B137" s="28" t="n">
        <v>0.08399999999999999</v>
      </c>
      <c r="C137" s="28" t="n">
        <v>0.165</v>
      </c>
      <c r="D137" s="28" t="n"/>
      <c r="E137" s="28" t="n"/>
      <c r="F137" s="28" t="n"/>
      <c r="G137" s="28" t="n"/>
      <c r="H137" s="28" t="n"/>
      <c r="I137" s="28" t="n"/>
    </row>
    <row r="138">
      <c r="A138" s="39" t="n">
        <v>46181</v>
      </c>
      <c r="B138" s="16" t="n">
        <v>0.08399999999999999</v>
      </c>
      <c r="C138" s="16" t="n">
        <v>0.165</v>
      </c>
      <c r="D138" s="16" t="n"/>
      <c r="E138" s="16" t="n"/>
      <c r="F138" s="16" t="n"/>
      <c r="G138" s="16" t="n"/>
      <c r="H138" s="16" t="n"/>
      <c r="I138" s="16" t="n">
        <v>0.135</v>
      </c>
    </row>
    <row r="139">
      <c r="A139" s="41" t="n">
        <v>46182</v>
      </c>
      <c r="B139" s="28" t="n">
        <v>0.08399999999999999</v>
      </c>
      <c r="C139" s="28" t="n">
        <v>0.165</v>
      </c>
      <c r="D139" s="28" t="n"/>
      <c r="E139" s="28" t="n"/>
      <c r="F139" s="28" t="n"/>
      <c r="G139" s="28" t="n"/>
      <c r="H139" s="28" t="n"/>
      <c r="I139" s="28" t="n"/>
    </row>
    <row r="140">
      <c r="A140" s="39" t="n">
        <v>46183</v>
      </c>
      <c r="B140" s="16" t="n">
        <v>0.08399999999999999</v>
      </c>
      <c r="C140" s="16" t="n">
        <v>0.165</v>
      </c>
      <c r="D140" s="16" t="n"/>
      <c r="E140" s="16" t="n"/>
      <c r="F140" s="16" t="n"/>
      <c r="G140" s="16" t="n"/>
      <c r="H140" s="16" t="n"/>
      <c r="I140" s="16" t="n"/>
    </row>
    <row r="141">
      <c r="A141" s="41" t="n">
        <v>46184</v>
      </c>
      <c r="B141" s="28" t="n">
        <v>0.08399999999999999</v>
      </c>
      <c r="C141" s="28" t="n">
        <v>0.165</v>
      </c>
      <c r="D141" s="28" t="n"/>
      <c r="E141" s="28" t="n"/>
      <c r="F141" s="28" t="n"/>
      <c r="G141" s="28" t="n"/>
      <c r="H141" s="28" t="n"/>
      <c r="I141" s="28" t="n"/>
    </row>
    <row r="142">
      <c r="A142" s="39" t="n">
        <v>46185</v>
      </c>
      <c r="B142" s="16" t="n">
        <v>0.08399999999999999</v>
      </c>
      <c r="C142" s="16" t="n">
        <v>0.165</v>
      </c>
      <c r="D142" s="16" t="n"/>
      <c r="E142" s="16" t="n"/>
      <c r="F142" s="16" t="n"/>
      <c r="G142" s="16" t="n"/>
      <c r="H142" s="16" t="n"/>
      <c r="I142" s="16" t="n"/>
    </row>
    <row r="143">
      <c r="A143" s="41" t="n">
        <v>46186</v>
      </c>
      <c r="B143" s="28" t="n">
        <v>0.08399999999999999</v>
      </c>
      <c r="C143" s="28" t="n">
        <v>0.165</v>
      </c>
      <c r="D143" s="28" t="n"/>
      <c r="E143" s="28" t="n"/>
      <c r="F143" s="28" t="n"/>
      <c r="G143" s="28" t="n"/>
      <c r="H143" s="28" t="n"/>
      <c r="I143" s="28" t="n"/>
    </row>
    <row r="144">
      <c r="A144" s="39" t="n">
        <v>46187</v>
      </c>
      <c r="B144" s="16" t="n">
        <v>0.08399999999999999</v>
      </c>
      <c r="C144" s="16" t="n">
        <v>0.165</v>
      </c>
      <c r="D144" s="16" t="n"/>
      <c r="E144" s="16" t="n"/>
      <c r="F144" s="16" t="n"/>
      <c r="G144" s="16" t="n"/>
      <c r="H144" s="16" t="n"/>
      <c r="I144" s="16" t="n"/>
    </row>
    <row r="145">
      <c r="A145" s="41" t="n">
        <v>46188</v>
      </c>
      <c r="B145" s="28" t="n">
        <v>0.08399999999999999</v>
      </c>
      <c r="C145" s="28" t="n">
        <v>0.165</v>
      </c>
      <c r="D145" s="28" t="n"/>
      <c r="E145" s="28" t="n"/>
      <c r="F145" s="28" t="n"/>
      <c r="G145" s="28" t="n"/>
      <c r="H145" s="28" t="n"/>
      <c r="I145" s="28" t="n"/>
    </row>
    <row r="146">
      <c r="A146" s="39" t="n">
        <v>46189</v>
      </c>
      <c r="B146" s="16" t="n">
        <v>0.08399999999999999</v>
      </c>
      <c r="C146" s="16" t="n">
        <v>0.165</v>
      </c>
      <c r="D146" s="16" t="n"/>
      <c r="E146" s="16" t="n"/>
      <c r="F146" s="16" t="n"/>
      <c r="G146" s="16" t="n"/>
      <c r="H146" s="16" t="n"/>
      <c r="I146" s="16" t="n"/>
    </row>
    <row r="147">
      <c r="A147" s="41" t="n">
        <v>46190</v>
      </c>
      <c r="B147" s="28" t="n">
        <v>0.08399999999999999</v>
      </c>
      <c r="C147" s="28" t="n">
        <v>0.165</v>
      </c>
      <c r="D147" s="28" t="n"/>
      <c r="E147" s="28" t="n"/>
      <c r="F147" s="28" t="n"/>
      <c r="G147" s="28" t="n"/>
      <c r="H147" s="28" t="n"/>
      <c r="I147" s="28" t="n"/>
    </row>
    <row r="148">
      <c r="A148" s="39" t="n">
        <v>46191</v>
      </c>
      <c r="B148" s="16" t="n">
        <v>0.08399999999999999</v>
      </c>
      <c r="C148" s="16" t="n">
        <v>0.165</v>
      </c>
      <c r="D148" s="16" t="n"/>
      <c r="E148" s="16" t="n"/>
      <c r="F148" s="16" t="n"/>
      <c r="G148" s="16" t="n"/>
      <c r="H148" s="16" t="n"/>
      <c r="I148" s="16" t="n"/>
    </row>
    <row r="149">
      <c r="A149" s="41" t="n">
        <v>46192</v>
      </c>
      <c r="B149" s="28" t="n">
        <v>0.08399999999999999</v>
      </c>
      <c r="C149" s="28" t="n">
        <v>0.165</v>
      </c>
      <c r="D149" s="28" t="n"/>
      <c r="E149" s="28" t="n"/>
      <c r="F149" s="28" t="n"/>
      <c r="G149" s="28" t="n"/>
      <c r="H149" s="28" t="n"/>
      <c r="I149" s="28" t="n"/>
    </row>
    <row r="150">
      <c r="A150" s="39" t="n">
        <v>46195</v>
      </c>
      <c r="B150" s="16" t="n"/>
      <c r="C150" s="16" t="n"/>
      <c r="D150" s="16" t="n">
        <v>0.245</v>
      </c>
      <c r="E150" s="16" t="n"/>
      <c r="F150" s="16" t="n"/>
      <c r="G150" s="16" t="n"/>
      <c r="H150" s="16" t="n"/>
      <c r="I150" s="16" t="n">
        <v>0.1045</v>
      </c>
    </row>
    <row r="151">
      <c r="A151" s="41" t="n">
        <v>46196</v>
      </c>
      <c r="B151" s="28" t="n"/>
      <c r="C151" s="28" t="n"/>
      <c r="D151" s="28" t="n"/>
      <c r="E151" s="28" t="n"/>
      <c r="F151" s="28" t="n"/>
      <c r="G151" s="28" t="n"/>
      <c r="H151" s="28" t="n"/>
      <c r="I151" s="28" t="n">
        <v>0.1345</v>
      </c>
    </row>
    <row r="152">
      <c r="A152" s="39" t="n">
        <v>46201</v>
      </c>
      <c r="B152" s="16" t="n">
        <v>0.079</v>
      </c>
      <c r="C152" s="16" t="n">
        <v>0.16</v>
      </c>
      <c r="D152" s="16" t="n">
        <v>0.24</v>
      </c>
      <c r="E152" s="16" t="n">
        <v>0.6699999999999999</v>
      </c>
      <c r="F152" s="16" t="n">
        <v>0.54</v>
      </c>
      <c r="G152" s="16" t="n">
        <v>0.4</v>
      </c>
      <c r="H152" s="16" t="n">
        <v>0.27</v>
      </c>
      <c r="I152" s="16" t="n">
        <v>0.1295</v>
      </c>
    </row>
    <row r="153">
      <c r="A153" s="41" t="n">
        <v>46203</v>
      </c>
      <c r="B153" s="28" t="n">
        <v>0.08399999999999999</v>
      </c>
      <c r="C153" s="28" t="n">
        <v>0.165</v>
      </c>
      <c r="D153" s="28" t="n">
        <v>0.245</v>
      </c>
      <c r="E153" s="28" t="n"/>
      <c r="F153" s="28" t="n"/>
      <c r="G153" s="28" t="n">
        <v>0.405</v>
      </c>
      <c r="H153" s="28" t="n">
        <v>0.275</v>
      </c>
      <c r="I153" s="28" t="n">
        <v>0.1345</v>
      </c>
    </row>
    <row r="154">
      <c r="A154" s="39" t="n">
        <v>46204</v>
      </c>
      <c r="B154" s="16" t="n">
        <v>0.079</v>
      </c>
      <c r="C154" s="16" t="n">
        <v>0.16</v>
      </c>
      <c r="D154" s="16" t="n">
        <v>0.24</v>
      </c>
      <c r="E154" s="16" t="n"/>
      <c r="F154" s="16" t="n"/>
      <c r="G154" s="16" t="n">
        <v>0.4</v>
      </c>
      <c r="H154" s="16" t="n">
        <v>0.27</v>
      </c>
      <c r="I154" s="16" t="n">
        <v>0.1295</v>
      </c>
    </row>
    <row r="155">
      <c r="A155" s="41" t="n">
        <v>46205</v>
      </c>
      <c r="B155" s="28" t="n">
        <v>0.08399999999999999</v>
      </c>
      <c r="C155" s="28" t="n">
        <v>0.165</v>
      </c>
      <c r="D155" s="28" t="n">
        <v>0.245</v>
      </c>
      <c r="E155" s="28" t="n">
        <v>0.6699999999999999</v>
      </c>
      <c r="F155" s="28" t="n">
        <v>0.54</v>
      </c>
      <c r="G155" s="28" t="n">
        <v>0.4</v>
      </c>
      <c r="H155" s="28" t="n">
        <v>0.275</v>
      </c>
      <c r="I155" s="28" t="n">
        <v>0.1345</v>
      </c>
    </row>
    <row r="156">
      <c r="A156" s="39" t="n">
        <v>46206</v>
      </c>
      <c r="B156" s="16" t="n">
        <v>0.079</v>
      </c>
      <c r="C156" s="16" t="n">
        <v>0.16</v>
      </c>
      <c r="D156" s="16" t="n">
        <v>0.24</v>
      </c>
      <c r="E156" s="16" t="n">
        <v>0.6699999999999999</v>
      </c>
      <c r="F156" s="16" t="n">
        <v>0.54</v>
      </c>
      <c r="G156" s="16" t="n">
        <v>0.4</v>
      </c>
      <c r="H156" s="16" t="n">
        <v>0.27</v>
      </c>
      <c r="I156" s="16" t="n">
        <v>0.1295</v>
      </c>
    </row>
    <row r="157">
      <c r="A157" s="41" t="n">
        <v>46207</v>
      </c>
      <c r="B157" s="28" t="n">
        <v>0.079</v>
      </c>
      <c r="C157" s="28" t="n">
        <v>0.16</v>
      </c>
      <c r="D157" s="28" t="n">
        <v>0.24</v>
      </c>
      <c r="E157" s="28" t="n">
        <v>0.6699999999999999</v>
      </c>
      <c r="F157" s="28" t="n">
        <v>0.54</v>
      </c>
      <c r="G157" s="28" t="n">
        <v>0.4</v>
      </c>
      <c r="H157" s="28" t="n">
        <v>0.27</v>
      </c>
      <c r="I157" s="28" t="n">
        <v>0.1295</v>
      </c>
    </row>
    <row r="158">
      <c r="A158" s="39" t="n">
        <v>46208</v>
      </c>
      <c r="B158" s="16" t="n">
        <v>0.079</v>
      </c>
      <c r="C158" s="16" t="n">
        <v>0.16</v>
      </c>
      <c r="D158" s="16" t="n">
        <v>0.24</v>
      </c>
      <c r="E158" s="16" t="n">
        <v>0.6699999999999999</v>
      </c>
      <c r="F158" s="16" t="n">
        <v>0.54</v>
      </c>
      <c r="G158" s="16" t="n">
        <v>0.4</v>
      </c>
      <c r="H158" s="16" t="n">
        <v>0.27</v>
      </c>
      <c r="I158" s="16" t="n">
        <v>0.1295</v>
      </c>
    </row>
    <row r="159">
      <c r="A159" s="41" t="n">
        <v>46213</v>
      </c>
      <c r="B159" s="28" t="n">
        <v>0.08399999999999999</v>
      </c>
      <c r="C159" s="28" t="n">
        <v>0.165</v>
      </c>
      <c r="D159" s="28" t="n">
        <v>0.245</v>
      </c>
      <c r="E159" s="28" t="n">
        <v>0.675</v>
      </c>
      <c r="F159" s="28" t="n">
        <v>0.5449999999999999</v>
      </c>
      <c r="G159" s="28" t="n">
        <v>0.405</v>
      </c>
      <c r="H159" s="28" t="n">
        <v>0.275</v>
      </c>
      <c r="I159" s="28" t="n">
        <v>0.1345</v>
      </c>
    </row>
    <row r="160">
      <c r="A160" s="39" t="n">
        <v>46214</v>
      </c>
      <c r="B160" s="16" t="n">
        <v>0.079</v>
      </c>
      <c r="C160" s="16" t="n">
        <v>0.16</v>
      </c>
      <c r="D160" s="16" t="n">
        <v>0.24</v>
      </c>
      <c r="E160" s="16" t="n">
        <v>0.6699999999999999</v>
      </c>
      <c r="F160" s="16" t="n">
        <v>0.54</v>
      </c>
      <c r="G160" s="16" t="n">
        <v>0.4</v>
      </c>
      <c r="H160" s="16" t="n">
        <v>0.27</v>
      </c>
      <c r="I160" s="16" t="n">
        <v>0.1295</v>
      </c>
    </row>
    <row r="161">
      <c r="A161" s="41" t="n">
        <v>46215</v>
      </c>
      <c r="B161" s="28" t="n">
        <v>0.079</v>
      </c>
      <c r="C161" s="28" t="n">
        <v>0.16</v>
      </c>
      <c r="D161" s="28" t="n">
        <v>0.24</v>
      </c>
      <c r="E161" s="28" t="n">
        <v>0.6699999999999999</v>
      </c>
      <c r="F161" s="28" t="n">
        <v>0.54</v>
      </c>
      <c r="G161" s="28" t="n">
        <v>0.4</v>
      </c>
      <c r="H161" s="28" t="n">
        <v>0.27</v>
      </c>
      <c r="I161" s="28" t="n">
        <v>0.1295</v>
      </c>
    </row>
    <row r="162">
      <c r="A162" s="39" t="n">
        <v>46220</v>
      </c>
      <c r="B162" s="16" t="n">
        <v>0.079</v>
      </c>
      <c r="C162" s="16" t="n">
        <v>0.16</v>
      </c>
      <c r="D162" s="16" t="n">
        <v>0.24</v>
      </c>
      <c r="E162" s="16" t="n"/>
      <c r="F162" s="16" t="n"/>
      <c r="G162" s="16" t="n"/>
      <c r="H162" s="16" t="n">
        <v>0.27</v>
      </c>
      <c r="I162" s="16" t="n">
        <v>0.1295</v>
      </c>
    </row>
    <row r="163">
      <c r="A163" s="41" t="n">
        <v>46221</v>
      </c>
      <c r="B163" s="28" t="n">
        <v>0.079</v>
      </c>
      <c r="C163" s="28" t="n">
        <v>0.16</v>
      </c>
      <c r="D163" s="28" t="n">
        <v>0.24</v>
      </c>
      <c r="E163" s="28" t="n">
        <v>0.6699999999999999</v>
      </c>
      <c r="F163" s="28" t="n">
        <v>0.54</v>
      </c>
      <c r="G163" s="28" t="n">
        <v>0.4</v>
      </c>
      <c r="H163" s="28" t="n">
        <v>0.27</v>
      </c>
      <c r="I163" s="28" t="n">
        <v>0.1295</v>
      </c>
    </row>
    <row r="164">
      <c r="A164" s="39" t="n">
        <v>46222</v>
      </c>
      <c r="B164" s="16" t="n">
        <v>0.079</v>
      </c>
      <c r="C164" s="16" t="n">
        <v>0.16</v>
      </c>
      <c r="D164" s="16" t="n">
        <v>0.24</v>
      </c>
      <c r="E164" s="16" t="n">
        <v>0.6699999999999999</v>
      </c>
      <c r="F164" s="16" t="n">
        <v>0.54</v>
      </c>
      <c r="G164" s="16" t="n">
        <v>0.4</v>
      </c>
      <c r="H164" s="16" t="n">
        <v>0.27</v>
      </c>
      <c r="I164" s="16" t="n">
        <v>0.1295</v>
      </c>
    </row>
    <row r="165">
      <c r="A165" s="41" t="n">
        <v>46225</v>
      </c>
      <c r="B165" s="28" t="n">
        <v>0.079</v>
      </c>
      <c r="C165" s="28" t="n">
        <v>0.14</v>
      </c>
      <c r="D165" s="28" t="n">
        <v>0.215</v>
      </c>
      <c r="E165" s="28" t="n">
        <v>0.675</v>
      </c>
      <c r="F165" s="28" t="n">
        <v>0.5449999999999999</v>
      </c>
      <c r="G165" s="28" t="n">
        <v>0.405</v>
      </c>
      <c r="H165" s="28" t="n">
        <v>0.275</v>
      </c>
      <c r="I165" s="28" t="n">
        <v>0.1345</v>
      </c>
    </row>
    <row r="166">
      <c r="A166" s="39" t="n">
        <v>46226</v>
      </c>
      <c r="B166" s="16" t="n">
        <v>0.0735</v>
      </c>
      <c r="C166" s="16" t="n">
        <v>0.15</v>
      </c>
      <c r="D166" s="16" t="n">
        <v>0.22</v>
      </c>
      <c r="E166" s="16" t="n">
        <v>0.65</v>
      </c>
      <c r="F166" s="16" t="n">
        <v>0.525</v>
      </c>
      <c r="G166" s="16" t="n">
        <v>0.395</v>
      </c>
      <c r="H166" s="16" t="n">
        <v>0.27</v>
      </c>
      <c r="I166" s="16" t="n">
        <v>0.15</v>
      </c>
    </row>
    <row r="167">
      <c r="A167" s="41" t="n">
        <v>46227</v>
      </c>
      <c r="B167" s="28" t="n">
        <v>0.0735</v>
      </c>
      <c r="C167" s="28" t="n">
        <v>0.15</v>
      </c>
      <c r="D167" s="28" t="n">
        <v>0.22</v>
      </c>
      <c r="E167" s="28" t="n">
        <v>0.65</v>
      </c>
      <c r="F167" s="28" t="n">
        <v>0.525</v>
      </c>
      <c r="G167" s="28" t="n">
        <v>0.395</v>
      </c>
      <c r="H167" s="28" t="n">
        <v>0.275</v>
      </c>
      <c r="I167" s="28" t="n">
        <v>0.155</v>
      </c>
    </row>
    <row r="168">
      <c r="A168" s="39" t="n">
        <v>46228</v>
      </c>
      <c r="B168" s="16" t="n">
        <v>0.0735</v>
      </c>
      <c r="C168" s="16" t="n">
        <v>0.155</v>
      </c>
      <c r="D168" s="16" t="n">
        <v>0.22</v>
      </c>
      <c r="E168" s="16" t="n">
        <v>0.65</v>
      </c>
      <c r="F168" s="16" t="n">
        <v>0.525</v>
      </c>
      <c r="G168" s="16" t="n">
        <v>0.39</v>
      </c>
      <c r="H168" s="16" t="n">
        <v>0.27</v>
      </c>
      <c r="I168" s="16" t="n">
        <v>0.155</v>
      </c>
    </row>
    <row r="169">
      <c r="A169" s="41" t="n">
        <v>46229</v>
      </c>
      <c r="B169" s="28" t="n">
        <v>0.08399999999999999</v>
      </c>
      <c r="C169" s="28" t="n">
        <v>0.17</v>
      </c>
      <c r="D169" s="28" t="n">
        <v>0.245</v>
      </c>
      <c r="E169" s="28" t="n">
        <v>0.675</v>
      </c>
      <c r="F169" s="28" t="n">
        <v>0.5449999999999999</v>
      </c>
      <c r="G169" s="28" t="n">
        <v>0.395</v>
      </c>
      <c r="H169" s="28" t="n">
        <v>0.27</v>
      </c>
      <c r="I169" s="28" t="n">
        <v>0.1345</v>
      </c>
    </row>
    <row r="170">
      <c r="A170" s="39" t="n">
        <v>46230</v>
      </c>
      <c r="B170" s="16" t="n">
        <v>0.08</v>
      </c>
      <c r="C170" s="16" t="n">
        <v>0.155</v>
      </c>
      <c r="D170" s="16" t="n">
        <v>0.22</v>
      </c>
      <c r="E170" s="16" t="n">
        <v>0.655</v>
      </c>
      <c r="F170" s="16" t="n">
        <v>0.53</v>
      </c>
      <c r="G170" s="16" t="n">
        <v>0.395</v>
      </c>
      <c r="H170" s="16" t="n">
        <v>0.27</v>
      </c>
      <c r="I170" s="16" t="n">
        <v>0.155</v>
      </c>
    </row>
    <row r="171">
      <c r="A171" s="41" t="n">
        <v>46231</v>
      </c>
      <c r="B171" s="28" t="n">
        <v>0.08</v>
      </c>
      <c r="C171" s="28" t="n">
        <v>0.155</v>
      </c>
      <c r="D171" s="28" t="n">
        <v>0.22</v>
      </c>
      <c r="E171" s="28" t="n">
        <v>0.655</v>
      </c>
      <c r="F171" s="28" t="n">
        <v>0.525</v>
      </c>
      <c r="G171" s="28" t="n">
        <v>0.395</v>
      </c>
      <c r="H171" s="28" t="n">
        <v>0.27</v>
      </c>
      <c r="I171" s="28" t="n">
        <v>0.155</v>
      </c>
    </row>
    <row r="172">
      <c r="A172" s="39" t="n">
        <v>46232</v>
      </c>
      <c r="B172" s="16" t="n">
        <v>0.077</v>
      </c>
      <c r="C172" s="16" t="n">
        <v>0.155</v>
      </c>
      <c r="D172" s="16" t="n">
        <v>0.22</v>
      </c>
      <c r="E172" s="16" t="n">
        <v>0.655</v>
      </c>
      <c r="F172" s="16" t="n">
        <v>0.53</v>
      </c>
      <c r="G172" s="16" t="n">
        <v>0.395</v>
      </c>
      <c r="H172" s="16" t="n">
        <v>0.27</v>
      </c>
      <c r="I172" s="16" t="n">
        <v>0.16</v>
      </c>
    </row>
    <row r="173">
      <c r="A173" s="41" t="n">
        <v>46233</v>
      </c>
      <c r="B173" s="28" t="n">
        <v>0.076</v>
      </c>
      <c r="C173" s="28" t="n">
        <v>0.155</v>
      </c>
      <c r="D173" s="28" t="n">
        <v>0.215</v>
      </c>
      <c r="E173" s="28" t="n">
        <v>0.66</v>
      </c>
      <c r="F173" s="28" t="n">
        <v>0.535</v>
      </c>
      <c r="G173" s="28" t="n">
        <v>0.4</v>
      </c>
      <c r="H173" s="28" t="n">
        <v>0.275</v>
      </c>
      <c r="I173" s="28" t="n">
        <v>0.16</v>
      </c>
    </row>
    <row r="174">
      <c r="A174" s="39" t="n">
        <v>46234</v>
      </c>
      <c r="B174" s="16" t="n">
        <v>0.073</v>
      </c>
      <c r="C174" s="16" t="n">
        <v>0.15</v>
      </c>
      <c r="D174" s="16" t="n">
        <v>0.215</v>
      </c>
      <c r="E174" s="16" t="n">
        <v>0.665</v>
      </c>
      <c r="F174" s="16" t="n">
        <v>0.535</v>
      </c>
      <c r="G174" s="16" t="n">
        <v>0.4</v>
      </c>
      <c r="H174" s="16" t="n">
        <v>0.275</v>
      </c>
      <c r="I174" s="16" t="n">
        <v>0.165</v>
      </c>
    </row>
    <row r="175">
      <c r="A175" s="41" t="n">
        <v>46235</v>
      </c>
      <c r="B175" s="28" t="n">
        <v>0.07099999999999999</v>
      </c>
      <c r="C175" s="28" t="n">
        <v>0.15</v>
      </c>
      <c r="D175" s="28" t="n">
        <v>0.215</v>
      </c>
      <c r="E175" s="28" t="n">
        <v>0.665</v>
      </c>
      <c r="F175" s="28" t="n">
        <v>0.54</v>
      </c>
      <c r="G175" s="28" t="n">
        <v>0.405</v>
      </c>
      <c r="H175" s="28" t="n">
        <v>0.285</v>
      </c>
      <c r="I175" s="28" t="n">
        <v>0.165</v>
      </c>
    </row>
    <row r="176">
      <c r="A176" s="39" t="n">
        <v>46236</v>
      </c>
      <c r="B176" s="16" t="n">
        <v>0.07199999999999999</v>
      </c>
      <c r="C176" s="16" t="n">
        <v>0.15</v>
      </c>
      <c r="D176" s="16" t="n">
        <v>0.215</v>
      </c>
      <c r="E176" s="16" t="n">
        <v>0.665</v>
      </c>
      <c r="F176" s="16" t="n">
        <v>0.535</v>
      </c>
      <c r="G176" s="16" t="n">
        <v>0.4</v>
      </c>
      <c r="H176" s="16" t="n">
        <v>0.275</v>
      </c>
      <c r="I176" s="16" t="n">
        <v>0.165</v>
      </c>
    </row>
    <row r="177">
      <c r="A177" s="41" t="n">
        <v>46237</v>
      </c>
      <c r="B177" s="28" t="n">
        <v>0.079</v>
      </c>
      <c r="C177" s="28" t="n">
        <v>0.165</v>
      </c>
      <c r="D177" s="28" t="n">
        <v>0.24</v>
      </c>
      <c r="E177" s="28" t="n">
        <v>0.6699999999999999</v>
      </c>
      <c r="F177" s="28" t="n">
        <v>0.54</v>
      </c>
      <c r="G177" s="28" t="n">
        <v>0.4</v>
      </c>
      <c r="H177" s="28" t="n">
        <v>0.27</v>
      </c>
      <c r="I177" s="28" t="n">
        <v>0.1295</v>
      </c>
    </row>
    <row r="178">
      <c r="A178" s="39" t="n">
        <v>46238</v>
      </c>
      <c r="B178" s="16" t="n">
        <v>0.079</v>
      </c>
      <c r="C178" s="16" t="n">
        <v>0.165</v>
      </c>
      <c r="D178" s="16" t="n">
        <v>0.24</v>
      </c>
      <c r="E178" s="16" t="n">
        <v>0.6699999999999999</v>
      </c>
      <c r="F178" s="16" t="n">
        <v>0.54</v>
      </c>
      <c r="G178" s="16" t="n">
        <v>0.4</v>
      </c>
      <c r="H178" s="16" t="n">
        <v>0.27</v>
      </c>
      <c r="I178" s="16" t="n">
        <v>0.1295</v>
      </c>
    </row>
    <row r="179">
      <c r="A179" s="41" t="n">
        <v>46239</v>
      </c>
      <c r="B179" s="28" t="n">
        <v>0.06900000000000001</v>
      </c>
      <c r="C179" s="28" t="n">
        <v>0.15</v>
      </c>
      <c r="D179" s="28" t="n">
        <v>0.215</v>
      </c>
      <c r="E179" s="28" t="n">
        <v>0.665</v>
      </c>
      <c r="F179" s="28" t="n">
        <v>0.54</v>
      </c>
      <c r="G179" s="28" t="n">
        <v>0.405</v>
      </c>
      <c r="H179" s="28" t="n">
        <v>0.29</v>
      </c>
      <c r="I179" s="28" t="n">
        <v>0.165</v>
      </c>
    </row>
    <row r="180">
      <c r="A180" s="39" t="n">
        <v>46240</v>
      </c>
      <c r="B180" s="16" t="n">
        <v>0.079</v>
      </c>
      <c r="C180" s="16" t="n">
        <v>0.165</v>
      </c>
      <c r="D180" s="16" t="n">
        <v>0.24</v>
      </c>
      <c r="E180" s="16" t="n">
        <v>0.6699999999999999</v>
      </c>
      <c r="F180" s="16" t="n">
        <v>0.54</v>
      </c>
      <c r="G180" s="16" t="n">
        <v>0.4</v>
      </c>
      <c r="H180" s="16" t="n">
        <v>0.27</v>
      </c>
      <c r="I180" s="16" t="n">
        <v>0.1295</v>
      </c>
    </row>
    <row r="181">
      <c r="A181" s="41" t="n">
        <v>46241</v>
      </c>
      <c r="B181" s="28" t="n">
        <v>0.07000000000000001</v>
      </c>
      <c r="C181" s="28" t="n">
        <v>0.15</v>
      </c>
      <c r="D181" s="28" t="n">
        <v>0.215</v>
      </c>
      <c r="E181" s="28" t="n">
        <v>0.665</v>
      </c>
      <c r="F181" s="28" t="n">
        <v>0.54</v>
      </c>
      <c r="G181" s="28" t="n">
        <v>0.41</v>
      </c>
      <c r="H181" s="28" t="n">
        <v>0.29</v>
      </c>
      <c r="I181" s="28" t="n">
        <v>0.165</v>
      </c>
    </row>
    <row r="182">
      <c r="A182" s="39" t="n">
        <v>46242</v>
      </c>
      <c r="B182" s="16" t="n">
        <v>0.067</v>
      </c>
      <c r="C182" s="16" t="n">
        <v>0.145</v>
      </c>
      <c r="D182" s="16" t="n">
        <v>0.215</v>
      </c>
      <c r="E182" s="16" t="n">
        <v>0.665</v>
      </c>
      <c r="F182" s="16" t="n">
        <v>0.5449999999999999</v>
      </c>
      <c r="G182" s="16" t="n">
        <v>0.415</v>
      </c>
      <c r="H182" s="16" t="n">
        <v>0.295</v>
      </c>
      <c r="I182" s="16" t="n">
        <v>0.165</v>
      </c>
    </row>
    <row r="183">
      <c r="A183" s="41" t="n">
        <v>46243</v>
      </c>
      <c r="B183" s="28" t="n">
        <v>0.0665</v>
      </c>
      <c r="C183" s="28" t="n">
        <v>0.145</v>
      </c>
      <c r="D183" s="28" t="n">
        <v>0.215</v>
      </c>
      <c r="E183" s="28" t="n">
        <v>0.6699999999999999</v>
      </c>
      <c r="F183" s="28" t="n">
        <v>0.5449999999999999</v>
      </c>
      <c r="G183" s="28" t="n">
        <v>0.42</v>
      </c>
      <c r="H183" s="28" t="n">
        <v>0.295</v>
      </c>
      <c r="I183" s="28" t="n">
        <v>0.165</v>
      </c>
    </row>
    <row r="184">
      <c r="A184" s="39" t="n">
        <v>46244</v>
      </c>
      <c r="B184" s="16" t="n">
        <v>0.079</v>
      </c>
      <c r="C184" s="16" t="n">
        <v>0.165</v>
      </c>
      <c r="D184" s="16" t="n">
        <v>0.24</v>
      </c>
      <c r="E184" s="16" t="n">
        <v>0.6</v>
      </c>
      <c r="F184" s="16" t="n">
        <v>0.46</v>
      </c>
      <c r="G184" s="16" t="n">
        <v>0.32</v>
      </c>
      <c r="H184" s="16" t="n">
        <v>0.21</v>
      </c>
      <c r="I184" s="16" t="n">
        <v>0.145</v>
      </c>
    </row>
    <row r="185">
      <c r="A185" s="41" t="n">
        <v>46245</v>
      </c>
      <c r="B185" s="28" t="n">
        <v>0.167</v>
      </c>
      <c r="C185" s="28" t="n">
        <v>0.39</v>
      </c>
      <c r="D185" s="28" t="n">
        <v>0.095</v>
      </c>
      <c r="E185" s="28" t="n">
        <v>0.605</v>
      </c>
      <c r="F185" s="28" t="n">
        <v>0.465</v>
      </c>
      <c r="G185" s="28" t="n">
        <v>0.325</v>
      </c>
      <c r="H185" s="28" t="n">
        <v>0.225</v>
      </c>
      <c r="I185" s="28" t="n">
        <v>0.145</v>
      </c>
    </row>
    <row r="186">
      <c r="A186" s="39" t="n">
        <v>46246</v>
      </c>
      <c r="B186" s="16" t="n">
        <v>0.09</v>
      </c>
      <c r="C186" s="16" t="n">
        <v>0.165</v>
      </c>
      <c r="D186" s="16" t="n">
        <v>0.23</v>
      </c>
      <c r="E186" s="16" t="n">
        <v>0.6</v>
      </c>
      <c r="F186" s="16" t="n">
        <v>0.46</v>
      </c>
      <c r="G186" s="16" t="n">
        <v>0.325</v>
      </c>
      <c r="H186" s="16" t="n">
        <v>0.21</v>
      </c>
      <c r="I186" s="16" t="n">
        <v>0.145</v>
      </c>
    </row>
    <row r="187">
      <c r="A187" s="41" t="n">
        <v>46247</v>
      </c>
      <c r="B187" s="28" t="n">
        <v>0.079</v>
      </c>
      <c r="C187" s="28" t="n">
        <v>0.165</v>
      </c>
      <c r="D187" s="28" t="n">
        <v>0.24</v>
      </c>
      <c r="E187" s="28" t="n">
        <v>0.6</v>
      </c>
      <c r="F187" s="28" t="n">
        <v>0.46</v>
      </c>
      <c r="G187" s="28" t="n">
        <v>0.32</v>
      </c>
      <c r="H187" s="28" t="n">
        <v>0.21</v>
      </c>
      <c r="I187" s="28" t="n">
        <v>0.14</v>
      </c>
    </row>
    <row r="188">
      <c r="A188" s="39" t="n">
        <v>46248</v>
      </c>
      <c r="B188" s="16" t="n">
        <v>0.079</v>
      </c>
      <c r="C188" s="16" t="n">
        <v>0.165</v>
      </c>
      <c r="D188" s="16" t="n">
        <v>0.24</v>
      </c>
      <c r="E188" s="16" t="n">
        <v>0.6</v>
      </c>
      <c r="F188" s="16" t="n">
        <v>0.46</v>
      </c>
      <c r="G188" s="16" t="n">
        <v>0.32</v>
      </c>
      <c r="H188" s="16" t="n">
        <v>0.21</v>
      </c>
      <c r="I188" s="16" t="n">
        <v>0.14</v>
      </c>
    </row>
    <row r="189">
      <c r="A189" s="41" t="n">
        <v>46249</v>
      </c>
      <c r="B189" s="28" t="n">
        <v>0.079</v>
      </c>
      <c r="C189" s="28" t="n">
        <v>0.165</v>
      </c>
      <c r="D189" s="28" t="n">
        <v>0.24</v>
      </c>
      <c r="E189" s="28" t="n">
        <v>0.6</v>
      </c>
      <c r="F189" s="28" t="n">
        <v>0.46</v>
      </c>
      <c r="G189" s="28" t="n">
        <v>0.32</v>
      </c>
      <c r="H189" s="28" t="n">
        <v>0.21</v>
      </c>
      <c r="I189" s="28" t="n">
        <v>0.14</v>
      </c>
    </row>
    <row r="190">
      <c r="A190" s="39" t="n">
        <v>46250</v>
      </c>
      <c r="B190" s="16" t="n">
        <v>0.079</v>
      </c>
      <c r="C190" s="16" t="n">
        <v>0.165</v>
      </c>
      <c r="D190" s="16" t="n">
        <v>0.24</v>
      </c>
      <c r="E190" s="16" t="n">
        <v>0.6</v>
      </c>
      <c r="F190" s="16" t="n">
        <v>0.46</v>
      </c>
      <c r="G190" s="16" t="n">
        <v>0.32</v>
      </c>
      <c r="H190" s="16" t="n">
        <v>0.21</v>
      </c>
      <c r="I190" s="16" t="n">
        <v>0.14</v>
      </c>
    </row>
    <row r="191">
      <c r="A191" s="41" t="n">
        <v>46251</v>
      </c>
      <c r="B191" s="28" t="n">
        <v>0.079</v>
      </c>
      <c r="C191" s="28" t="n">
        <v>0.165</v>
      </c>
      <c r="D191" s="28" t="n">
        <v>0.24</v>
      </c>
      <c r="E191" s="28" t="n">
        <v>0.6</v>
      </c>
      <c r="F191" s="28" t="n">
        <v>0.46</v>
      </c>
      <c r="G191" s="28" t="n">
        <v>0.32</v>
      </c>
      <c r="H191" s="28" t="n">
        <v>0.21</v>
      </c>
      <c r="I191" s="28" t="n">
        <v>0.14</v>
      </c>
    </row>
    <row r="192">
      <c r="A192" s="39" t="n">
        <v>46252</v>
      </c>
      <c r="B192" s="16" t="n">
        <v>0.08399999999999999</v>
      </c>
      <c r="C192" s="16" t="n">
        <v>0.17</v>
      </c>
      <c r="D192" s="16" t="n">
        <v>0.245</v>
      </c>
      <c r="E192" s="16" t="n">
        <v>0.605</v>
      </c>
      <c r="F192" s="16" t="n">
        <v>0.465</v>
      </c>
      <c r="G192" s="16" t="n">
        <v>0.325</v>
      </c>
      <c r="H192" s="16" t="n">
        <v>0.215</v>
      </c>
      <c r="I192" s="16" t="n">
        <v>0.145</v>
      </c>
    </row>
    <row r="193">
      <c r="A193" s="41" t="n">
        <v>46253</v>
      </c>
      <c r="B193" s="28" t="n">
        <v>0.079</v>
      </c>
      <c r="C193" s="28" t="n">
        <v>0.165</v>
      </c>
      <c r="D193" s="28" t="n">
        <v>0.24</v>
      </c>
      <c r="E193" s="28" t="n">
        <v>0.6</v>
      </c>
      <c r="F193" s="28" t="n">
        <v>0.46</v>
      </c>
      <c r="G193" s="28" t="n">
        <v>0.32</v>
      </c>
      <c r="H193" s="28" t="n">
        <v>0.21</v>
      </c>
      <c r="I193" s="28" t="n">
        <v>0.14</v>
      </c>
    </row>
    <row r="194">
      <c r="A194" s="39" t="n">
        <v>46254</v>
      </c>
      <c r="B194" s="16" t="n">
        <v>0.079</v>
      </c>
      <c r="C194" s="16" t="n">
        <v>0.165</v>
      </c>
      <c r="D194" s="16" t="n">
        <v>0.24</v>
      </c>
      <c r="E194" s="16" t="n">
        <v>0.6</v>
      </c>
      <c r="F194" s="16" t="n">
        <v>0.46</v>
      </c>
      <c r="G194" s="16" t="n">
        <v>0.32</v>
      </c>
      <c r="H194" s="16" t="n">
        <v>0.21</v>
      </c>
      <c r="I194" s="16" t="n">
        <v>0.14</v>
      </c>
    </row>
    <row r="195">
      <c r="A195" s="41" t="n">
        <v>46255</v>
      </c>
      <c r="B195" s="28" t="n">
        <v>0.08399999999999999</v>
      </c>
      <c r="C195" s="28" t="n">
        <v>0.17</v>
      </c>
      <c r="D195" s="28" t="n">
        <v>0.245</v>
      </c>
      <c r="E195" s="28" t="n">
        <v>0.5649999999999999</v>
      </c>
      <c r="F195" s="28" t="n">
        <v>0.42</v>
      </c>
      <c r="G195" s="28" t="n">
        <v>0.285</v>
      </c>
      <c r="H195" s="28" t="n">
        <v>0.195</v>
      </c>
      <c r="I195" s="28" t="n">
        <v>0.1335</v>
      </c>
    </row>
    <row r="196">
      <c r="A196" s="39" t="n">
        <v>46256</v>
      </c>
      <c r="B196" s="16" t="n">
        <v>0.08399999999999999</v>
      </c>
      <c r="C196" s="16" t="n">
        <v>0.17</v>
      </c>
      <c r="D196" s="16" t="n">
        <v>0.245</v>
      </c>
      <c r="E196" s="16" t="n">
        <v>0.605</v>
      </c>
      <c r="F196" s="16" t="n">
        <v>0.47</v>
      </c>
      <c r="G196" s="16" t="n">
        <v>0.325</v>
      </c>
      <c r="H196" s="16" t="n">
        <v>0.215</v>
      </c>
      <c r="I196" s="16" t="n">
        <v>0.145</v>
      </c>
    </row>
    <row r="197">
      <c r="A197" s="41" t="n">
        <v>46257</v>
      </c>
      <c r="B197" s="28" t="n">
        <v>0.079</v>
      </c>
      <c r="C197" s="28" t="n">
        <v>0.155</v>
      </c>
      <c r="D197" s="28" t="n">
        <v>0.225</v>
      </c>
      <c r="E197" s="28" t="n">
        <v>0.6</v>
      </c>
      <c r="F197" s="28" t="n">
        <v>0.445</v>
      </c>
      <c r="G197" s="28" t="n">
        <v>0.32</v>
      </c>
      <c r="H197" s="28" t="n">
        <v>0.21</v>
      </c>
      <c r="I197" s="28" t="n">
        <v>0.14</v>
      </c>
    </row>
    <row r="198">
      <c r="A198" s="39" t="n">
        <v>46258</v>
      </c>
      <c r="B198" s="16" t="n">
        <v>0.0785</v>
      </c>
      <c r="C198" s="16" t="n">
        <v>0.17</v>
      </c>
      <c r="D198" s="16" t="n">
        <v>0.24</v>
      </c>
      <c r="E198" s="16" t="n">
        <v>0.6</v>
      </c>
      <c r="F198" s="16" t="n">
        <v>0.465</v>
      </c>
      <c r="G198" s="16" t="n">
        <v>0.32</v>
      </c>
      <c r="H198" s="16" t="n">
        <v>0.21</v>
      </c>
      <c r="I198" s="16" t="n">
        <v>0.14</v>
      </c>
    </row>
    <row r="199">
      <c r="A199" s="41" t="n">
        <v>46259</v>
      </c>
      <c r="B199" s="28" t="n">
        <v>0.08400000000000001</v>
      </c>
      <c r="C199" s="28" t="n">
        <v>0.17</v>
      </c>
      <c r="D199" s="28" t="n">
        <v>0.25</v>
      </c>
      <c r="E199" s="28" t="n">
        <v>0.605</v>
      </c>
      <c r="F199" s="28" t="n">
        <v>0.47</v>
      </c>
      <c r="G199" s="28" t="n">
        <v>0.325</v>
      </c>
      <c r="H199" s="28" t="n">
        <v>0.215</v>
      </c>
      <c r="I199" s="28" t="n">
        <v>0.145</v>
      </c>
    </row>
    <row r="200">
      <c r="A200" s="39" t="n">
        <v>46260</v>
      </c>
      <c r="B200" s="16" t="n">
        <v>0.089</v>
      </c>
      <c r="C200" s="16" t="n">
        <v>0.175</v>
      </c>
      <c r="D200" s="16" t="n">
        <v>0.25</v>
      </c>
      <c r="E200" s="16" t="n">
        <v>0.605</v>
      </c>
      <c r="F200" s="16" t="n">
        <v>0.465</v>
      </c>
      <c r="G200" s="16" t="n">
        <v>0.325</v>
      </c>
      <c r="H200" s="16" t="n">
        <v>0.215</v>
      </c>
      <c r="I200" s="16" t="n">
        <v>0.145</v>
      </c>
    </row>
    <row r="201">
      <c r="A201" s="41" t="n">
        <v>46261</v>
      </c>
      <c r="B201" s="28" t="n">
        <v>0.089</v>
      </c>
      <c r="C201" s="28" t="n">
        <v>0.175</v>
      </c>
      <c r="D201" s="28" t="n">
        <v>0.25</v>
      </c>
      <c r="E201" s="28" t="n">
        <v>0.605</v>
      </c>
      <c r="F201" s="28" t="n">
        <v>0.46</v>
      </c>
      <c r="G201" s="28" t="n">
        <v>0.325</v>
      </c>
      <c r="H201" s="28" t="n">
        <v>0.215</v>
      </c>
      <c r="I201" s="28" t="n">
        <v>0.145</v>
      </c>
    </row>
    <row r="202">
      <c r="A202" s="39" t="n">
        <v>46262</v>
      </c>
      <c r="B202" s="16" t="n">
        <v>0.089</v>
      </c>
      <c r="C202" s="16" t="n">
        <v>0.175</v>
      </c>
      <c r="D202" s="16" t="n">
        <v>0.25</v>
      </c>
      <c r="E202" s="16" t="n">
        <v>0.605</v>
      </c>
      <c r="F202" s="16" t="n">
        <v>0.465</v>
      </c>
      <c r="G202" s="16" t="n">
        <v>0.325</v>
      </c>
      <c r="H202" s="16" t="n">
        <v>0.215</v>
      </c>
      <c r="I202" s="16" t="n">
        <v>0.145</v>
      </c>
    </row>
    <row r="203">
      <c r="A203" s="41" t="n">
        <v>46263</v>
      </c>
      <c r="B203" s="28" t="n">
        <v>0.089</v>
      </c>
      <c r="C203" s="28" t="n">
        <v>0.175</v>
      </c>
      <c r="D203" s="28" t="n">
        <v>0.25</v>
      </c>
      <c r="E203" s="28" t="n">
        <v>0.605</v>
      </c>
      <c r="F203" s="28" t="n">
        <v>0.465</v>
      </c>
      <c r="G203" s="28" t="n">
        <v>0.325</v>
      </c>
      <c r="H203" s="28" t="n">
        <v>0.215</v>
      </c>
      <c r="I203" s="28" t="n">
        <v>0.145</v>
      </c>
    </row>
    <row r="204">
      <c r="A204" s="39" t="n">
        <v>46264</v>
      </c>
      <c r="B204" s="16" t="n">
        <v>0.08400000000000001</v>
      </c>
      <c r="C204" s="16" t="n">
        <v>0.17</v>
      </c>
      <c r="D204" s="16" t="n">
        <v>0.24</v>
      </c>
      <c r="E204" s="16" t="n">
        <v>0.605</v>
      </c>
      <c r="F204" s="16" t="n">
        <v>0.465</v>
      </c>
      <c r="G204" s="16" t="n">
        <v>0.325</v>
      </c>
      <c r="H204" s="16" t="n">
        <v>0.215</v>
      </c>
      <c r="I204" s="16" t="n">
        <v>0.145</v>
      </c>
    </row>
    <row r="205">
      <c r="A205" s="41" t="n">
        <v>46265</v>
      </c>
      <c r="B205" s="28" t="n">
        <v>0.08649999999999999</v>
      </c>
      <c r="C205" s="28" t="n">
        <v>0.175</v>
      </c>
      <c r="D205" s="28" t="n">
        <v>0.255</v>
      </c>
      <c r="E205" s="28" t="n">
        <v>0.605</v>
      </c>
      <c r="F205" s="28" t="n">
        <v>0.465</v>
      </c>
      <c r="G205" s="28" t="n">
        <v>0.325</v>
      </c>
      <c r="H205" s="28" t="n">
        <v>0.215</v>
      </c>
      <c r="I205" s="28" t="n">
        <v>0.145</v>
      </c>
    </row>
    <row r="206">
      <c r="A206" s="39" t="n">
        <v>46266</v>
      </c>
      <c r="B206" s="16" t="n">
        <v>0.08799999999999999</v>
      </c>
      <c r="C206" s="16" t="n">
        <v>0.175</v>
      </c>
      <c r="D206" s="16" t="n">
        <v>0.255</v>
      </c>
      <c r="E206" s="16" t="n">
        <v>0.605</v>
      </c>
      <c r="F206" s="16" t="n">
        <v>0.465</v>
      </c>
      <c r="G206" s="16" t="n">
        <v>0.32</v>
      </c>
      <c r="H206" s="16" t="n">
        <v>0.215</v>
      </c>
      <c r="I206" s="16" t="n">
        <v>0.145</v>
      </c>
    </row>
    <row r="207">
      <c r="A207" s="41" t="n">
        <v>46267</v>
      </c>
      <c r="B207" s="28" t="n">
        <v>0.07100000000000001</v>
      </c>
      <c r="C207" s="28" t="n">
        <v>0.135</v>
      </c>
      <c r="D207" s="28" t="n">
        <v>0.175</v>
      </c>
      <c r="E207" s="28" t="n">
        <v>0.6000000000000001</v>
      </c>
      <c r="F207" s="28" t="n">
        <v>0.46</v>
      </c>
      <c r="G207" s="28" t="n">
        <v>0.315</v>
      </c>
      <c r="H207" s="28" t="n">
        <v>0.21</v>
      </c>
      <c r="I207" s="28" t="n">
        <v>0.14</v>
      </c>
    </row>
    <row r="208">
      <c r="A208" s="39" t="n">
        <v>46268</v>
      </c>
      <c r="B208" s="16" t="n">
        <v>0.08499999999999999</v>
      </c>
      <c r="C208" s="16" t="n">
        <v>0.145</v>
      </c>
      <c r="D208" s="16" t="n">
        <v>0.2</v>
      </c>
      <c r="E208" s="16" t="n">
        <v>0.605</v>
      </c>
      <c r="F208" s="16" t="n">
        <v>0.465</v>
      </c>
      <c r="G208" s="16" t="n">
        <v>0.32</v>
      </c>
      <c r="H208" s="16" t="n">
        <v>0.215</v>
      </c>
      <c r="I208" s="16" t="n">
        <v>0.145</v>
      </c>
    </row>
    <row r="209">
      <c r="A209" s="41" t="n">
        <v>46269</v>
      </c>
      <c r="B209" s="28" t="n">
        <v>0.08399999999999999</v>
      </c>
      <c r="C209" s="28" t="n">
        <v>0.16</v>
      </c>
      <c r="D209" s="28" t="n">
        <v>0.245</v>
      </c>
      <c r="E209" s="28" t="n">
        <v>0.605</v>
      </c>
      <c r="F209" s="28" t="n">
        <v>0.465</v>
      </c>
      <c r="G209" s="28" t="n">
        <v>0.32</v>
      </c>
      <c r="H209" s="28" t="n">
        <v>0.215</v>
      </c>
      <c r="I209" s="28" t="n">
        <v>0.145</v>
      </c>
    </row>
    <row r="210">
      <c r="A210" s="39" t="n">
        <v>46270</v>
      </c>
      <c r="B210" s="16" t="n">
        <v>0.08400000000000001</v>
      </c>
      <c r="C210" s="16" t="n">
        <v>0.165</v>
      </c>
      <c r="D210" s="16" t="n">
        <v>0.24</v>
      </c>
      <c r="E210" s="16" t="n">
        <v>0.6000000000000001</v>
      </c>
      <c r="F210" s="16" t="n">
        <v>0.46</v>
      </c>
      <c r="G210" s="16" t="n">
        <v>0.315</v>
      </c>
      <c r="H210" s="16" t="n">
        <v>0.21</v>
      </c>
      <c r="I210" s="16" t="n">
        <v>0.14</v>
      </c>
    </row>
    <row r="211">
      <c r="A211" s="41" t="n">
        <v>46271</v>
      </c>
      <c r="B211" s="28" t="n">
        <v>0.08400000000000001</v>
      </c>
      <c r="C211" s="28" t="n">
        <v>0.165</v>
      </c>
      <c r="D211" s="28" t="n"/>
      <c r="E211" s="28" t="n"/>
      <c r="F211" s="28" t="n"/>
      <c r="G211" s="28" t="n"/>
      <c r="H211" s="28" t="n"/>
      <c r="I211" s="28" t="n"/>
    </row>
    <row r="212">
      <c r="A212" s="39" t="n">
        <v>46272</v>
      </c>
      <c r="B212" s="16" t="n">
        <v>0.08400000000000001</v>
      </c>
      <c r="C212" s="16" t="n">
        <v>0.17</v>
      </c>
      <c r="D212" s="16" t="n">
        <v>0.26</v>
      </c>
      <c r="E212" s="16" t="n">
        <v>0.6000000000000001</v>
      </c>
      <c r="F212" s="16" t="n">
        <v>0.46</v>
      </c>
      <c r="G212" s="16" t="n">
        <v>0.315</v>
      </c>
      <c r="H212" s="16" t="n">
        <v>0.21</v>
      </c>
      <c r="I212" s="16" t="n">
        <v>0.14</v>
      </c>
    </row>
    <row r="213">
      <c r="A213" s="41" t="n">
        <v>46273</v>
      </c>
      <c r="B213" s="28" t="n">
        <v>0.08549999999999999</v>
      </c>
      <c r="C213" s="28" t="n">
        <v>0.175</v>
      </c>
      <c r="D213" s="28" t="n"/>
      <c r="E213" s="28" t="n"/>
      <c r="F213" s="28" t="n"/>
      <c r="G213" s="28" t="n"/>
      <c r="H213" s="28" t="n"/>
      <c r="I213" s="28" t="n"/>
    </row>
    <row r="214">
      <c r="A214" s="39" t="n">
        <v>46274</v>
      </c>
      <c r="B214" s="16" t="n">
        <v>0.0805</v>
      </c>
      <c r="C214" s="16" t="n">
        <v>0.165</v>
      </c>
      <c r="D214" s="16" t="n">
        <v>0.2</v>
      </c>
      <c r="E214" s="16" t="n">
        <v>0.605</v>
      </c>
      <c r="F214" s="16" t="n"/>
      <c r="G214" s="16" t="n"/>
      <c r="H214" s="16" t="n"/>
      <c r="I214" s="16" t="n"/>
    </row>
    <row r="215">
      <c r="A215" s="41" t="n">
        <v>46275</v>
      </c>
      <c r="B215" s="28" t="n">
        <v>0.079</v>
      </c>
      <c r="C215" s="28" t="n">
        <v>0.175</v>
      </c>
      <c r="D215" s="28" t="n">
        <v>0.2</v>
      </c>
      <c r="E215" s="28" t="n">
        <v>0.605</v>
      </c>
      <c r="F215" s="28" t="n">
        <v>0.46</v>
      </c>
      <c r="G215" s="28" t="n">
        <v>0.315</v>
      </c>
      <c r="H215" s="28" t="n">
        <v>0.21</v>
      </c>
      <c r="I215" s="28" t="n">
        <v>0.14</v>
      </c>
    </row>
    <row r="216">
      <c r="A216" s="39" t="n">
        <v>46276</v>
      </c>
      <c r="B216" s="16" t="n">
        <v>0.0745</v>
      </c>
      <c r="C216" s="16" t="n">
        <v>0.1085</v>
      </c>
      <c r="D216" s="16" t="n">
        <v>0.15</v>
      </c>
      <c r="E216" s="16" t="n">
        <v>0.605</v>
      </c>
      <c r="F216" s="16" t="n">
        <v>0.465</v>
      </c>
      <c r="G216" s="16" t="n">
        <v>0.32</v>
      </c>
      <c r="H216" s="16" t="n">
        <v>0.215</v>
      </c>
      <c r="I216" s="16" t="n">
        <v>0.145</v>
      </c>
    </row>
    <row r="217">
      <c r="A217" s="41" t="n">
        <v>46277</v>
      </c>
      <c r="B217" s="28" t="n">
        <v>0.0755</v>
      </c>
      <c r="C217" s="28" t="n">
        <v>0.15</v>
      </c>
      <c r="D217" s="28" t="n">
        <v>0.185</v>
      </c>
      <c r="E217" s="28" t="n">
        <v>0.605</v>
      </c>
      <c r="F217" s="28" t="n">
        <v>0.465</v>
      </c>
      <c r="G217" s="28" t="n">
        <v>0.325</v>
      </c>
      <c r="H217" s="28" t="n">
        <v>0.215</v>
      </c>
      <c r="I217" s="28" t="n">
        <v>0.145</v>
      </c>
    </row>
    <row r="218">
      <c r="A218" s="39" t="n">
        <v>46278</v>
      </c>
      <c r="B218" s="16" t="n">
        <v>0.0805</v>
      </c>
      <c r="C218" s="16" t="n">
        <v>0.155</v>
      </c>
      <c r="D218" s="16" t="n">
        <v>0.185</v>
      </c>
      <c r="E218" s="16" t="n">
        <v>0.605</v>
      </c>
      <c r="F218" s="16" t="n">
        <v>0.465</v>
      </c>
      <c r="G218" s="16" t="n">
        <v>0.325</v>
      </c>
      <c r="H218" s="16" t="n">
        <v>0.215</v>
      </c>
      <c r="I218" s="16" t="n">
        <v>0.145</v>
      </c>
    </row>
    <row r="219">
      <c r="A219" s="41" t="n">
        <v>46279</v>
      </c>
      <c r="B219" s="28" t="n">
        <v>0.0805</v>
      </c>
      <c r="C219" s="28" t="n">
        <v>0.155</v>
      </c>
      <c r="D219" s="28" t="n"/>
      <c r="E219" s="28" t="n"/>
      <c r="F219" s="28" t="n"/>
      <c r="G219" s="28" t="n">
        <v>0.33</v>
      </c>
      <c r="H219" s="28" t="n"/>
      <c r="I219" s="28" t="n"/>
    </row>
    <row r="220">
      <c r="A220" s="2" t="inlineStr">
        <is>
          <t>Each column is P(margin ≥ that threshold), so the columns are nested rather than exclusive and must fall from left to right within each party.</t>
        </is>
      </c>
    </row>
  </sheetData>
  <mergeCells count="13">
    <mergeCell ref="A220:K220"/>
    <mergeCell ref="B12:F12"/>
    <mergeCell ref="B7:F7"/>
    <mergeCell ref="B6:F6"/>
    <mergeCell ref="A77:K77"/>
    <mergeCell ref="B10:F10"/>
    <mergeCell ref="B11:F11"/>
    <mergeCell ref="B5:F5"/>
    <mergeCell ref="A39:J39"/>
    <mergeCell ref="B105:K105"/>
    <mergeCell ref="B8:F8"/>
    <mergeCell ref="B9:F9"/>
    <mergeCell ref="A106:K106"/>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2026-09-14 21:26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9" t="n">
        <v>295000</v>
      </c>
      <c r="I13" s="95">
        <f>IFERROR(G13*H13,"")</f>
        <v/>
      </c>
    </row>
    <row r="14">
      <c r="A14" s="6" t="inlineStr">
        <is>
          <t>Above 310K</t>
        </is>
      </c>
      <c r="B14" s="99" t="n">
        <v>310000</v>
      </c>
      <c r="C14" s="16" t="n">
        <v>0.72</v>
      </c>
      <c r="D14" s="16" t="n">
        <v>0.79</v>
      </c>
      <c r="E14" s="17">
        <f>IF(COUNT(C14:D14)=2,(C14+D14)/2,"")</f>
        <v/>
      </c>
      <c r="F14" s="59" t="inlineStr">
        <is>
          <t>310K–320K</t>
        </is>
      </c>
      <c r="G14" s="17">
        <f>IFERROR(MAX(0,E14-E15),"")</f>
        <v/>
      </c>
      <c r="H14" s="99" t="n">
        <v>315000</v>
      </c>
      <c r="I14" s="95">
        <f>IFERROR(G14*H14,"")</f>
        <v/>
      </c>
    </row>
    <row r="15">
      <c r="A15" s="6" t="inlineStr">
        <is>
          <t>Above 320K</t>
        </is>
      </c>
      <c r="B15" s="99" t="n">
        <v>320000</v>
      </c>
      <c r="C15" s="16" t="n">
        <v>0.59</v>
      </c>
      <c r="D15" s="16" t="n">
        <v>0.66</v>
      </c>
      <c r="E15" s="17">
        <f>IF(COUNT(C15:D15)=2,(C15+D15)/2,"")</f>
        <v/>
      </c>
      <c r="F15" s="59" t="inlineStr">
        <is>
          <t>320K–340K</t>
        </is>
      </c>
      <c r="G15" s="17">
        <f>IFERROR(MAX(0,E15-E16),"")</f>
        <v/>
      </c>
      <c r="H15" s="99" t="n">
        <v>330000</v>
      </c>
      <c r="I15" s="95">
        <f>IFERROR(G15*H15,"")</f>
        <v/>
      </c>
    </row>
    <row r="16">
      <c r="A16" s="6" t="inlineStr">
        <is>
          <t>Above 340K</t>
        </is>
      </c>
      <c r="B16" s="99" t="n">
        <v>340000</v>
      </c>
      <c r="C16" s="16" t="n">
        <v>0.47</v>
      </c>
      <c r="D16" s="16" t="n">
        <v>0.54</v>
      </c>
      <c r="E16" s="17">
        <f>IF(COUNT(C16:D16)=2,(C16+D16)/2,"")</f>
        <v/>
      </c>
      <c r="F16" s="59" t="inlineStr">
        <is>
          <t>340K–360K</t>
        </is>
      </c>
      <c r="G16" s="17">
        <f>IFERROR(MAX(0,E16-E17),"")</f>
        <v/>
      </c>
      <c r="H16" s="99" t="n">
        <v>350000</v>
      </c>
      <c r="I16" s="95">
        <f>IFERROR(G16*H16,"")</f>
        <v/>
      </c>
    </row>
    <row r="17">
      <c r="A17" s="6" t="inlineStr">
        <is>
          <t>Above 360K</t>
        </is>
      </c>
      <c r="B17" s="99" t="n">
        <v>360000</v>
      </c>
      <c r="C17" s="16" t="n">
        <v>0.34</v>
      </c>
      <c r="D17" s="16" t="n">
        <v>0.41</v>
      </c>
      <c r="E17" s="17">
        <f>IF(COUNT(C17:D17)=2,(C17+D17)/2,"")</f>
        <v/>
      </c>
      <c r="F17" s="59" t="inlineStr">
        <is>
          <t>360K–370K</t>
        </is>
      </c>
      <c r="G17" s="17">
        <f>IFERROR(MAX(0,E17-E18),"")</f>
        <v/>
      </c>
      <c r="H17" s="99" t="n">
        <v>365000</v>
      </c>
      <c r="I17" s="95">
        <f>IFERROR(G17*H17,"")</f>
        <v/>
      </c>
    </row>
    <row r="18">
      <c r="A18" s="6" t="inlineStr">
        <is>
          <t>Above 370K</t>
        </is>
      </c>
      <c r="B18" s="99" t="n">
        <v>370000</v>
      </c>
      <c r="C18" s="16" t="n">
        <v>0.22</v>
      </c>
      <c r="D18" s="16" t="n">
        <v>0.29</v>
      </c>
      <c r="E18" s="17">
        <f>IF(COUNT(C18:D18)=2,(C18+D18)/2,"")</f>
        <v/>
      </c>
      <c r="F18" s="59" t="inlineStr">
        <is>
          <t>above 370K</t>
        </is>
      </c>
      <c r="G18" s="17">
        <f>IFERROR(E18,"")</f>
        <v/>
      </c>
      <c r="H18" s="99" t="n">
        <v>385000</v>
      </c>
      <c r="I18" s="95">
        <f>IFERROR(G18*H18,"")</f>
        <v/>
      </c>
    </row>
    <row r="19">
      <c r="A19" s="22" t="inlineStr">
        <is>
          <t>TOTAL</t>
        </is>
      </c>
      <c r="G19" s="23">
        <f>SUM(G13:G18)</f>
        <v/>
      </c>
      <c r="I19" s="96">
        <f>SUM(I13:I18)</f>
        <v/>
      </c>
    </row>
    <row r="21">
      <c r="A21" s="3" t="inlineStr">
        <is>
          <t>IMPLIED READ</t>
        </is>
      </c>
      <c r="B21" s="4" t="n"/>
      <c r="C21" s="4" t="n"/>
      <c r="D21" s="4" t="n"/>
      <c r="E21" s="4" t="n"/>
      <c r="F21" s="4" t="n"/>
      <c r="G21" s="4" t="n"/>
      <c r="H21" s="4" t="n"/>
      <c r="I21" s="4" t="n"/>
      <c r="J21" s="4" t="n"/>
    </row>
    <row r="22">
      <c r="A22" s="6" t="inlineStr">
        <is>
          <t>Expected turnout</t>
        </is>
      </c>
      <c r="B22" s="97">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8"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66:J66"/>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59"/>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2026-09-14 21:26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0.02</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0.65</v>
      </c>
      <c r="E16" s="20">
        <f>IF(ISNUMBER(D16),1-D16,"")</f>
        <v/>
      </c>
      <c r="F16" s="17">
        <f>IF(COUNT(C16,E16)=2,(C16+E16)/2,IF(ISNUMBER(E16),E16/2,""))</f>
        <v/>
      </c>
      <c r="G16" s="17">
        <f>IFERROR(F16/$F$21,"")</f>
        <v/>
      </c>
      <c r="H16" s="20">
        <f>IFERROR(SUM($G$13:G16),"")</f>
        <v/>
      </c>
      <c r="I16" s="75">
        <f>IFERROR(G16*B16,"")</f>
        <v/>
      </c>
    </row>
    <row r="17">
      <c r="A17" s="22" t="inlineStr">
        <is>
          <t>10</t>
        </is>
      </c>
      <c r="B17" s="45" t="n">
        <v>10</v>
      </c>
      <c r="C17" s="16" t="n">
        <v>0.17</v>
      </c>
      <c r="D17" s="16" t="n">
        <v>0.8100000000000001</v>
      </c>
      <c r="E17" s="20">
        <f>IF(ISNUMBER(D17),1-D17,"")</f>
        <v/>
      </c>
      <c r="F17" s="17">
        <f>IF(COUNT(C17,E17)=2,(C17+E17)/2,IF(ISNUMBER(E17),E17/2,""))</f>
        <v/>
      </c>
      <c r="G17" s="17">
        <f>IFERROR(F17/$F$21,"")</f>
        <v/>
      </c>
      <c r="H17" s="20">
        <f>IFERROR(SUM($G$13:G17),"")</f>
        <v/>
      </c>
      <c r="I17" s="75">
        <f>IFERROR(G17*B17,"")</f>
        <v/>
      </c>
    </row>
    <row r="18">
      <c r="A18" s="22" t="inlineStr">
        <is>
          <t>11</t>
        </is>
      </c>
      <c r="B18" s="45" t="n">
        <v>11</v>
      </c>
      <c r="C18" s="16" t="n">
        <v>0.27</v>
      </c>
      <c r="D18" s="16" t="n">
        <v>0.63</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92">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3">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2" t="inlineStr">
        <is>
          <t>Kalshi began quoting this ladder on 20 Aug 2026, so the history is only 26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59:J5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2026-09-14 21:26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46279</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2026-09-14 21:26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100">
        <f>AVERAGE(Polymarket!D19,Kalshi!E17)</f>
        <v/>
      </c>
      <c r="C5" s="67" t="n"/>
      <c r="D5" s="2" t="inlineStr">
        <is>
          <t>Equal-weighted mean of the two venue mids, read directly from their APIs.</t>
        </is>
      </c>
    </row>
    <row r="6" ht="26" customHeight="1">
      <c r="A6" s="6" t="inlineStr">
        <is>
          <t>PollsMax model P(Dem)</t>
        </is>
      </c>
      <c r="B6" s="100"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101" t="n">
        <v>0.6</v>
      </c>
      <c r="D8" s="2" t="inlineStr">
        <is>
          <t>Model's central vote-margin estimate, D positive.</t>
        </is>
      </c>
    </row>
    <row r="9">
      <c r="A9" s="6" t="inlineStr">
        <is>
          <t>Rating (model)</t>
        </is>
      </c>
      <c r="B9" s="26" t="n"/>
    </row>
    <row r="10" ht="26" customHeight="1">
      <c r="A10" s="102"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101"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103"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102"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102"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4">
        <f>IFERROR(IF(INDEX(Polymarket!$B$25:$B$275,MATCH($A36,Polymarket!$A$25:$A$275,0))=0,"",INDEX(Polymarket!$B$25:$B$275,MATCH($A36,Polymarket!$A$25:$A$275,0))),"")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5">
        <f>IFERROR(IF(INDEX(Polymarket!$B$25:$B$275,MATCH($A37,Polymarket!$A$25:$A$275,0))=0,"",INDEX(Polymarket!$B$25:$B$275,MATCH($A37,Polymarket!$A$25:$A$275,0))),"")</f>
        <v/>
      </c>
      <c r="H37" s="31">
        <f>IF(AND(ISNUMBER(B37),ISNUMBER(G37)),B37-G37,"")</f>
        <v/>
      </c>
      <c r="I37" s="26" t="inlineStr">
        <is>
          <t>02 Jan</t>
        </is>
      </c>
    </row>
    <row r="38">
      <c r="A38" s="39" t="n">
        <v>46025</v>
      </c>
      <c r="B38" s="16" t="n">
        <v>0.5082</v>
      </c>
      <c r="C38" s="16" t="n">
        <v>0.5582</v>
      </c>
      <c r="D38" s="16" t="n">
        <v>0.4582</v>
      </c>
      <c r="E38" s="16" t="n">
        <v>0.5</v>
      </c>
      <c r="F38" s="16" t="n">
        <v>0.5</v>
      </c>
      <c r="G38" s="104">
        <f>IFERROR(IF(INDEX(Polymarket!$B$25:$B$275,MATCH($A38,Polymarket!$A$25:$A$275,0))=0,"",INDEX(Polymarket!$B$25:$B$275,MATCH($A38,Polymarket!$A$25:$A$275,0))),"")</f>
        <v/>
      </c>
      <c r="H38" s="18">
        <f>IF(AND(ISNUMBER(B38),ISNUMBER(G38)),B38-G38,"")</f>
        <v/>
      </c>
      <c r="I38" s="26" t="inlineStr">
        <is>
          <t>03 Jan</t>
        </is>
      </c>
    </row>
    <row r="39">
      <c r="A39" s="41" t="n">
        <v>46026</v>
      </c>
      <c r="B39" s="28" t="n">
        <v>0.5019</v>
      </c>
      <c r="C39" s="28" t="n">
        <v>0.5518999999999999</v>
      </c>
      <c r="D39" s="28" t="n">
        <v>0.4519</v>
      </c>
      <c r="E39" s="28" t="n">
        <v>0.5</v>
      </c>
      <c r="F39" s="28" t="n">
        <v>0.5</v>
      </c>
      <c r="G39" s="105">
        <f>IFERROR(IF(INDEX(Polymarket!$B$25:$B$275,MATCH($A39,Polymarket!$A$25:$A$275,0))=0,"",INDEX(Polymarket!$B$25:$B$275,MATCH($A39,Polymarket!$A$25:$A$275,0))),"")</f>
        <v/>
      </c>
      <c r="H39" s="31">
        <f>IF(AND(ISNUMBER(B39),ISNUMBER(G39)),B39-G39,"")</f>
        <v/>
      </c>
      <c r="I39" s="26" t="inlineStr">
        <is>
          <t>04 Jan</t>
        </is>
      </c>
    </row>
    <row r="40">
      <c r="A40" s="39" t="n">
        <v>46027</v>
      </c>
      <c r="B40" s="16" t="n">
        <v>0.4969</v>
      </c>
      <c r="C40" s="16" t="n">
        <v>0.5468999999999999</v>
      </c>
      <c r="D40" s="16" t="n">
        <v>0.4469</v>
      </c>
      <c r="E40" s="16" t="n">
        <v>0.5</v>
      </c>
      <c r="F40" s="16" t="n">
        <v>0.5</v>
      </c>
      <c r="G40" s="104">
        <f>IFERROR(IF(INDEX(Polymarket!$B$25:$B$275,MATCH($A40,Polymarket!$A$25:$A$275,0))=0,"",INDEX(Polymarket!$B$25:$B$275,MATCH($A40,Polymarket!$A$25:$A$275,0))),"")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5">
        <f>IFERROR(IF(INDEX(Polymarket!$B$25:$B$275,MATCH($A41,Polymarket!$A$25:$A$275,0))=0,"",INDEX(Polymarket!$B$25:$B$275,MATCH($A41,Polymarket!$A$25:$A$275,0))),"")</f>
        <v/>
      </c>
      <c r="H41" s="31">
        <f>IF(AND(ISNUMBER(B41),ISNUMBER(G41)),B41-G41,"")</f>
        <v/>
      </c>
      <c r="I41" s="26" t="inlineStr">
        <is>
          <t>06 Jan</t>
        </is>
      </c>
    </row>
    <row r="42">
      <c r="A42" s="39" t="n">
        <v>46029</v>
      </c>
      <c r="B42" s="16" t="n">
        <v>0.5191</v>
      </c>
      <c r="C42" s="16" t="n">
        <v>0.5691000000000001</v>
      </c>
      <c r="D42" s="16" t="n">
        <v>0.4691</v>
      </c>
      <c r="E42" s="16" t="n">
        <v>0.501</v>
      </c>
      <c r="F42" s="16" t="n">
        <v>0.5</v>
      </c>
      <c r="G42" s="104">
        <f>IFERROR(IF(INDEX(Polymarket!$B$25:$B$275,MATCH($A42,Polymarket!$A$25:$A$275,0))=0,"",INDEX(Polymarket!$B$25:$B$275,MATCH($A42,Polymarket!$A$25:$A$275,0))),"")</f>
        <v/>
      </c>
      <c r="H42" s="18">
        <f>IF(AND(ISNUMBER(B42),ISNUMBER(G42)),B42-G42,"")</f>
        <v/>
      </c>
      <c r="I42" s="26" t="inlineStr">
        <is>
          <t>07 Jan</t>
        </is>
      </c>
    </row>
    <row r="43">
      <c r="A43" s="41" t="n">
        <v>46030</v>
      </c>
      <c r="B43" s="28" t="n">
        <v>0.5054999999999999</v>
      </c>
      <c r="C43" s="28" t="n">
        <v>0.5555</v>
      </c>
      <c r="D43" s="28" t="n">
        <v>0.4555</v>
      </c>
      <c r="E43" s="28" t="n">
        <v>0.5</v>
      </c>
      <c r="F43" s="28" t="n">
        <v>0.5</v>
      </c>
      <c r="G43" s="105">
        <f>IFERROR(IF(INDEX(Polymarket!$B$25:$B$275,MATCH($A43,Polymarket!$A$25:$A$275,0))=0,"",INDEX(Polymarket!$B$25:$B$275,MATCH($A43,Polymarket!$A$25:$A$275,0))),"")</f>
        <v/>
      </c>
      <c r="H43" s="31">
        <f>IF(AND(ISNUMBER(B43),ISNUMBER(G43)),B43-G43,"")</f>
        <v/>
      </c>
      <c r="I43" s="26" t="inlineStr">
        <is>
          <t>08 Jan</t>
        </is>
      </c>
    </row>
    <row r="44">
      <c r="A44" s="39" t="n">
        <v>46031</v>
      </c>
      <c r="B44" s="16" t="n">
        <v>0.5111</v>
      </c>
      <c r="C44" s="16" t="n">
        <v>0.5611</v>
      </c>
      <c r="D44" s="16" t="n">
        <v>0.4611</v>
      </c>
      <c r="E44" s="16" t="n">
        <v>0.501</v>
      </c>
      <c r="F44" s="16" t="n">
        <v>0.5</v>
      </c>
      <c r="G44" s="104">
        <f>IFERROR(IF(INDEX(Polymarket!$B$25:$B$275,MATCH($A44,Polymarket!$A$25:$A$275,0))=0,"",INDEX(Polymarket!$B$25:$B$275,MATCH($A44,Polymarket!$A$25:$A$275,0))),"")</f>
        <v/>
      </c>
      <c r="H44" s="18">
        <f>IF(AND(ISNUMBER(B44),ISNUMBER(G44)),B44-G44,"")</f>
        <v/>
      </c>
      <c r="I44" s="26" t="inlineStr">
        <is>
          <t>09 Jan</t>
        </is>
      </c>
    </row>
    <row r="45">
      <c r="A45" s="41" t="n">
        <v>46032</v>
      </c>
      <c r="B45" s="28" t="n">
        <v>0.5078</v>
      </c>
      <c r="C45" s="28" t="n">
        <v>0.5578</v>
      </c>
      <c r="D45" s="28" t="n">
        <v>0.4578</v>
      </c>
      <c r="E45" s="28" t="n">
        <v>0.5</v>
      </c>
      <c r="F45" s="28" t="n">
        <v>0.5</v>
      </c>
      <c r="G45" s="105">
        <f>IFERROR(IF(INDEX(Polymarket!$B$25:$B$275,MATCH($A45,Polymarket!$A$25:$A$275,0))=0,"",INDEX(Polymarket!$B$25:$B$275,MATCH($A45,Polymarket!$A$25:$A$275,0))),"")</f>
        <v/>
      </c>
      <c r="H45" s="31">
        <f>IF(AND(ISNUMBER(B45),ISNUMBER(G45)),B45-G45,"")</f>
        <v/>
      </c>
      <c r="I45" s="26" t="inlineStr">
        <is>
          <t>10 Jan</t>
        </is>
      </c>
    </row>
    <row r="46">
      <c r="A46" s="39" t="n">
        <v>46033</v>
      </c>
      <c r="B46" s="16" t="n">
        <v>0.5042</v>
      </c>
      <c r="C46" s="16" t="n">
        <v>0.5542</v>
      </c>
      <c r="D46" s="16" t="n">
        <v>0.4542</v>
      </c>
      <c r="E46" s="16" t="n">
        <v>0.5</v>
      </c>
      <c r="F46" s="16" t="n">
        <v>0.5</v>
      </c>
      <c r="G46" s="104">
        <f>IFERROR(IF(INDEX(Polymarket!$B$25:$B$275,MATCH($A46,Polymarket!$A$25:$A$275,0))=0,"",INDEX(Polymarket!$B$25:$B$275,MATCH($A46,Polymarket!$A$25:$A$275,0))),"")</f>
        <v/>
      </c>
      <c r="H46" s="18">
        <f>IF(AND(ISNUMBER(B46),ISNUMBER(G46)),B46-G46,"")</f>
        <v/>
      </c>
      <c r="I46" s="26" t="inlineStr">
        <is>
          <t>11 Jan</t>
        </is>
      </c>
    </row>
    <row r="47">
      <c r="A47" s="41" t="n">
        <v>46034</v>
      </c>
      <c r="B47" s="28" t="n">
        <v>0.5131</v>
      </c>
      <c r="C47" s="28" t="n">
        <v>0.5631</v>
      </c>
      <c r="D47" s="28" t="n">
        <v>0.4631</v>
      </c>
      <c r="E47" s="28" t="n">
        <v>0.501</v>
      </c>
      <c r="F47" s="28" t="n">
        <v>0.5</v>
      </c>
      <c r="G47" s="105">
        <f>IFERROR(IF(INDEX(Polymarket!$B$25:$B$275,MATCH($A47,Polymarket!$A$25:$A$275,0))=0,"",INDEX(Polymarket!$B$25:$B$275,MATCH($A47,Polymarket!$A$25:$A$275,0))),"")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4">
        <f>IFERROR(IF(INDEX(Polymarket!$B$25:$B$275,MATCH($A48,Polymarket!$A$25:$A$275,0))=0,"",INDEX(Polymarket!$B$25:$B$275,MATCH($A48,Polymarket!$A$25:$A$275,0))),"")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5">
        <f>IFERROR(IF(INDEX(Polymarket!$B$25:$B$275,MATCH($A49,Polymarket!$A$25:$A$275,0))=0,"",INDEX(Polymarket!$B$25:$B$275,MATCH($A49,Polymarket!$A$25:$A$275,0))),"")</f>
        <v/>
      </c>
      <c r="H49" s="31">
        <f>IF(AND(ISNUMBER(B49),ISNUMBER(G49)),B49-G49,"")</f>
        <v/>
      </c>
      <c r="I49" s="26" t="inlineStr">
        <is>
          <t>14 Jan</t>
        </is>
      </c>
    </row>
    <row r="50">
      <c r="A50" s="39" t="n">
        <v>46037</v>
      </c>
      <c r="B50" s="16" t="n">
        <v>0.4968</v>
      </c>
      <c r="C50" s="16" t="n">
        <v>0.5468</v>
      </c>
      <c r="D50" s="16" t="n">
        <v>0.4468</v>
      </c>
      <c r="E50" s="16" t="n">
        <v>0.5</v>
      </c>
      <c r="F50" s="16" t="n">
        <v>0.5</v>
      </c>
      <c r="G50" s="104">
        <f>IFERROR(IF(INDEX(Polymarket!$B$25:$B$275,MATCH($A50,Polymarket!$A$25:$A$275,0))=0,"",INDEX(Polymarket!$B$25:$B$275,MATCH($A50,Polymarket!$A$25:$A$275,0))),"")</f>
        <v/>
      </c>
      <c r="H50" s="18">
        <f>IF(AND(ISNUMBER(B50),ISNUMBER(G50)),B50-G50,"")</f>
        <v/>
      </c>
      <c r="I50" s="26" t="inlineStr">
        <is>
          <t>15 Jan</t>
        </is>
      </c>
    </row>
    <row r="51">
      <c r="A51" s="41" t="n">
        <v>46038</v>
      </c>
      <c r="B51" s="28" t="n">
        <v>0.5145999999999999</v>
      </c>
      <c r="C51" s="28" t="n">
        <v>0.5646</v>
      </c>
      <c r="D51" s="28" t="n">
        <v>0.4646</v>
      </c>
      <c r="E51" s="28" t="n">
        <v>0.501</v>
      </c>
      <c r="F51" s="28" t="n">
        <v>0.5</v>
      </c>
      <c r="G51" s="105">
        <f>IFERROR(IF(INDEX(Polymarket!$B$25:$B$275,MATCH($A51,Polymarket!$A$25:$A$275,0))=0,"",INDEX(Polymarket!$B$25:$B$275,MATCH($A51,Polymarket!$A$25:$A$275,0))),"")</f>
        <v/>
      </c>
      <c r="H51" s="31">
        <f>IF(AND(ISNUMBER(B51),ISNUMBER(G51)),B51-G51,"")</f>
        <v/>
      </c>
      <c r="I51" s="26" t="inlineStr">
        <is>
          <t>16 Jan</t>
        </is>
      </c>
    </row>
    <row r="52">
      <c r="A52" s="39" t="n">
        <v>46039</v>
      </c>
      <c r="B52" s="16" t="n">
        <v>0.5122</v>
      </c>
      <c r="C52" s="16" t="n">
        <v>0.5622</v>
      </c>
      <c r="D52" s="16" t="n">
        <v>0.4622</v>
      </c>
      <c r="E52" s="16" t="n">
        <v>0.501</v>
      </c>
      <c r="F52" s="16" t="n">
        <v>0.5</v>
      </c>
      <c r="G52" s="104">
        <f>IFERROR(IF(INDEX(Polymarket!$B$25:$B$275,MATCH($A52,Polymarket!$A$25:$A$275,0))=0,"",INDEX(Polymarket!$B$25:$B$275,MATCH($A52,Polymarket!$A$25:$A$275,0))),"")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5">
        <f>IFERROR(IF(INDEX(Polymarket!$B$25:$B$275,MATCH($A53,Polymarket!$A$25:$A$275,0))=0,"",INDEX(Polymarket!$B$25:$B$275,MATCH($A53,Polymarket!$A$25:$A$275,0))),"")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4">
        <f>IFERROR(IF(INDEX(Polymarket!$B$25:$B$275,MATCH($A54,Polymarket!$A$25:$A$275,0))=0,"",INDEX(Polymarket!$B$25:$B$275,MATCH($A54,Polymarket!$A$25:$A$275,0))),"")</f>
        <v/>
      </c>
      <c r="H54" s="18">
        <f>IF(AND(ISNUMBER(B54),ISNUMBER(G54)),B54-G54,"")</f>
        <v/>
      </c>
      <c r="I54" s="26" t="inlineStr">
        <is>
          <t>19 Jan</t>
        </is>
      </c>
    </row>
    <row r="55">
      <c r="A55" s="41" t="n">
        <v>46042</v>
      </c>
      <c r="B55" s="28" t="n">
        <v>0.509</v>
      </c>
      <c r="C55" s="28" t="n">
        <v>0.5589999999999999</v>
      </c>
      <c r="D55" s="28" t="n">
        <v>0.459</v>
      </c>
      <c r="E55" s="28" t="n">
        <v>0.5</v>
      </c>
      <c r="F55" s="28" t="n">
        <v>0.5</v>
      </c>
      <c r="G55" s="105">
        <f>IFERROR(IF(INDEX(Polymarket!$B$25:$B$275,MATCH($A55,Polymarket!$A$25:$A$275,0))=0,"",INDEX(Polymarket!$B$25:$B$275,MATCH($A55,Polymarket!$A$25:$A$275,0))),"")</f>
        <v/>
      </c>
      <c r="H55" s="31">
        <f>IF(AND(ISNUMBER(B55),ISNUMBER(G55)),B55-G55,"")</f>
        <v/>
      </c>
      <c r="I55" s="26" t="inlineStr">
        <is>
          <t>20 Jan</t>
        </is>
      </c>
    </row>
    <row r="56">
      <c r="A56" s="39" t="n">
        <v>46043</v>
      </c>
      <c r="B56" s="16" t="n">
        <v>0.5101</v>
      </c>
      <c r="C56" s="16" t="n">
        <v>0.5600999999999999</v>
      </c>
      <c r="D56" s="16" t="n">
        <v>0.4601</v>
      </c>
      <c r="E56" s="16" t="n">
        <v>0.501</v>
      </c>
      <c r="F56" s="16" t="n">
        <v>0.5</v>
      </c>
      <c r="G56" s="104">
        <f>IFERROR(IF(INDEX(Polymarket!$B$25:$B$275,MATCH($A56,Polymarket!$A$25:$A$275,0))=0,"",INDEX(Polymarket!$B$25:$B$275,MATCH($A56,Polymarket!$A$25:$A$275,0))),"")</f>
        <v/>
      </c>
      <c r="H56" s="18">
        <f>IF(AND(ISNUMBER(B56),ISNUMBER(G56)),B56-G56,"")</f>
        <v/>
      </c>
      <c r="I56" s="26" t="inlineStr">
        <is>
          <t>21 Jan</t>
        </is>
      </c>
    </row>
    <row r="57">
      <c r="A57" s="41" t="n">
        <v>46044</v>
      </c>
      <c r="B57" s="28" t="n">
        <v>0.5067</v>
      </c>
      <c r="C57" s="28" t="n">
        <v>0.5567</v>
      </c>
      <c r="D57" s="28" t="n">
        <v>0.4567</v>
      </c>
      <c r="E57" s="28" t="n">
        <v>0.5</v>
      </c>
      <c r="F57" s="28" t="n">
        <v>0.5</v>
      </c>
      <c r="G57" s="105">
        <f>IFERROR(IF(INDEX(Polymarket!$B$25:$B$275,MATCH($A57,Polymarket!$A$25:$A$275,0))=0,"",INDEX(Polymarket!$B$25:$B$275,MATCH($A57,Polymarket!$A$25:$A$275,0))),"")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4">
        <f>IFERROR(IF(INDEX(Polymarket!$B$25:$B$275,MATCH($A58,Polymarket!$A$25:$A$275,0))=0,"",INDEX(Polymarket!$B$25:$B$275,MATCH($A58,Polymarket!$A$25:$A$275,0))),"")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5">
        <f>IFERROR(IF(INDEX(Polymarket!$B$25:$B$275,MATCH($A59,Polymarket!$A$25:$A$275,0))=0,"",INDEX(Polymarket!$B$25:$B$275,MATCH($A59,Polymarket!$A$25:$A$275,0))),"")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4">
        <f>IFERROR(IF(INDEX(Polymarket!$B$25:$B$275,MATCH($A60,Polymarket!$A$25:$A$275,0))=0,"",INDEX(Polymarket!$B$25:$B$275,MATCH($A60,Polymarket!$A$25:$A$275,0))),"")</f>
        <v/>
      </c>
      <c r="H60" s="18">
        <f>IF(AND(ISNUMBER(B60),ISNUMBER(G60)),B60-G60,"")</f>
        <v/>
      </c>
      <c r="I60" s="26" t="inlineStr">
        <is>
          <t>25 Jan</t>
        </is>
      </c>
    </row>
    <row r="61">
      <c r="A61" s="41" t="n">
        <v>46048</v>
      </c>
      <c r="B61" s="28" t="n">
        <v>0.5362</v>
      </c>
      <c r="C61" s="28" t="n">
        <v>0.5862000000000001</v>
      </c>
      <c r="D61" s="28" t="n">
        <v>0.4862</v>
      </c>
      <c r="E61" s="28" t="n">
        <v>0.501</v>
      </c>
      <c r="F61" s="28" t="n">
        <v>0.499</v>
      </c>
      <c r="G61" s="105">
        <f>IFERROR(IF(INDEX(Polymarket!$B$25:$B$275,MATCH($A61,Polymarket!$A$25:$A$275,0))=0,"",INDEX(Polymarket!$B$25:$B$275,MATCH($A61,Polymarket!$A$25:$A$275,0))),"")</f>
        <v/>
      </c>
      <c r="H61" s="31">
        <f>IF(AND(ISNUMBER(B61),ISNUMBER(G61)),B61-G61,"")</f>
        <v/>
      </c>
      <c r="I61" s="26" t="inlineStr">
        <is>
          <t>26 Jan</t>
        </is>
      </c>
    </row>
    <row r="62">
      <c r="A62" s="39" t="n">
        <v>46049</v>
      </c>
      <c r="B62" s="16" t="n">
        <v>0.5243</v>
      </c>
      <c r="C62" s="16" t="n">
        <v>0.5743</v>
      </c>
      <c r="D62" s="16" t="n">
        <v>0.4743</v>
      </c>
      <c r="E62" s="16" t="n">
        <v>0.501</v>
      </c>
      <c r="F62" s="16" t="n">
        <v>0.5</v>
      </c>
      <c r="G62" s="104">
        <f>IFERROR(IF(INDEX(Polymarket!$B$25:$B$275,MATCH($A62,Polymarket!$A$25:$A$275,0))=0,"",INDEX(Polymarket!$B$25:$B$275,MATCH($A62,Polymarket!$A$25:$A$275,0))),"")</f>
        <v/>
      </c>
      <c r="H62" s="18">
        <f>IF(AND(ISNUMBER(B62),ISNUMBER(G62)),B62-G62,"")</f>
        <v/>
      </c>
      <c r="I62" s="26" t="inlineStr">
        <is>
          <t>27 Jan</t>
        </is>
      </c>
    </row>
    <row r="63">
      <c r="A63" s="41" t="n">
        <v>46050</v>
      </c>
      <c r="B63" s="28" t="n">
        <v>0.5101</v>
      </c>
      <c r="C63" s="28" t="n">
        <v>0.5600999999999999</v>
      </c>
      <c r="D63" s="28" t="n">
        <v>0.4601</v>
      </c>
      <c r="E63" s="28" t="n">
        <v>0.501</v>
      </c>
      <c r="F63" s="28" t="n">
        <v>0.5</v>
      </c>
      <c r="G63" s="105">
        <f>IFERROR(IF(INDEX(Polymarket!$B$25:$B$275,MATCH($A63,Polymarket!$A$25:$A$275,0))=0,"",INDEX(Polymarket!$B$25:$B$275,MATCH($A63,Polymarket!$A$25:$A$275,0))),"")</f>
        <v/>
      </c>
      <c r="H63" s="31">
        <f>IF(AND(ISNUMBER(B63),ISNUMBER(G63)),B63-G63,"")</f>
        <v/>
      </c>
      <c r="I63" s="26" t="inlineStr">
        <is>
          <t>28 Jan</t>
        </is>
      </c>
    </row>
    <row r="64">
      <c r="A64" s="39" t="n">
        <v>46051</v>
      </c>
      <c r="B64" s="16" t="n">
        <v>0.5149</v>
      </c>
      <c r="C64" s="16" t="n">
        <v>0.5649000000000001</v>
      </c>
      <c r="D64" s="16" t="n">
        <v>0.4649</v>
      </c>
      <c r="E64" s="16" t="n">
        <v>0.501</v>
      </c>
      <c r="F64" s="16" t="n">
        <v>0.5</v>
      </c>
      <c r="G64" s="104">
        <f>IFERROR(IF(INDEX(Polymarket!$B$25:$B$275,MATCH($A64,Polymarket!$A$25:$A$275,0))=0,"",INDEX(Polymarket!$B$25:$B$275,MATCH($A64,Polymarket!$A$25:$A$275,0))),"")</f>
        <v/>
      </c>
      <c r="H64" s="18">
        <f>IF(AND(ISNUMBER(B64),ISNUMBER(G64)),B64-G64,"")</f>
        <v/>
      </c>
      <c r="I64" s="26" t="inlineStr">
        <is>
          <t>29 Jan</t>
        </is>
      </c>
    </row>
    <row r="65">
      <c r="A65" s="41" t="n">
        <v>46052</v>
      </c>
      <c r="B65" s="28" t="n">
        <v>0.5201</v>
      </c>
      <c r="C65" s="28" t="n">
        <v>0.5700999999999999</v>
      </c>
      <c r="D65" s="28" t="n">
        <v>0.4701</v>
      </c>
      <c r="E65" s="28" t="n">
        <v>0.501</v>
      </c>
      <c r="F65" s="28" t="n">
        <v>0.5</v>
      </c>
      <c r="G65" s="105">
        <f>IFERROR(IF(INDEX(Polymarket!$B$25:$B$275,MATCH($A65,Polymarket!$A$25:$A$275,0))=0,"",INDEX(Polymarket!$B$25:$B$275,MATCH($A65,Polymarket!$A$25:$A$275,0))),"")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4">
        <f>IFERROR(IF(INDEX(Polymarket!$B$25:$B$275,MATCH($A66,Polymarket!$A$25:$A$275,0))=0,"",INDEX(Polymarket!$B$25:$B$275,MATCH($A66,Polymarket!$A$25:$A$275,0))),"")</f>
        <v/>
      </c>
      <c r="H66" s="18">
        <f>IF(AND(ISNUMBER(B66),ISNUMBER(G66)),B66-G66,"")</f>
        <v/>
      </c>
      <c r="I66" s="26" t="inlineStr">
        <is>
          <t>31 Jan</t>
        </is>
      </c>
    </row>
    <row r="67">
      <c r="A67" s="41" t="n">
        <v>46054</v>
      </c>
      <c r="B67" s="28" t="n">
        <v>0.5222</v>
      </c>
      <c r="C67" s="28" t="n">
        <v>0.5722</v>
      </c>
      <c r="D67" s="28" t="n">
        <v>0.4722</v>
      </c>
      <c r="E67" s="28" t="n">
        <v>0.501</v>
      </c>
      <c r="F67" s="28" t="n">
        <v>0.5</v>
      </c>
      <c r="G67" s="105">
        <f>IFERROR(IF(INDEX(Polymarket!$B$25:$B$275,MATCH($A67,Polymarket!$A$25:$A$275,0))=0,"",INDEX(Polymarket!$B$25:$B$275,MATCH($A67,Polymarket!$A$25:$A$275,0))),"")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4">
        <f>IFERROR(IF(INDEX(Polymarket!$B$25:$B$275,MATCH($A68,Polymarket!$A$25:$A$275,0))=0,"",INDEX(Polymarket!$B$25:$B$275,MATCH($A68,Polymarket!$A$25:$A$275,0))),"")</f>
        <v/>
      </c>
      <c r="H68" s="18">
        <f>IF(AND(ISNUMBER(B68),ISNUMBER(G68)),B68-G68,"")</f>
        <v/>
      </c>
      <c r="I68" s="26" t="inlineStr">
        <is>
          <t>02 Feb</t>
        </is>
      </c>
    </row>
    <row r="69">
      <c r="A69" s="41" t="n">
        <v>46056</v>
      </c>
      <c r="B69" s="28" t="n">
        <v>0.5221</v>
      </c>
      <c r="C69" s="28" t="n">
        <v>0.5721000000000001</v>
      </c>
      <c r="D69" s="28" t="n">
        <v>0.4721</v>
      </c>
      <c r="E69" s="28" t="n">
        <v>0.501</v>
      </c>
      <c r="F69" s="28" t="n">
        <v>0.5</v>
      </c>
      <c r="G69" s="105">
        <f>IFERROR(IF(INDEX(Polymarket!$B$25:$B$275,MATCH($A69,Polymarket!$A$25:$A$275,0))=0,"",INDEX(Polymarket!$B$25:$B$275,MATCH($A69,Polymarket!$A$25:$A$275,0))),"")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4">
        <f>IFERROR(IF(INDEX(Polymarket!$B$25:$B$275,MATCH($A70,Polymarket!$A$25:$A$275,0))=0,"",INDEX(Polymarket!$B$25:$B$275,MATCH($A70,Polymarket!$A$25:$A$275,0))),"")</f>
        <v/>
      </c>
      <c r="H70" s="18">
        <f>IF(AND(ISNUMBER(B70),ISNUMBER(G70)),B70-G70,"")</f>
        <v/>
      </c>
      <c r="I70" s="26" t="inlineStr">
        <is>
          <t>04 Feb</t>
        </is>
      </c>
    </row>
    <row r="71">
      <c r="A71" s="41" t="n">
        <v>46058</v>
      </c>
      <c r="B71" s="28" t="n">
        <v>0.5225</v>
      </c>
      <c r="C71" s="28" t="n">
        <v>0.5725</v>
      </c>
      <c r="D71" s="28" t="n">
        <v>0.4725</v>
      </c>
      <c r="E71" s="28" t="n">
        <v>0.501</v>
      </c>
      <c r="F71" s="28" t="n">
        <v>0.5</v>
      </c>
      <c r="G71" s="105">
        <f>IFERROR(IF(INDEX(Polymarket!$B$25:$B$275,MATCH($A71,Polymarket!$A$25:$A$275,0))=0,"",INDEX(Polymarket!$B$25:$B$275,MATCH($A71,Polymarket!$A$25:$A$275,0))),"")</f>
        <v/>
      </c>
      <c r="H71" s="31">
        <f>IF(AND(ISNUMBER(B71),ISNUMBER(G71)),B71-G71,"")</f>
        <v/>
      </c>
      <c r="I71" s="26" t="inlineStr">
        <is>
          <t>05 Feb</t>
        </is>
      </c>
    </row>
    <row r="72">
      <c r="A72" s="39" t="n">
        <v>46059</v>
      </c>
      <c r="B72" s="16" t="n">
        <v>0.5397</v>
      </c>
      <c r="C72" s="16" t="n">
        <v>0.5897</v>
      </c>
      <c r="D72" s="16" t="n">
        <v>0.4897</v>
      </c>
      <c r="E72" s="16" t="n">
        <v>0.502</v>
      </c>
      <c r="F72" s="16" t="n">
        <v>0.499</v>
      </c>
      <c r="G72" s="104">
        <f>IFERROR(IF(INDEX(Polymarket!$B$25:$B$275,MATCH($A72,Polymarket!$A$25:$A$275,0))=0,"",INDEX(Polymarket!$B$25:$B$275,MATCH($A72,Polymarket!$A$25:$A$275,0))),"")</f>
        <v/>
      </c>
      <c r="H72" s="18">
        <f>IF(AND(ISNUMBER(B72),ISNUMBER(G72)),B72-G72,"")</f>
        <v/>
      </c>
      <c r="I72" s="26" t="inlineStr">
        <is>
          <t>06 Feb</t>
        </is>
      </c>
    </row>
    <row r="73">
      <c r="A73" s="41" t="n">
        <v>46060</v>
      </c>
      <c r="B73" s="28" t="n">
        <v>0.5393</v>
      </c>
      <c r="C73" s="28" t="n">
        <v>0.5893</v>
      </c>
      <c r="D73" s="28" t="n">
        <v>0.4893</v>
      </c>
      <c r="E73" s="28" t="n">
        <v>0.502</v>
      </c>
      <c r="F73" s="28" t="n">
        <v>0.499</v>
      </c>
      <c r="G73" s="105">
        <f>IFERROR(IF(INDEX(Polymarket!$B$25:$B$275,MATCH($A73,Polymarket!$A$25:$A$275,0))=0,"",INDEX(Polymarket!$B$25:$B$275,MATCH($A73,Polymarket!$A$25:$A$275,0))),"")</f>
        <v/>
      </c>
      <c r="H73" s="31">
        <f>IF(AND(ISNUMBER(B73),ISNUMBER(G73)),B73-G73,"")</f>
        <v/>
      </c>
      <c r="I73" s="26" t="inlineStr">
        <is>
          <t>07 Feb</t>
        </is>
      </c>
    </row>
    <row r="74">
      <c r="A74" s="39" t="n">
        <v>46061</v>
      </c>
      <c r="B74" s="16" t="n">
        <v>0.5475</v>
      </c>
      <c r="C74" s="16" t="n">
        <v>0.5975</v>
      </c>
      <c r="D74" s="16" t="n">
        <v>0.4975</v>
      </c>
      <c r="E74" s="16" t="n">
        <v>0.502</v>
      </c>
      <c r="F74" s="16" t="n">
        <v>0.499</v>
      </c>
      <c r="G74" s="104">
        <f>IFERROR(IF(INDEX(Polymarket!$B$25:$B$275,MATCH($A74,Polymarket!$A$25:$A$275,0))=0,"",INDEX(Polymarket!$B$25:$B$275,MATCH($A74,Polymarket!$A$25:$A$275,0))),"")</f>
        <v/>
      </c>
      <c r="H74" s="18">
        <f>IF(AND(ISNUMBER(B74),ISNUMBER(G74)),B74-G74,"")</f>
        <v/>
      </c>
      <c r="I74" s="26" t="inlineStr">
        <is>
          <t>08 Feb</t>
        </is>
      </c>
    </row>
    <row r="75">
      <c r="A75" s="41" t="n">
        <v>46062</v>
      </c>
      <c r="B75" s="28" t="n">
        <v>0.54</v>
      </c>
      <c r="C75" s="28" t="n">
        <v>0.59</v>
      </c>
      <c r="D75" s="28" t="n">
        <v>0.49</v>
      </c>
      <c r="E75" s="28" t="n">
        <v>0.502</v>
      </c>
      <c r="F75" s="28" t="n">
        <v>0.499</v>
      </c>
      <c r="G75" s="105">
        <f>IFERROR(IF(INDEX(Polymarket!$B$25:$B$275,MATCH($A75,Polymarket!$A$25:$A$275,0))=0,"",INDEX(Polymarket!$B$25:$B$275,MATCH($A75,Polymarket!$A$25:$A$275,0))),"")</f>
        <v/>
      </c>
      <c r="H75" s="31">
        <f>IF(AND(ISNUMBER(B75),ISNUMBER(G75)),B75-G75,"")</f>
        <v/>
      </c>
      <c r="I75" s="26" t="inlineStr">
        <is>
          <t>09 Feb</t>
        </is>
      </c>
    </row>
    <row r="76">
      <c r="A76" s="39" t="n">
        <v>46063</v>
      </c>
      <c r="B76" s="16" t="n">
        <v>0.5363</v>
      </c>
      <c r="C76" s="16" t="n">
        <v>0.5863</v>
      </c>
      <c r="D76" s="16" t="n">
        <v>0.4863</v>
      </c>
      <c r="E76" s="16" t="n">
        <v>0.502</v>
      </c>
      <c r="F76" s="16" t="n">
        <v>0.499</v>
      </c>
      <c r="G76" s="104">
        <f>IFERROR(IF(INDEX(Polymarket!$B$25:$B$275,MATCH($A76,Polymarket!$A$25:$A$275,0))=0,"",INDEX(Polymarket!$B$25:$B$275,MATCH($A76,Polymarket!$A$25:$A$275,0))),"")</f>
        <v/>
      </c>
      <c r="H76" s="18">
        <f>IF(AND(ISNUMBER(B76),ISNUMBER(G76)),B76-G76,"")</f>
        <v/>
      </c>
      <c r="I76" s="26" t="inlineStr">
        <is>
          <t>10 Feb</t>
        </is>
      </c>
    </row>
    <row r="77">
      <c r="A77" s="41" t="n">
        <v>46064</v>
      </c>
      <c r="B77" s="28" t="n">
        <v>0.5454</v>
      </c>
      <c r="C77" s="28" t="n">
        <v>0.5954</v>
      </c>
      <c r="D77" s="28" t="n">
        <v>0.4954</v>
      </c>
      <c r="E77" s="28" t="n">
        <v>0.502</v>
      </c>
      <c r="F77" s="28" t="n">
        <v>0.499</v>
      </c>
      <c r="G77" s="105">
        <f>IFERROR(IF(INDEX(Polymarket!$B$25:$B$275,MATCH($A77,Polymarket!$A$25:$A$275,0))=0,"",INDEX(Polymarket!$B$25:$B$275,MATCH($A77,Polymarket!$A$25:$A$275,0))),"")</f>
        <v/>
      </c>
      <c r="H77" s="31">
        <f>IF(AND(ISNUMBER(B77),ISNUMBER(G77)),B77-G77,"")</f>
        <v/>
      </c>
      <c r="I77" s="26" t="inlineStr">
        <is>
          <t>11 Feb</t>
        </is>
      </c>
    </row>
    <row r="78">
      <c r="A78" s="39" t="n">
        <v>46065</v>
      </c>
      <c r="B78" s="16" t="n">
        <v>0.5286999999999999</v>
      </c>
      <c r="C78" s="16" t="n">
        <v>0.5787</v>
      </c>
      <c r="D78" s="16" t="n">
        <v>0.4787</v>
      </c>
      <c r="E78" s="16" t="n">
        <v>0.501</v>
      </c>
      <c r="F78" s="16" t="n">
        <v>0.499</v>
      </c>
      <c r="G78" s="104">
        <f>IFERROR(IF(INDEX(Polymarket!$B$25:$B$275,MATCH($A78,Polymarket!$A$25:$A$275,0))=0,"",INDEX(Polymarket!$B$25:$B$275,MATCH($A78,Polymarket!$A$25:$A$275,0))),"")</f>
        <v/>
      </c>
      <c r="H78" s="18">
        <f>IF(AND(ISNUMBER(B78),ISNUMBER(G78)),B78-G78,"")</f>
        <v/>
      </c>
      <c r="I78" s="26" t="inlineStr">
        <is>
          <t>12 Feb</t>
        </is>
      </c>
    </row>
    <row r="79">
      <c r="A79" s="41" t="n">
        <v>46066</v>
      </c>
      <c r="B79" s="28" t="n">
        <v>0.5311</v>
      </c>
      <c r="C79" s="28" t="n">
        <v>0.5810999999999999</v>
      </c>
      <c r="D79" s="28" t="n">
        <v>0.4811</v>
      </c>
      <c r="E79" s="28" t="n">
        <v>0.501</v>
      </c>
      <c r="F79" s="28" t="n">
        <v>0.499</v>
      </c>
      <c r="G79" s="105">
        <f>IFERROR(IF(INDEX(Polymarket!$B$25:$B$275,MATCH($A79,Polymarket!$A$25:$A$275,0))=0,"",INDEX(Polymarket!$B$25:$B$275,MATCH($A79,Polymarket!$A$25:$A$275,0))),"")</f>
        <v/>
      </c>
      <c r="H79" s="31">
        <f>IF(AND(ISNUMBER(B79),ISNUMBER(G79)),B79-G79,"")</f>
        <v/>
      </c>
      <c r="I79" s="26" t="inlineStr">
        <is>
          <t>13 Feb</t>
        </is>
      </c>
    </row>
    <row r="80">
      <c r="A80" s="39" t="n">
        <v>46067</v>
      </c>
      <c r="B80" s="16" t="n">
        <v>0.5364</v>
      </c>
      <c r="C80" s="16" t="n">
        <v>0.5864</v>
      </c>
      <c r="D80" s="16" t="n">
        <v>0.4864</v>
      </c>
      <c r="E80" s="16" t="n">
        <v>0.501</v>
      </c>
      <c r="F80" s="16" t="n">
        <v>0.499</v>
      </c>
      <c r="G80" s="104">
        <f>IFERROR(IF(INDEX(Polymarket!$B$25:$B$275,MATCH($A80,Polymarket!$A$25:$A$275,0))=0,"",INDEX(Polymarket!$B$25:$B$275,MATCH($A80,Polymarket!$A$25:$A$275,0))),"")</f>
        <v/>
      </c>
      <c r="H80" s="18">
        <f>IF(AND(ISNUMBER(B80),ISNUMBER(G80)),B80-G80,"")</f>
        <v/>
      </c>
      <c r="I80" s="26" t="inlineStr">
        <is>
          <t>14 Feb</t>
        </is>
      </c>
    </row>
    <row r="81">
      <c r="A81" s="41" t="n">
        <v>46068</v>
      </c>
      <c r="B81" s="28" t="n">
        <v>0.523</v>
      </c>
      <c r="C81" s="28" t="n">
        <v>0.5730000000000001</v>
      </c>
      <c r="D81" s="28" t="n">
        <v>0.473</v>
      </c>
      <c r="E81" s="28" t="n">
        <v>0.501</v>
      </c>
      <c r="F81" s="28" t="n">
        <v>0.499</v>
      </c>
      <c r="G81" s="105">
        <f>IFERROR(IF(INDEX(Polymarket!$B$25:$B$275,MATCH($A81,Polymarket!$A$25:$A$275,0))=0,"",INDEX(Polymarket!$B$25:$B$275,MATCH($A81,Polymarket!$A$25:$A$275,0))),"")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4">
        <f>IFERROR(IF(INDEX(Polymarket!$B$25:$B$275,MATCH($A82,Polymarket!$A$25:$A$275,0))=0,"",INDEX(Polymarket!$B$25:$B$275,MATCH($A82,Polymarket!$A$25:$A$275,0))),"")</f>
        <v/>
      </c>
      <c r="H82" s="18">
        <f>IF(AND(ISNUMBER(B82),ISNUMBER(G82)),B82-G82,"")</f>
        <v/>
      </c>
      <c r="I82" s="26" t="inlineStr">
        <is>
          <t>16 Feb</t>
        </is>
      </c>
    </row>
    <row r="83">
      <c r="A83" s="41" t="n">
        <v>46070</v>
      </c>
      <c r="B83" s="28" t="n">
        <v>0.528</v>
      </c>
      <c r="C83" s="28" t="n">
        <v>0.5780000000000001</v>
      </c>
      <c r="D83" s="28" t="n">
        <v>0.478</v>
      </c>
      <c r="E83" s="28" t="n">
        <v>0.501</v>
      </c>
      <c r="F83" s="28" t="n">
        <v>0.499</v>
      </c>
      <c r="G83" s="105">
        <f>IFERROR(IF(INDEX(Polymarket!$B$25:$B$275,MATCH($A83,Polymarket!$A$25:$A$275,0))=0,"",INDEX(Polymarket!$B$25:$B$275,MATCH($A83,Polymarket!$A$25:$A$275,0))),"")</f>
        <v/>
      </c>
      <c r="H83" s="31">
        <f>IF(AND(ISNUMBER(B83),ISNUMBER(G83)),B83-G83,"")</f>
        <v/>
      </c>
      <c r="I83" s="26" t="inlineStr">
        <is>
          <t>17 Feb</t>
        </is>
      </c>
    </row>
    <row r="84">
      <c r="A84" s="39" t="n">
        <v>46071</v>
      </c>
      <c r="B84" s="16" t="n">
        <v>0.5303</v>
      </c>
      <c r="C84" s="16" t="n">
        <v>0.5803</v>
      </c>
      <c r="D84" s="16" t="n">
        <v>0.4803</v>
      </c>
      <c r="E84" s="16" t="n">
        <v>0.501</v>
      </c>
      <c r="F84" s="16" t="n">
        <v>0.499</v>
      </c>
      <c r="G84" s="104">
        <f>IFERROR(IF(INDEX(Polymarket!$B$25:$B$275,MATCH($A84,Polymarket!$A$25:$A$275,0))=0,"",INDEX(Polymarket!$B$25:$B$275,MATCH($A84,Polymarket!$A$25:$A$275,0))),"")</f>
        <v/>
      </c>
      <c r="H84" s="18">
        <f>IF(AND(ISNUMBER(B84),ISNUMBER(G84)),B84-G84,"")</f>
        <v/>
      </c>
      <c r="I84" s="26" t="inlineStr">
        <is>
          <t>18 Feb</t>
        </is>
      </c>
    </row>
    <row r="85">
      <c r="A85" s="41" t="n">
        <v>46072</v>
      </c>
      <c r="B85" s="28" t="n">
        <v>0.5259</v>
      </c>
      <c r="C85" s="28" t="n">
        <v>0.5759000000000001</v>
      </c>
      <c r="D85" s="28" t="n">
        <v>0.4759</v>
      </c>
      <c r="E85" s="28" t="n">
        <v>0.501</v>
      </c>
      <c r="F85" s="28" t="n">
        <v>0.499</v>
      </c>
      <c r="G85" s="105">
        <f>IFERROR(IF(INDEX(Polymarket!$B$25:$B$275,MATCH($A85,Polymarket!$A$25:$A$275,0))=0,"",INDEX(Polymarket!$B$25:$B$275,MATCH($A85,Polymarket!$A$25:$A$275,0))),"")</f>
        <v/>
      </c>
      <c r="H85" s="31">
        <f>IF(AND(ISNUMBER(B85),ISNUMBER(G85)),B85-G85,"")</f>
        <v/>
      </c>
      <c r="I85" s="26" t="inlineStr">
        <is>
          <t>19 Feb</t>
        </is>
      </c>
    </row>
    <row r="86">
      <c r="A86" s="39" t="n">
        <v>46073</v>
      </c>
      <c r="B86" s="16" t="n">
        <v>0.5286999999999999</v>
      </c>
      <c r="C86" s="16" t="n">
        <v>0.5787</v>
      </c>
      <c r="D86" s="16" t="n">
        <v>0.4787</v>
      </c>
      <c r="E86" s="16" t="n">
        <v>0.501</v>
      </c>
      <c r="F86" s="16" t="n">
        <v>0.499</v>
      </c>
      <c r="G86" s="104">
        <f>IFERROR(IF(INDEX(Polymarket!$B$25:$B$275,MATCH($A86,Polymarket!$A$25:$A$275,0))=0,"",INDEX(Polymarket!$B$25:$B$275,MATCH($A86,Polymarket!$A$25:$A$275,0))),"")</f>
        <v/>
      </c>
      <c r="H86" s="18">
        <f>IF(AND(ISNUMBER(B86),ISNUMBER(G86)),B86-G86,"")</f>
        <v/>
      </c>
      <c r="I86" s="26" t="inlineStr">
        <is>
          <t>20 Feb</t>
        </is>
      </c>
    </row>
    <row r="87">
      <c r="A87" s="41" t="n">
        <v>46074</v>
      </c>
      <c r="B87" s="28" t="n">
        <v>0.5331</v>
      </c>
      <c r="C87" s="28" t="n">
        <v>0.5831000000000001</v>
      </c>
      <c r="D87" s="28" t="n">
        <v>0.4831</v>
      </c>
      <c r="E87" s="28" t="n">
        <v>0.501</v>
      </c>
      <c r="F87" s="28" t="n">
        <v>0.499</v>
      </c>
      <c r="G87" s="105">
        <f>IFERROR(IF(INDEX(Polymarket!$B$25:$B$275,MATCH($A87,Polymarket!$A$25:$A$275,0))=0,"",INDEX(Polymarket!$B$25:$B$275,MATCH($A87,Polymarket!$A$25:$A$275,0))),"")</f>
        <v/>
      </c>
      <c r="H87" s="31">
        <f>IF(AND(ISNUMBER(B87),ISNUMBER(G87)),B87-G87,"")</f>
        <v/>
      </c>
      <c r="I87" s="26" t="inlineStr">
        <is>
          <t>21 Feb</t>
        </is>
      </c>
    </row>
    <row r="88">
      <c r="A88" s="39" t="n">
        <v>46075</v>
      </c>
      <c r="B88" s="16" t="n">
        <v>0.5233</v>
      </c>
      <c r="C88" s="16" t="n">
        <v>0.5733</v>
      </c>
      <c r="D88" s="16" t="n">
        <v>0.4733</v>
      </c>
      <c r="E88" s="16" t="n">
        <v>0.501</v>
      </c>
      <c r="F88" s="16" t="n">
        <v>0.5</v>
      </c>
      <c r="G88" s="104">
        <f>IFERROR(IF(INDEX(Polymarket!$B$25:$B$275,MATCH($A88,Polymarket!$A$25:$A$275,0))=0,"",INDEX(Polymarket!$B$25:$B$275,MATCH($A88,Polymarket!$A$25:$A$275,0))),"")</f>
        <v/>
      </c>
      <c r="H88" s="18">
        <f>IF(AND(ISNUMBER(B88),ISNUMBER(G88)),B88-G88,"")</f>
        <v/>
      </c>
      <c r="I88" s="26" t="inlineStr">
        <is>
          <t>22 Feb</t>
        </is>
      </c>
    </row>
    <row r="89">
      <c r="A89" s="41" t="n">
        <v>46076</v>
      </c>
      <c r="B89" s="28" t="n">
        <v>0.5303</v>
      </c>
      <c r="C89" s="28" t="n">
        <v>0.5803</v>
      </c>
      <c r="D89" s="28" t="n">
        <v>0.4803</v>
      </c>
      <c r="E89" s="28" t="n">
        <v>0.501</v>
      </c>
      <c r="F89" s="28" t="n">
        <v>0.499</v>
      </c>
      <c r="G89" s="105">
        <f>IFERROR(IF(INDEX(Polymarket!$B$25:$B$275,MATCH($A89,Polymarket!$A$25:$A$275,0))=0,"",INDEX(Polymarket!$B$25:$B$275,MATCH($A89,Polymarket!$A$25:$A$275,0))),"")</f>
        <v/>
      </c>
      <c r="H89" s="31">
        <f>IF(AND(ISNUMBER(B89),ISNUMBER(G89)),B89-G89,"")</f>
        <v/>
      </c>
      <c r="I89" s="26" t="inlineStr">
        <is>
          <t>23 Feb</t>
        </is>
      </c>
    </row>
    <row r="90">
      <c r="A90" s="39" t="n">
        <v>46077</v>
      </c>
      <c r="B90" s="16" t="n">
        <v>0.5316</v>
      </c>
      <c r="C90" s="16" t="n">
        <v>0.5816</v>
      </c>
      <c r="D90" s="16" t="n">
        <v>0.4816</v>
      </c>
      <c r="E90" s="16" t="n">
        <v>0.501</v>
      </c>
      <c r="F90" s="16" t="n">
        <v>0.499</v>
      </c>
      <c r="G90" s="104">
        <f>IFERROR(IF(INDEX(Polymarket!$B$25:$B$275,MATCH($A90,Polymarket!$A$25:$A$275,0))=0,"",INDEX(Polymarket!$B$25:$B$275,MATCH($A90,Polymarket!$A$25:$A$275,0))),"")</f>
        <v/>
      </c>
      <c r="H90" s="18">
        <f>IF(AND(ISNUMBER(B90),ISNUMBER(G90)),B90-G90,"")</f>
        <v/>
      </c>
      <c r="I90" s="26" t="inlineStr">
        <is>
          <t>24 Feb</t>
        </is>
      </c>
    </row>
    <row r="91">
      <c r="A91" s="41" t="n">
        <v>46078</v>
      </c>
      <c r="B91" s="28" t="n">
        <v>0.521</v>
      </c>
      <c r="C91" s="28" t="n">
        <v>0.5710000000000001</v>
      </c>
      <c r="D91" s="28" t="n">
        <v>0.471</v>
      </c>
      <c r="E91" s="28" t="n">
        <v>0.501</v>
      </c>
      <c r="F91" s="28" t="n">
        <v>0.5</v>
      </c>
      <c r="G91" s="105">
        <f>IFERROR(IF(INDEX(Polymarket!$B$25:$B$275,MATCH($A91,Polymarket!$A$25:$A$275,0))=0,"",INDEX(Polymarket!$B$25:$B$275,MATCH($A91,Polymarket!$A$25:$A$275,0))),"")</f>
        <v/>
      </c>
      <c r="H91" s="31">
        <f>IF(AND(ISNUMBER(B91),ISNUMBER(G91)),B91-G91,"")</f>
        <v/>
      </c>
      <c r="I91" s="26" t="inlineStr">
        <is>
          <t>25 Feb</t>
        </is>
      </c>
    </row>
    <row r="92">
      <c r="A92" s="39" t="n">
        <v>46079</v>
      </c>
      <c r="B92" s="16" t="n">
        <v>0.5214</v>
      </c>
      <c r="C92" s="16" t="n">
        <v>0.5714</v>
      </c>
      <c r="D92" s="16" t="n">
        <v>0.4714</v>
      </c>
      <c r="E92" s="16" t="n">
        <v>0.501</v>
      </c>
      <c r="F92" s="16" t="n">
        <v>0.5</v>
      </c>
      <c r="G92" s="104">
        <f>IFERROR(IF(INDEX(Polymarket!$B$25:$B$275,MATCH($A92,Polymarket!$A$25:$A$275,0))=0,"",INDEX(Polymarket!$B$25:$B$275,MATCH($A92,Polymarket!$A$25:$A$275,0))),"")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5">
        <f>IFERROR(IF(INDEX(Polymarket!$B$25:$B$275,MATCH($A93,Polymarket!$A$25:$A$275,0))=0,"",INDEX(Polymarket!$B$25:$B$275,MATCH($A93,Polymarket!$A$25:$A$275,0))),"")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4">
        <f>IFERROR(IF(INDEX(Polymarket!$B$25:$B$275,MATCH($A94,Polymarket!$A$25:$A$275,0))=0,"",INDEX(Polymarket!$B$25:$B$275,MATCH($A94,Polymarket!$A$25:$A$275,0))),"")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5">
        <f>IFERROR(IF(INDEX(Polymarket!$B$25:$B$275,MATCH($A95,Polymarket!$A$25:$A$275,0))=0,"",INDEX(Polymarket!$B$25:$B$275,MATCH($A95,Polymarket!$A$25:$A$275,0))),"")</f>
        <v/>
      </c>
      <c r="H95" s="31">
        <f>IF(AND(ISNUMBER(B95),ISNUMBER(G95)),B95-G95,"")</f>
        <v/>
      </c>
      <c r="I95" s="26" t="inlineStr">
        <is>
          <t>01 Mar</t>
        </is>
      </c>
    </row>
    <row r="96">
      <c r="A96" s="39" t="n">
        <v>46083</v>
      </c>
      <c r="B96" s="16" t="n">
        <v>0.525</v>
      </c>
      <c r="C96" s="16" t="n">
        <v>0.575</v>
      </c>
      <c r="D96" s="16" t="n">
        <v>0.475</v>
      </c>
      <c r="E96" s="16" t="n">
        <v>0.501</v>
      </c>
      <c r="F96" s="16" t="n">
        <v>0.5</v>
      </c>
      <c r="G96" s="104">
        <f>IFERROR(IF(INDEX(Polymarket!$B$25:$B$275,MATCH($A96,Polymarket!$A$25:$A$275,0))=0,"",INDEX(Polymarket!$B$25:$B$275,MATCH($A96,Polymarket!$A$25:$A$275,0))),"")</f>
        <v/>
      </c>
      <c r="H96" s="18">
        <f>IF(AND(ISNUMBER(B96),ISNUMBER(G96)),B96-G96,"")</f>
        <v/>
      </c>
      <c r="I96" s="26" t="inlineStr">
        <is>
          <t>02 Mar</t>
        </is>
      </c>
    </row>
    <row r="97">
      <c r="A97" s="41" t="n">
        <v>46084</v>
      </c>
      <c r="B97" s="28" t="n">
        <v>0.5317</v>
      </c>
      <c r="C97" s="28" t="n">
        <v>0.5817</v>
      </c>
      <c r="D97" s="28" t="n">
        <v>0.4817</v>
      </c>
      <c r="E97" s="28" t="n">
        <v>0.501</v>
      </c>
      <c r="F97" s="28" t="n">
        <v>0.499</v>
      </c>
      <c r="G97" s="105">
        <f>IFERROR(IF(INDEX(Polymarket!$B$25:$B$275,MATCH($A97,Polymarket!$A$25:$A$275,0))=0,"",INDEX(Polymarket!$B$25:$B$275,MATCH($A97,Polymarket!$A$25:$A$275,0))),"")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4">
        <f>IFERROR(IF(INDEX(Polymarket!$B$25:$B$275,MATCH($A98,Polymarket!$A$25:$A$275,0))=0,"",INDEX(Polymarket!$B$25:$B$275,MATCH($A98,Polymarket!$A$25:$A$275,0))),"")</f>
        <v/>
      </c>
      <c r="H98" s="18">
        <f>IF(AND(ISNUMBER(B98),ISNUMBER(G98)),B98-G98,"")</f>
        <v/>
      </c>
      <c r="I98" s="26" t="inlineStr">
        <is>
          <t>04 Mar</t>
        </is>
      </c>
    </row>
    <row r="99">
      <c r="A99" s="41" t="n">
        <v>46086</v>
      </c>
      <c r="B99" s="28" t="n">
        <v>0.5243</v>
      </c>
      <c r="C99" s="28" t="n">
        <v>0.5743</v>
      </c>
      <c r="D99" s="28" t="n">
        <v>0.4743</v>
      </c>
      <c r="E99" s="28" t="n">
        <v>0.501</v>
      </c>
      <c r="F99" s="28" t="n">
        <v>0.5</v>
      </c>
      <c r="G99" s="105">
        <f>IFERROR(IF(INDEX(Polymarket!$B$25:$B$275,MATCH($A99,Polymarket!$A$25:$A$275,0))=0,"",INDEX(Polymarket!$B$25:$B$275,MATCH($A99,Polymarket!$A$25:$A$275,0))),"")</f>
        <v/>
      </c>
      <c r="H99" s="31">
        <f>IF(AND(ISNUMBER(B99),ISNUMBER(G99)),B99-G99,"")</f>
        <v/>
      </c>
      <c r="I99" s="26" t="inlineStr">
        <is>
          <t>05 Mar</t>
        </is>
      </c>
    </row>
    <row r="100">
      <c r="A100" s="39" t="n">
        <v>46087</v>
      </c>
      <c r="B100" s="16" t="n">
        <v>0.5164</v>
      </c>
      <c r="C100" s="16" t="n">
        <v>0.5664</v>
      </c>
      <c r="D100" s="16" t="n">
        <v>0.4664</v>
      </c>
      <c r="E100" s="16" t="n">
        <v>0.501</v>
      </c>
      <c r="F100" s="16" t="n">
        <v>0.5</v>
      </c>
      <c r="G100" s="104">
        <f>IFERROR(IF(INDEX(Polymarket!$B$25:$B$275,MATCH($A100,Polymarket!$A$25:$A$275,0))=0,"",INDEX(Polymarket!$B$25:$B$275,MATCH($A100,Polymarket!$A$25:$A$275,0))),"")</f>
        <v/>
      </c>
      <c r="H100" s="18">
        <f>IF(AND(ISNUMBER(B100),ISNUMBER(G100)),B100-G100,"")</f>
        <v/>
      </c>
      <c r="I100" s="26" t="inlineStr">
        <is>
          <t>06 Mar</t>
        </is>
      </c>
    </row>
    <row r="101">
      <c r="A101" s="41" t="n">
        <v>46088</v>
      </c>
      <c r="B101" s="28" t="n">
        <v>0.5256</v>
      </c>
      <c r="C101" s="28" t="n">
        <v>0.5756</v>
      </c>
      <c r="D101" s="28" t="n">
        <v>0.4756</v>
      </c>
      <c r="E101" s="28" t="n">
        <v>0.501</v>
      </c>
      <c r="F101" s="28" t="n">
        <v>0.5</v>
      </c>
      <c r="G101" s="105">
        <f>IFERROR(IF(INDEX(Polymarket!$B$25:$B$275,MATCH($A101,Polymarket!$A$25:$A$275,0))=0,"",INDEX(Polymarket!$B$25:$B$275,MATCH($A101,Polymarket!$A$25:$A$275,0))),"")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4">
        <f>IFERROR(IF(INDEX(Polymarket!$B$25:$B$275,MATCH($A102,Polymarket!$A$25:$A$275,0))=0,"",INDEX(Polymarket!$B$25:$B$275,MATCH($A102,Polymarket!$A$25:$A$275,0))),"")</f>
        <v/>
      </c>
      <c r="H102" s="18">
        <f>IF(AND(ISNUMBER(B102),ISNUMBER(G102)),B102-G102,"")</f>
        <v/>
      </c>
      <c r="I102" s="26" t="inlineStr">
        <is>
          <t>08 Mar</t>
        </is>
      </c>
    </row>
    <row r="103">
      <c r="A103" s="41" t="n">
        <v>46090</v>
      </c>
      <c r="B103" s="28" t="n">
        <v>0.5293</v>
      </c>
      <c r="C103" s="28" t="n">
        <v>0.5793</v>
      </c>
      <c r="D103" s="28" t="n">
        <v>0.4793</v>
      </c>
      <c r="E103" s="28" t="n">
        <v>0.501</v>
      </c>
      <c r="F103" s="28" t="n">
        <v>0.5</v>
      </c>
      <c r="G103" s="105">
        <f>IFERROR(IF(INDEX(Polymarket!$B$25:$B$275,MATCH($A103,Polymarket!$A$25:$A$275,0))=0,"",INDEX(Polymarket!$B$25:$B$275,MATCH($A103,Polymarket!$A$25:$A$275,0))),"")</f>
        <v/>
      </c>
      <c r="H103" s="31">
        <f>IF(AND(ISNUMBER(B103),ISNUMBER(G103)),B103-G103,"")</f>
        <v/>
      </c>
      <c r="I103" s="26" t="inlineStr">
        <is>
          <t>09 Mar</t>
        </is>
      </c>
    </row>
    <row r="104">
      <c r="A104" s="39" t="n">
        <v>46091</v>
      </c>
      <c r="B104" s="16" t="n">
        <v>0.5203</v>
      </c>
      <c r="C104" s="16" t="n">
        <v>0.5703</v>
      </c>
      <c r="D104" s="16" t="n">
        <v>0.4703</v>
      </c>
      <c r="E104" s="16" t="n">
        <v>0.501</v>
      </c>
      <c r="F104" s="16" t="n">
        <v>0.5</v>
      </c>
      <c r="G104" s="104">
        <f>IFERROR(IF(INDEX(Polymarket!$B$25:$B$275,MATCH($A104,Polymarket!$A$25:$A$275,0))=0,"",INDEX(Polymarket!$B$25:$B$275,MATCH($A104,Polymarket!$A$25:$A$275,0))),"")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5">
        <f>IFERROR(IF(INDEX(Polymarket!$B$25:$B$275,MATCH($A105,Polymarket!$A$25:$A$275,0))=0,"",INDEX(Polymarket!$B$25:$B$275,MATCH($A105,Polymarket!$A$25:$A$275,0))),"")</f>
        <v/>
      </c>
      <c r="H105" s="31">
        <f>IF(AND(ISNUMBER(B105),ISNUMBER(G105)),B105-G105,"")</f>
        <v/>
      </c>
      <c r="I105" s="26" t="inlineStr">
        <is>
          <t>11 Mar</t>
        </is>
      </c>
    </row>
    <row r="106">
      <c r="A106" s="39" t="n">
        <v>46093</v>
      </c>
      <c r="B106" s="16" t="n">
        <v>0.5172</v>
      </c>
      <c r="C106" s="16" t="n">
        <v>0.5672</v>
      </c>
      <c r="D106" s="16" t="n">
        <v>0.4672</v>
      </c>
      <c r="E106" s="16" t="n">
        <v>0.501</v>
      </c>
      <c r="F106" s="16" t="n">
        <v>0.5</v>
      </c>
      <c r="G106" s="104">
        <f>IFERROR(IF(INDEX(Polymarket!$B$25:$B$275,MATCH($A106,Polymarket!$A$25:$A$275,0))=0,"",INDEX(Polymarket!$B$25:$B$275,MATCH($A106,Polymarket!$A$25:$A$275,0))),"")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5">
        <f>IFERROR(IF(INDEX(Polymarket!$B$25:$B$275,MATCH($A107,Polymarket!$A$25:$A$275,0))=0,"",INDEX(Polymarket!$B$25:$B$275,MATCH($A107,Polymarket!$A$25:$A$275,0))),"")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4">
        <f>IFERROR(IF(INDEX(Polymarket!$B$25:$B$275,MATCH($A108,Polymarket!$A$25:$A$275,0))=0,"",INDEX(Polymarket!$B$25:$B$275,MATCH($A108,Polymarket!$A$25:$A$275,0))),"")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5">
        <f>IFERROR(IF(INDEX(Polymarket!$B$25:$B$275,MATCH($A109,Polymarket!$A$25:$A$275,0))=0,"",INDEX(Polymarket!$B$25:$B$275,MATCH($A109,Polymarket!$A$25:$A$275,0))),"")</f>
        <v/>
      </c>
      <c r="H109" s="31">
        <f>IF(AND(ISNUMBER(B109),ISNUMBER(G109)),B109-G109,"")</f>
        <v/>
      </c>
      <c r="I109" s="26" t="inlineStr">
        <is>
          <t>15 Mar</t>
        </is>
      </c>
    </row>
    <row r="110">
      <c r="A110" s="39" t="n">
        <v>46097</v>
      </c>
      <c r="B110" s="16" t="n">
        <v>0.5222</v>
      </c>
      <c r="C110" s="16" t="n">
        <v>0.5722</v>
      </c>
      <c r="D110" s="16" t="n">
        <v>0.4722</v>
      </c>
      <c r="E110" s="16" t="n">
        <v>0.501</v>
      </c>
      <c r="F110" s="16" t="n">
        <v>0.5</v>
      </c>
      <c r="G110" s="104">
        <f>IFERROR(IF(INDEX(Polymarket!$B$25:$B$275,MATCH($A110,Polymarket!$A$25:$A$275,0))=0,"",INDEX(Polymarket!$B$25:$B$275,MATCH($A110,Polymarket!$A$25:$A$275,0))),"")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5">
        <f>IFERROR(IF(INDEX(Polymarket!$B$25:$B$275,MATCH($A111,Polymarket!$A$25:$A$275,0))=0,"",INDEX(Polymarket!$B$25:$B$275,MATCH($A111,Polymarket!$A$25:$A$275,0))),"")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4">
        <f>IFERROR(IF(INDEX(Polymarket!$B$25:$B$275,MATCH($A112,Polymarket!$A$25:$A$275,0))=0,"",INDEX(Polymarket!$B$25:$B$275,MATCH($A112,Polymarket!$A$25:$A$275,0))),"")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5">
        <f>IFERROR(IF(INDEX(Polymarket!$B$25:$B$275,MATCH($A113,Polymarket!$A$25:$A$275,0))=0,"",INDEX(Polymarket!$B$25:$B$275,MATCH($A113,Polymarket!$A$25:$A$275,0))),"")</f>
        <v/>
      </c>
      <c r="H113" s="31">
        <f>IF(AND(ISNUMBER(B113),ISNUMBER(G113)),B113-G113,"")</f>
        <v/>
      </c>
      <c r="I113" s="26" t="inlineStr">
        <is>
          <t>19 Mar</t>
        </is>
      </c>
    </row>
    <row r="114">
      <c r="A114" s="39" t="n">
        <v>46101</v>
      </c>
      <c r="B114" s="16" t="n">
        <v>0.5264</v>
      </c>
      <c r="C114" s="16" t="n">
        <v>0.5764</v>
      </c>
      <c r="D114" s="16" t="n">
        <v>0.4764</v>
      </c>
      <c r="E114" s="16" t="n">
        <v>0.501</v>
      </c>
      <c r="F114" s="16" t="n">
        <v>0.5</v>
      </c>
      <c r="G114" s="104">
        <f>IFERROR(IF(INDEX(Polymarket!$B$25:$B$275,MATCH($A114,Polymarket!$A$25:$A$275,0))=0,"",INDEX(Polymarket!$B$25:$B$275,MATCH($A114,Polymarket!$A$25:$A$275,0))),"")</f>
        <v/>
      </c>
      <c r="H114" s="18">
        <f>IF(AND(ISNUMBER(B114),ISNUMBER(G114)),B114-G114,"")</f>
        <v/>
      </c>
      <c r="I114" s="26" t="inlineStr">
        <is>
          <t>20 Mar</t>
        </is>
      </c>
    </row>
    <row r="115">
      <c r="A115" s="41" t="n">
        <v>46102</v>
      </c>
      <c r="B115" s="28" t="n">
        <v>0.5249</v>
      </c>
      <c r="C115" s="28" t="n">
        <v>0.5749</v>
      </c>
      <c r="D115" s="28" t="n">
        <v>0.4749</v>
      </c>
      <c r="E115" s="28" t="n">
        <v>0.501</v>
      </c>
      <c r="F115" s="28" t="n">
        <v>0.5</v>
      </c>
      <c r="G115" s="105">
        <f>IFERROR(IF(INDEX(Polymarket!$B$25:$B$275,MATCH($A115,Polymarket!$A$25:$A$275,0))=0,"",INDEX(Polymarket!$B$25:$B$275,MATCH($A115,Polymarket!$A$25:$A$275,0))),"")</f>
        <v/>
      </c>
      <c r="H115" s="31">
        <f>IF(AND(ISNUMBER(B115),ISNUMBER(G115)),B115-G115,"")</f>
        <v/>
      </c>
      <c r="I115" s="26" t="inlineStr">
        <is>
          <t>21 Mar</t>
        </is>
      </c>
    </row>
    <row r="116">
      <c r="A116" s="39" t="n">
        <v>46103</v>
      </c>
      <c r="B116" s="16" t="n">
        <v>0.5244</v>
      </c>
      <c r="C116" s="16" t="n">
        <v>0.5744</v>
      </c>
      <c r="D116" s="16" t="n">
        <v>0.4744</v>
      </c>
      <c r="E116" s="16" t="n">
        <v>0.501</v>
      </c>
      <c r="F116" s="16" t="n">
        <v>0.5</v>
      </c>
      <c r="G116" s="104">
        <f>IFERROR(IF(INDEX(Polymarket!$B$25:$B$275,MATCH($A116,Polymarket!$A$25:$A$275,0))=0,"",INDEX(Polymarket!$B$25:$B$275,MATCH($A116,Polymarket!$A$25:$A$275,0))),"")</f>
        <v/>
      </c>
      <c r="H116" s="18">
        <f>IF(AND(ISNUMBER(B116),ISNUMBER(G116)),B116-G116,"")</f>
        <v/>
      </c>
      <c r="I116" s="26" t="inlineStr">
        <is>
          <t>22 Mar</t>
        </is>
      </c>
    </row>
    <row r="117">
      <c r="A117" s="41" t="n">
        <v>46104</v>
      </c>
      <c r="B117" s="28" t="n">
        <v>0.5377</v>
      </c>
      <c r="C117" s="28" t="n">
        <v>0.5877</v>
      </c>
      <c r="D117" s="28" t="n">
        <v>0.4877</v>
      </c>
      <c r="E117" s="28" t="n">
        <v>0.501</v>
      </c>
      <c r="F117" s="28" t="n">
        <v>0.499</v>
      </c>
      <c r="G117" s="105">
        <f>IFERROR(IF(INDEX(Polymarket!$B$25:$B$275,MATCH($A117,Polymarket!$A$25:$A$275,0))=0,"",INDEX(Polymarket!$B$25:$B$275,MATCH($A117,Polymarket!$A$25:$A$275,0))),"")</f>
        <v/>
      </c>
      <c r="H117" s="31">
        <f>IF(AND(ISNUMBER(B117),ISNUMBER(G117)),B117-G117,"")</f>
        <v/>
      </c>
      <c r="I117" s="26" t="inlineStr">
        <is>
          <t>23 Mar</t>
        </is>
      </c>
    </row>
    <row r="118">
      <c r="A118" s="39" t="n">
        <v>46105</v>
      </c>
      <c r="B118" s="16" t="n">
        <v>0.5363</v>
      </c>
      <c r="C118" s="16" t="n">
        <v>0.5863</v>
      </c>
      <c r="D118" s="16" t="n">
        <v>0.4863</v>
      </c>
      <c r="E118" s="16" t="n">
        <v>0.501</v>
      </c>
      <c r="F118" s="16" t="n">
        <v>0.499</v>
      </c>
      <c r="G118" s="104">
        <f>IFERROR(IF(INDEX(Polymarket!$B$25:$B$275,MATCH($A118,Polymarket!$A$25:$A$275,0))=0,"",INDEX(Polymarket!$B$25:$B$275,MATCH($A118,Polymarket!$A$25:$A$275,0))),"")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5">
        <f>IFERROR(IF(INDEX(Polymarket!$B$25:$B$275,MATCH($A119,Polymarket!$A$25:$A$275,0))=0,"",INDEX(Polymarket!$B$25:$B$275,MATCH($A119,Polymarket!$A$25:$A$275,0))),"")</f>
        <v/>
      </c>
      <c r="H119" s="31">
        <f>IF(AND(ISNUMBER(B119),ISNUMBER(G119)),B119-G119,"")</f>
        <v/>
      </c>
      <c r="I119" s="26" t="inlineStr">
        <is>
          <t>25 Mar</t>
        </is>
      </c>
    </row>
    <row r="120">
      <c r="A120" s="39" t="n">
        <v>46107</v>
      </c>
      <c r="B120" s="16" t="n">
        <v>0.5349</v>
      </c>
      <c r="C120" s="16" t="n">
        <v>0.5849</v>
      </c>
      <c r="D120" s="16" t="n">
        <v>0.4849</v>
      </c>
      <c r="E120" s="16" t="n">
        <v>0.501</v>
      </c>
      <c r="F120" s="16" t="n">
        <v>0.499</v>
      </c>
      <c r="G120" s="104">
        <f>IFERROR(IF(INDEX(Polymarket!$B$25:$B$275,MATCH($A120,Polymarket!$A$25:$A$275,0))=0,"",INDEX(Polymarket!$B$25:$B$275,MATCH($A120,Polymarket!$A$25:$A$275,0))),"")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5">
        <f>IFERROR(IF(INDEX(Polymarket!$B$25:$B$275,MATCH($A121,Polymarket!$A$25:$A$275,0))=0,"",INDEX(Polymarket!$B$25:$B$275,MATCH($A121,Polymarket!$A$25:$A$275,0))),"")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4">
        <f>IFERROR(IF(INDEX(Polymarket!$B$25:$B$275,MATCH($A122,Polymarket!$A$25:$A$275,0))=0,"",INDEX(Polymarket!$B$25:$B$275,MATCH($A122,Polymarket!$A$25:$A$275,0))),"")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5">
        <f>IFERROR(IF(INDEX(Polymarket!$B$25:$B$275,MATCH($A123,Polymarket!$A$25:$A$275,0))=0,"",INDEX(Polymarket!$B$25:$B$275,MATCH($A123,Polymarket!$A$25:$A$275,0))),"")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4">
        <f>IFERROR(IF(INDEX(Polymarket!$B$25:$B$275,MATCH($A124,Polymarket!$A$25:$A$275,0))=0,"",INDEX(Polymarket!$B$25:$B$275,MATCH($A124,Polymarket!$A$25:$A$275,0))),"")</f>
        <v/>
      </c>
      <c r="H124" s="18">
        <f>IF(AND(ISNUMBER(B124),ISNUMBER(G124)),B124-G124,"")</f>
        <v/>
      </c>
      <c r="I124" s="26" t="inlineStr">
        <is>
          <t>30 Mar</t>
        </is>
      </c>
    </row>
    <row r="125">
      <c r="A125" s="41" t="n">
        <v>46112</v>
      </c>
      <c r="B125" s="28" t="n">
        <v>0.5315</v>
      </c>
      <c r="C125" s="28" t="n">
        <v>0.5815</v>
      </c>
      <c r="D125" s="28" t="n">
        <v>0.4815</v>
      </c>
      <c r="E125" s="28" t="n">
        <v>0.501</v>
      </c>
      <c r="F125" s="28" t="n">
        <v>0.499</v>
      </c>
      <c r="G125" s="105">
        <f>IFERROR(IF(INDEX(Polymarket!$B$25:$B$275,MATCH($A125,Polymarket!$A$25:$A$275,0))=0,"",INDEX(Polymarket!$B$25:$B$275,MATCH($A125,Polymarket!$A$25:$A$275,0))),"")</f>
        <v/>
      </c>
      <c r="H125" s="31">
        <f>IF(AND(ISNUMBER(B125),ISNUMBER(G125)),B125-G125,"")</f>
        <v/>
      </c>
      <c r="I125" s="26" t="inlineStr">
        <is>
          <t>31 Mar</t>
        </is>
      </c>
    </row>
    <row r="126">
      <c r="A126" s="39" t="n">
        <v>46113</v>
      </c>
      <c r="B126" s="16" t="n">
        <v>0.5374</v>
      </c>
      <c r="C126" s="16" t="n">
        <v>0.5874</v>
      </c>
      <c r="D126" s="16" t="n">
        <v>0.4874</v>
      </c>
      <c r="E126" s="16" t="n">
        <v>0.501</v>
      </c>
      <c r="F126" s="16" t="n">
        <v>0.499</v>
      </c>
      <c r="G126" s="104">
        <f>IFERROR(IF(INDEX(Polymarket!$B$25:$B$275,MATCH($A126,Polymarket!$A$25:$A$275,0))=0,"",INDEX(Polymarket!$B$25:$B$275,MATCH($A126,Polymarket!$A$25:$A$275,0))),"")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5">
        <f>IFERROR(IF(INDEX(Polymarket!$B$25:$B$275,MATCH($A127,Polymarket!$A$25:$A$275,0))=0,"",INDEX(Polymarket!$B$25:$B$275,MATCH($A127,Polymarket!$A$25:$A$275,0))),"")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4">
        <f>IFERROR(IF(INDEX(Polymarket!$B$25:$B$275,MATCH($A128,Polymarket!$A$25:$A$275,0))=0,"",INDEX(Polymarket!$B$25:$B$275,MATCH($A128,Polymarket!$A$25:$A$275,0))),"")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5">
        <f>IFERROR(IF(INDEX(Polymarket!$B$25:$B$275,MATCH($A129,Polymarket!$A$25:$A$275,0))=0,"",INDEX(Polymarket!$B$25:$B$275,MATCH($A129,Polymarket!$A$25:$A$275,0))),"")</f>
        <v/>
      </c>
      <c r="H129" s="31">
        <f>IF(AND(ISNUMBER(B129),ISNUMBER(G129)),B129-G129,"")</f>
        <v/>
      </c>
      <c r="I129" s="26" t="inlineStr">
        <is>
          <t>04 Apr</t>
        </is>
      </c>
    </row>
    <row r="130">
      <c r="A130" s="39" t="n">
        <v>46117</v>
      </c>
      <c r="B130" s="16" t="n">
        <v>0.5292</v>
      </c>
      <c r="C130" s="16" t="n">
        <v>0.5792</v>
      </c>
      <c r="D130" s="16" t="n">
        <v>0.4792</v>
      </c>
      <c r="E130" s="16" t="n">
        <v>0.501</v>
      </c>
      <c r="F130" s="16" t="n">
        <v>0.499</v>
      </c>
      <c r="G130" s="104">
        <f>IFERROR(IF(INDEX(Polymarket!$B$25:$B$275,MATCH($A130,Polymarket!$A$25:$A$275,0))=0,"",INDEX(Polymarket!$B$25:$B$275,MATCH($A130,Polymarket!$A$25:$A$275,0))),"")</f>
        <v/>
      </c>
      <c r="H130" s="18">
        <f>IF(AND(ISNUMBER(B130),ISNUMBER(G130)),B130-G130,"")</f>
        <v/>
      </c>
      <c r="I130" s="26" t="inlineStr">
        <is>
          <t>05 Apr</t>
        </is>
      </c>
    </row>
    <row r="131">
      <c r="A131" s="41" t="n">
        <v>46118</v>
      </c>
      <c r="B131" s="28" t="n">
        <v>0.5399</v>
      </c>
      <c r="C131" s="28" t="n">
        <v>0.5899</v>
      </c>
      <c r="D131" s="28" t="n">
        <v>0.4899</v>
      </c>
      <c r="E131" s="28" t="n">
        <v>0.501</v>
      </c>
      <c r="F131" s="28" t="n">
        <v>0.499</v>
      </c>
      <c r="G131" s="105">
        <f>IFERROR(IF(INDEX(Polymarket!$B$25:$B$275,MATCH($A131,Polymarket!$A$25:$A$275,0))=0,"",INDEX(Polymarket!$B$25:$B$275,MATCH($A131,Polymarket!$A$25:$A$275,0))),"")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4">
        <f>IFERROR(IF(INDEX(Polymarket!$B$25:$B$275,MATCH($A132,Polymarket!$A$25:$A$275,0))=0,"",INDEX(Polymarket!$B$25:$B$275,MATCH($A132,Polymarket!$A$25:$A$275,0))),"")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5">
        <f>IFERROR(IF(INDEX(Polymarket!$B$25:$B$275,MATCH($A133,Polymarket!$A$25:$A$275,0))=0,"",INDEX(Polymarket!$B$25:$B$275,MATCH($A133,Polymarket!$A$25:$A$275,0))),"")</f>
        <v/>
      </c>
      <c r="H133" s="31">
        <f>IF(AND(ISNUMBER(B133),ISNUMBER(G133)),B133-G133,"")</f>
        <v/>
      </c>
      <c r="I133" s="26" t="inlineStr">
        <is>
          <t>08 Apr</t>
        </is>
      </c>
    </row>
    <row r="134">
      <c r="A134" s="39" t="n">
        <v>46121</v>
      </c>
      <c r="B134" s="16" t="n">
        <v>0.5232</v>
      </c>
      <c r="C134" s="16" t="n">
        <v>0.5732</v>
      </c>
      <c r="D134" s="16" t="n">
        <v>0.4732</v>
      </c>
      <c r="E134" s="16" t="n">
        <v>0.501</v>
      </c>
      <c r="F134" s="16" t="n">
        <v>0.5</v>
      </c>
      <c r="G134" s="104">
        <f>IFERROR(IF(INDEX(Polymarket!$B$25:$B$275,MATCH($A134,Polymarket!$A$25:$A$275,0))=0,"",INDEX(Polymarket!$B$25:$B$275,MATCH($A134,Polymarket!$A$25:$A$275,0))),"")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5">
        <f>IFERROR(IF(INDEX(Polymarket!$B$25:$B$275,MATCH($A135,Polymarket!$A$25:$A$275,0))=0,"",INDEX(Polymarket!$B$25:$B$275,MATCH($A135,Polymarket!$A$25:$A$275,0))),"")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4">
        <f>IFERROR(IF(INDEX(Polymarket!$B$25:$B$275,MATCH($A136,Polymarket!$A$25:$A$275,0))=0,"",INDEX(Polymarket!$B$25:$B$275,MATCH($A136,Polymarket!$A$25:$A$275,0))),"")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5">
        <f>IFERROR(IF(INDEX(Polymarket!$B$25:$B$275,MATCH($A137,Polymarket!$A$25:$A$275,0))=0,"",INDEX(Polymarket!$B$25:$B$275,MATCH($A137,Polymarket!$A$25:$A$275,0))),"")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4">
        <f>IFERROR(IF(INDEX(Polymarket!$B$25:$B$275,MATCH($A138,Polymarket!$A$25:$A$275,0))=0,"",INDEX(Polymarket!$B$25:$B$275,MATCH($A138,Polymarket!$A$25:$A$275,0))),"")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5">
        <f>IFERROR(IF(INDEX(Polymarket!$B$25:$B$275,MATCH($A139,Polymarket!$A$25:$A$275,0))=0,"",INDEX(Polymarket!$B$25:$B$275,MATCH($A139,Polymarket!$A$25:$A$275,0))),"")</f>
        <v/>
      </c>
      <c r="H139" s="31">
        <f>IF(AND(ISNUMBER(B139),ISNUMBER(G139)),B139-G139,"")</f>
        <v/>
      </c>
      <c r="I139" s="26" t="inlineStr">
        <is>
          <t>14 Apr</t>
        </is>
      </c>
    </row>
    <row r="140">
      <c r="A140" s="39" t="n">
        <v>46127</v>
      </c>
      <c r="B140" s="16" t="n">
        <v>0.5668</v>
      </c>
      <c r="C140" s="16" t="n">
        <v>0.6168</v>
      </c>
      <c r="D140" s="16" t="n">
        <v>0.5168</v>
      </c>
      <c r="E140" s="16" t="n">
        <v>0.503</v>
      </c>
      <c r="F140" s="16" t="n">
        <v>0.498</v>
      </c>
      <c r="G140" s="104">
        <f>IFERROR(IF(INDEX(Polymarket!$B$25:$B$275,MATCH($A140,Polymarket!$A$25:$A$275,0))=0,"",INDEX(Polymarket!$B$25:$B$275,MATCH($A140,Polymarket!$A$25:$A$275,0))),"")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5">
        <f>IFERROR(IF(INDEX(Polymarket!$B$25:$B$275,MATCH($A141,Polymarket!$A$25:$A$275,0))=0,"",INDEX(Polymarket!$B$25:$B$275,MATCH($A141,Polymarket!$A$25:$A$275,0))),"")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4">
        <f>IFERROR(IF(INDEX(Polymarket!$B$25:$B$275,MATCH($A142,Polymarket!$A$25:$A$275,0))=0,"",INDEX(Polymarket!$B$25:$B$275,MATCH($A142,Polymarket!$A$25:$A$275,0))),"")</f>
        <v/>
      </c>
      <c r="H142" s="18">
        <f>IF(AND(ISNUMBER(B142),ISNUMBER(G142)),B142-G142,"")</f>
        <v/>
      </c>
      <c r="I142" s="26" t="inlineStr">
        <is>
          <t>17 Apr</t>
        </is>
      </c>
    </row>
    <row r="143">
      <c r="A143" s="41" t="n">
        <v>46130</v>
      </c>
      <c r="B143" s="28" t="n">
        <v>0.5681</v>
      </c>
      <c r="C143" s="28" t="n">
        <v>0.6181</v>
      </c>
      <c r="D143" s="28" t="n">
        <v>0.5181</v>
      </c>
      <c r="E143" s="28" t="n">
        <v>0.503</v>
      </c>
      <c r="F143" s="28" t="n">
        <v>0.498</v>
      </c>
      <c r="G143" s="105">
        <f>IFERROR(IF(INDEX(Polymarket!$B$25:$B$275,MATCH($A143,Polymarket!$A$25:$A$275,0))=0,"",INDEX(Polymarket!$B$25:$B$275,MATCH($A143,Polymarket!$A$25:$A$275,0))),"")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4">
        <f>IFERROR(IF(INDEX(Polymarket!$B$25:$B$275,MATCH($A144,Polymarket!$A$25:$A$275,0))=0,"",INDEX(Polymarket!$B$25:$B$275,MATCH($A144,Polymarket!$A$25:$A$275,0))),"")</f>
        <v/>
      </c>
      <c r="H144" s="18">
        <f>IF(AND(ISNUMBER(B144),ISNUMBER(G144)),B144-G144,"")</f>
        <v/>
      </c>
      <c r="I144" s="26" t="inlineStr">
        <is>
          <t>19 Apr</t>
        </is>
      </c>
    </row>
    <row r="145">
      <c r="A145" s="41" t="n">
        <v>46132</v>
      </c>
      <c r="B145" s="28" t="n">
        <v>0.5565</v>
      </c>
      <c r="C145" s="28" t="n">
        <v>0.6065</v>
      </c>
      <c r="D145" s="28" t="n">
        <v>0.5065</v>
      </c>
      <c r="E145" s="28" t="n">
        <v>0.502</v>
      </c>
      <c r="F145" s="28" t="n">
        <v>0.498</v>
      </c>
      <c r="G145" s="105">
        <f>IFERROR(IF(INDEX(Polymarket!$B$25:$B$275,MATCH($A145,Polymarket!$A$25:$A$275,0))=0,"",INDEX(Polymarket!$B$25:$B$275,MATCH($A145,Polymarket!$A$25:$A$275,0))),"")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4">
        <f>IFERROR(IF(INDEX(Polymarket!$B$25:$B$275,MATCH($A146,Polymarket!$A$25:$A$275,0))=0,"",INDEX(Polymarket!$B$25:$B$275,MATCH($A146,Polymarket!$A$25:$A$275,0))),"")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5">
        <f>IFERROR(IF(INDEX(Polymarket!$B$25:$B$275,MATCH($A147,Polymarket!$A$25:$A$275,0))=0,"",INDEX(Polymarket!$B$25:$B$275,MATCH($A147,Polymarket!$A$25:$A$275,0))),"")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4">
        <f>IFERROR(IF(INDEX(Polymarket!$B$25:$B$275,MATCH($A148,Polymarket!$A$25:$A$275,0))=0,"",INDEX(Polymarket!$B$25:$B$275,MATCH($A148,Polymarket!$A$25:$A$275,0))),"")</f>
        <v/>
      </c>
      <c r="H148" s="18">
        <f>IF(AND(ISNUMBER(B148),ISNUMBER(G148)),B148-G148,"")</f>
        <v/>
      </c>
      <c r="I148" s="26" t="inlineStr">
        <is>
          <t>23 Apr</t>
        </is>
      </c>
    </row>
    <row r="149">
      <c r="A149" s="41" t="n">
        <v>46136</v>
      </c>
      <c r="B149" s="28" t="n">
        <v>0.5619</v>
      </c>
      <c r="C149" s="28" t="n">
        <v>0.6119</v>
      </c>
      <c r="D149" s="28" t="n">
        <v>0.5119</v>
      </c>
      <c r="E149" s="28" t="n">
        <v>0.503</v>
      </c>
      <c r="F149" s="28" t="n">
        <v>0.498</v>
      </c>
      <c r="G149" s="105">
        <f>IFERROR(IF(INDEX(Polymarket!$B$25:$B$275,MATCH($A149,Polymarket!$A$25:$A$275,0))=0,"",INDEX(Polymarket!$B$25:$B$275,MATCH($A149,Polymarket!$A$25:$A$275,0))),"")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4">
        <f>IFERROR(IF(INDEX(Polymarket!$B$25:$B$275,MATCH($A150,Polymarket!$A$25:$A$275,0))=0,"",INDEX(Polymarket!$B$25:$B$275,MATCH($A150,Polymarket!$A$25:$A$275,0))),"")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5">
        <f>IFERROR(IF(INDEX(Polymarket!$B$25:$B$275,MATCH($A151,Polymarket!$A$25:$A$275,0))=0,"",INDEX(Polymarket!$B$25:$B$275,MATCH($A151,Polymarket!$A$25:$A$275,0))),"")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4">
        <f>IFERROR(IF(INDEX(Polymarket!$B$25:$B$275,MATCH($A152,Polymarket!$A$25:$A$275,0))=0,"",INDEX(Polymarket!$B$25:$B$275,MATCH($A152,Polymarket!$A$25:$A$275,0))),"")</f>
        <v/>
      </c>
      <c r="H152" s="18">
        <f>IF(AND(ISNUMBER(B152),ISNUMBER(G152)),B152-G152,"")</f>
        <v/>
      </c>
      <c r="I152" s="26" t="inlineStr">
        <is>
          <t>27 Apr</t>
        </is>
      </c>
    </row>
    <row r="153">
      <c r="A153" s="41" t="n">
        <v>46140</v>
      </c>
      <c r="B153" s="28" t="n">
        <v>0.5582</v>
      </c>
      <c r="C153" s="28" t="n">
        <v>0.6082</v>
      </c>
      <c r="D153" s="28" t="n">
        <v>0.5082</v>
      </c>
      <c r="E153" s="28" t="n">
        <v>0.502</v>
      </c>
      <c r="F153" s="28" t="n">
        <v>0.498</v>
      </c>
      <c r="G153" s="105">
        <f>IFERROR(IF(INDEX(Polymarket!$B$25:$B$275,MATCH($A153,Polymarket!$A$25:$A$275,0))=0,"",INDEX(Polymarket!$B$25:$B$275,MATCH($A153,Polymarket!$A$25:$A$275,0))),"")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4">
        <f>IFERROR(IF(INDEX(Polymarket!$B$25:$B$275,MATCH($A154,Polymarket!$A$25:$A$275,0))=0,"",INDEX(Polymarket!$B$25:$B$275,MATCH($A154,Polymarket!$A$25:$A$275,0))),"")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5">
        <f>IFERROR(IF(INDEX(Polymarket!$B$25:$B$275,MATCH($A155,Polymarket!$A$25:$A$275,0))=0,"",INDEX(Polymarket!$B$25:$B$275,MATCH($A155,Polymarket!$A$25:$A$275,0))),"")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4">
        <f>IFERROR(IF(INDEX(Polymarket!$B$25:$B$275,MATCH($A156,Polymarket!$A$25:$A$275,0))=0,"",INDEX(Polymarket!$B$25:$B$275,MATCH($A156,Polymarket!$A$25:$A$275,0))),"")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5">
        <f>IFERROR(IF(INDEX(Polymarket!$B$25:$B$275,MATCH($A157,Polymarket!$A$25:$A$275,0))=0,"",INDEX(Polymarket!$B$25:$B$275,MATCH($A157,Polymarket!$A$25:$A$275,0))),"")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4">
        <f>IFERROR(IF(INDEX(Polymarket!$B$25:$B$275,MATCH($A158,Polymarket!$A$25:$A$275,0))=0,"",INDEX(Polymarket!$B$25:$B$275,MATCH($A158,Polymarket!$A$25:$A$275,0))),"")</f>
        <v/>
      </c>
      <c r="H158" s="18">
        <f>IF(AND(ISNUMBER(B158),ISNUMBER(G158)),B158-G158,"")</f>
        <v/>
      </c>
      <c r="I158" s="26" t="inlineStr">
        <is>
          <t>03 May</t>
        </is>
      </c>
    </row>
    <row r="159">
      <c r="A159" s="41" t="n">
        <v>46146</v>
      </c>
      <c r="B159" s="28" t="n">
        <v>0.5532</v>
      </c>
      <c r="C159" s="28" t="n">
        <v>0.6032</v>
      </c>
      <c r="D159" s="28" t="n">
        <v>0.5032</v>
      </c>
      <c r="E159" s="28" t="n">
        <v>0.502</v>
      </c>
      <c r="F159" s="28" t="n">
        <v>0.498</v>
      </c>
      <c r="G159" s="105">
        <f>IFERROR(IF(INDEX(Polymarket!$B$25:$B$275,MATCH($A159,Polymarket!$A$25:$A$275,0))=0,"",INDEX(Polymarket!$B$25:$B$275,MATCH($A159,Polymarket!$A$25:$A$275,0))),"")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4">
        <f>IFERROR(IF(INDEX(Polymarket!$B$25:$B$275,MATCH($A160,Polymarket!$A$25:$A$275,0))=0,"",INDEX(Polymarket!$B$25:$B$275,MATCH($A160,Polymarket!$A$25:$A$275,0))),"")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5">
        <f>IFERROR(IF(INDEX(Polymarket!$B$25:$B$275,MATCH($A161,Polymarket!$A$25:$A$275,0))=0,"",INDEX(Polymarket!$B$25:$B$275,MATCH($A161,Polymarket!$A$25:$A$275,0))),"")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4">
        <f>IFERROR(IF(INDEX(Polymarket!$B$25:$B$275,MATCH($A162,Polymarket!$A$25:$A$275,0))=0,"",INDEX(Polymarket!$B$25:$B$275,MATCH($A162,Polymarket!$A$25:$A$275,0))),"")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5">
        <f>IFERROR(IF(INDEX(Polymarket!$B$25:$B$275,MATCH($A163,Polymarket!$A$25:$A$275,0))=0,"",INDEX(Polymarket!$B$25:$B$275,MATCH($A163,Polymarket!$A$25:$A$275,0))),"")</f>
        <v/>
      </c>
      <c r="H163" s="31">
        <f>IF(AND(ISNUMBER(B163),ISNUMBER(G163)),B163-G163,"")</f>
        <v/>
      </c>
      <c r="I163" s="26" t="inlineStr">
        <is>
          <t>08 May</t>
        </is>
      </c>
    </row>
    <row r="164">
      <c r="A164" s="39" t="n">
        <v>46151</v>
      </c>
      <c r="B164" s="16" t="n">
        <v>0.5669</v>
      </c>
      <c r="C164" s="16" t="n">
        <v>0.6169</v>
      </c>
      <c r="D164" s="16" t="n">
        <v>0.5169</v>
      </c>
      <c r="E164" s="16" t="n">
        <v>0.503</v>
      </c>
      <c r="F164" s="16" t="n">
        <v>0.498</v>
      </c>
      <c r="G164" s="104">
        <f>IFERROR(IF(INDEX(Polymarket!$B$25:$B$275,MATCH($A164,Polymarket!$A$25:$A$275,0))=0,"",INDEX(Polymarket!$B$25:$B$275,MATCH($A164,Polymarket!$A$25:$A$275,0))),"")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5">
        <f>IFERROR(IF(INDEX(Polymarket!$B$25:$B$275,MATCH($A165,Polymarket!$A$25:$A$275,0))=0,"",INDEX(Polymarket!$B$25:$B$275,MATCH($A165,Polymarket!$A$25:$A$275,0))),"")</f>
        <v/>
      </c>
      <c r="H165" s="31">
        <f>IF(AND(ISNUMBER(B165),ISNUMBER(G165)),B165-G165,"")</f>
        <v/>
      </c>
      <c r="I165" s="26" t="inlineStr">
        <is>
          <t>10 May</t>
        </is>
      </c>
    </row>
    <row r="166">
      <c r="A166" s="39" t="n">
        <v>46153</v>
      </c>
      <c r="B166" s="16" t="n">
        <v>0.5657</v>
      </c>
      <c r="C166" s="16" t="n">
        <v>0.6157</v>
      </c>
      <c r="D166" s="16" t="n">
        <v>0.5157</v>
      </c>
      <c r="E166" s="16" t="n">
        <v>0.503</v>
      </c>
      <c r="F166" s="16" t="n">
        <v>0.498</v>
      </c>
      <c r="G166" s="104">
        <f>IFERROR(IF(INDEX(Polymarket!$B$25:$B$275,MATCH($A166,Polymarket!$A$25:$A$275,0))=0,"",INDEX(Polymarket!$B$25:$B$275,MATCH($A166,Polymarket!$A$25:$A$275,0))),"")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5">
        <f>IFERROR(IF(INDEX(Polymarket!$B$25:$B$275,MATCH($A167,Polymarket!$A$25:$A$275,0))=0,"",INDEX(Polymarket!$B$25:$B$275,MATCH($A167,Polymarket!$A$25:$A$275,0))),"")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4">
        <f>IFERROR(IF(INDEX(Polymarket!$B$25:$B$275,MATCH($A168,Polymarket!$A$25:$A$275,0))=0,"",INDEX(Polymarket!$B$25:$B$275,MATCH($A168,Polymarket!$A$25:$A$275,0))),"")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5">
        <f>IFERROR(IF(INDEX(Polymarket!$B$25:$B$275,MATCH($A169,Polymarket!$A$25:$A$275,0))=0,"",INDEX(Polymarket!$B$25:$B$275,MATCH($A169,Polymarket!$A$25:$A$275,0))),"")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4">
        <f>IFERROR(IF(INDEX(Polymarket!$B$25:$B$275,MATCH($A170,Polymarket!$A$25:$A$275,0))=0,"",INDEX(Polymarket!$B$25:$B$275,MATCH($A170,Polymarket!$A$25:$A$275,0))),"")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5">
        <f>IFERROR(IF(INDEX(Polymarket!$B$25:$B$275,MATCH($A171,Polymarket!$A$25:$A$275,0))=0,"",INDEX(Polymarket!$B$25:$B$275,MATCH($A171,Polymarket!$A$25:$A$275,0))),"")</f>
        <v/>
      </c>
      <c r="H171" s="31">
        <f>IF(AND(ISNUMBER(B171),ISNUMBER(G171)),B171-G171,"")</f>
        <v/>
      </c>
      <c r="I171" s="26" t="inlineStr">
        <is>
          <t>16 May</t>
        </is>
      </c>
    </row>
    <row r="172">
      <c r="A172" s="39" t="n">
        <v>46159</v>
      </c>
      <c r="B172" s="16" t="n">
        <v>0.5704</v>
      </c>
      <c r="C172" s="16" t="n">
        <v>0.6204</v>
      </c>
      <c r="D172" s="16" t="n">
        <v>0.5204</v>
      </c>
      <c r="E172" s="16" t="n">
        <v>0.503</v>
      </c>
      <c r="F172" s="16" t="n">
        <v>0.498</v>
      </c>
      <c r="G172" s="104">
        <f>IFERROR(IF(INDEX(Polymarket!$B$25:$B$275,MATCH($A172,Polymarket!$A$25:$A$275,0))=0,"",INDEX(Polymarket!$B$25:$B$275,MATCH($A172,Polymarket!$A$25:$A$275,0))),"")</f>
        <v/>
      </c>
      <c r="H172" s="18">
        <f>IF(AND(ISNUMBER(B172),ISNUMBER(G172)),B172-G172,"")</f>
        <v/>
      </c>
      <c r="I172" s="26" t="inlineStr">
        <is>
          <t>17 May</t>
        </is>
      </c>
    </row>
    <row r="173">
      <c r="A173" s="41" t="n">
        <v>46160</v>
      </c>
      <c r="B173" s="28" t="n">
        <v>0.5658</v>
      </c>
      <c r="C173" s="28" t="n">
        <v>0.6158</v>
      </c>
      <c r="D173" s="28" t="n">
        <v>0.5158</v>
      </c>
      <c r="E173" s="28" t="n">
        <v>0.503</v>
      </c>
      <c r="F173" s="28" t="n">
        <v>0.498</v>
      </c>
      <c r="G173" s="105">
        <f>IFERROR(IF(INDEX(Polymarket!$B$25:$B$275,MATCH($A173,Polymarket!$A$25:$A$275,0))=0,"",INDEX(Polymarket!$B$25:$B$275,MATCH($A173,Polymarket!$A$25:$A$275,0))),"")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4">
        <f>IFERROR(IF(INDEX(Polymarket!$B$25:$B$275,MATCH($A174,Polymarket!$A$25:$A$275,0))=0,"",INDEX(Polymarket!$B$25:$B$275,MATCH($A174,Polymarket!$A$25:$A$275,0))),"")</f>
        <v/>
      </c>
      <c r="H174" s="18">
        <f>IF(AND(ISNUMBER(B174),ISNUMBER(G174)),B174-G174,"")</f>
        <v/>
      </c>
      <c r="I174" s="26" t="inlineStr">
        <is>
          <t>19 May</t>
        </is>
      </c>
    </row>
    <row r="175">
      <c r="A175" s="41" t="n">
        <v>46162</v>
      </c>
      <c r="B175" s="28" t="n">
        <v>0.5618</v>
      </c>
      <c r="C175" s="28" t="n">
        <v>0.6118</v>
      </c>
      <c r="D175" s="28" t="n">
        <v>0.5118</v>
      </c>
      <c r="E175" s="28" t="n">
        <v>0.502</v>
      </c>
      <c r="F175" s="28" t="n">
        <v>0.498</v>
      </c>
      <c r="G175" s="105">
        <f>IFERROR(IF(INDEX(Polymarket!$B$25:$B$275,MATCH($A175,Polymarket!$A$25:$A$275,0))=0,"",INDEX(Polymarket!$B$25:$B$275,MATCH($A175,Polymarket!$A$25:$A$275,0))),"")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4">
        <f>IFERROR(IF(INDEX(Polymarket!$B$25:$B$275,MATCH($A176,Polymarket!$A$25:$A$275,0))=0,"",INDEX(Polymarket!$B$25:$B$275,MATCH($A176,Polymarket!$A$25:$A$275,0))),"")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5">
        <f>IFERROR(IF(INDEX(Polymarket!$B$25:$B$275,MATCH($A177,Polymarket!$A$25:$A$275,0))=0,"",INDEX(Polymarket!$B$25:$B$275,MATCH($A177,Polymarket!$A$25:$A$275,0))),"")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4">
        <f>IFERROR(IF(INDEX(Polymarket!$B$25:$B$275,MATCH($A178,Polymarket!$A$25:$A$275,0))=0,"",INDEX(Polymarket!$B$25:$B$275,MATCH($A178,Polymarket!$A$25:$A$275,0))),"")</f>
        <v/>
      </c>
      <c r="H178" s="18">
        <f>IF(AND(ISNUMBER(B178),ISNUMBER(G178)),B178-G178,"")</f>
        <v/>
      </c>
      <c r="I178" s="26" t="inlineStr">
        <is>
          <t>23 May</t>
        </is>
      </c>
    </row>
    <row r="179">
      <c r="A179" s="41" t="n">
        <v>46166</v>
      </c>
      <c r="B179" s="28" t="n">
        <v>0.5597</v>
      </c>
      <c r="C179" s="28" t="n">
        <v>0.6097</v>
      </c>
      <c r="D179" s="28" t="n">
        <v>0.5097</v>
      </c>
      <c r="E179" s="28" t="n">
        <v>0.502</v>
      </c>
      <c r="F179" s="28" t="n">
        <v>0.498</v>
      </c>
      <c r="G179" s="105">
        <f>IFERROR(IF(INDEX(Polymarket!$B$25:$B$275,MATCH($A179,Polymarket!$A$25:$A$275,0))=0,"",INDEX(Polymarket!$B$25:$B$275,MATCH($A179,Polymarket!$A$25:$A$275,0))),"")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4">
        <f>IFERROR(IF(INDEX(Polymarket!$B$25:$B$275,MATCH($A180,Polymarket!$A$25:$A$275,0))=0,"",INDEX(Polymarket!$B$25:$B$275,MATCH($A180,Polymarket!$A$25:$A$275,0))),"")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5">
        <f>IFERROR(IF(INDEX(Polymarket!$B$25:$B$275,MATCH($A181,Polymarket!$A$25:$A$275,0))=0,"",INDEX(Polymarket!$B$25:$B$275,MATCH($A181,Polymarket!$A$25:$A$275,0))),"")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4">
        <f>IFERROR(IF(INDEX(Polymarket!$B$25:$B$275,MATCH($A182,Polymarket!$A$25:$A$275,0))=0,"",INDEX(Polymarket!$B$25:$B$275,MATCH($A182,Polymarket!$A$25:$A$275,0))),"")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5">
        <f>IFERROR(IF(INDEX(Polymarket!$B$25:$B$275,MATCH($A183,Polymarket!$A$25:$A$275,0))=0,"",INDEX(Polymarket!$B$25:$B$275,MATCH($A183,Polymarket!$A$25:$A$275,0))),"")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4">
        <f>IFERROR(IF(INDEX(Polymarket!$B$25:$B$275,MATCH($A184,Polymarket!$A$25:$A$275,0))=0,"",INDEX(Polymarket!$B$25:$B$275,MATCH($A184,Polymarket!$A$25:$A$275,0))),"")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5">
        <f>IFERROR(IF(INDEX(Polymarket!$B$25:$B$275,MATCH($A185,Polymarket!$A$25:$A$275,0))=0,"",INDEX(Polymarket!$B$25:$B$275,MATCH($A185,Polymarket!$A$25:$A$275,0))),"")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4">
        <f>IFERROR(IF(INDEX(Polymarket!$B$25:$B$275,MATCH($A186,Polymarket!$A$25:$A$275,0))=0,"",INDEX(Polymarket!$B$25:$B$275,MATCH($A186,Polymarket!$A$25:$A$275,0))),"")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5">
        <f>IFERROR(IF(INDEX(Polymarket!$B$25:$B$275,MATCH($A187,Polymarket!$A$25:$A$275,0))=0,"",INDEX(Polymarket!$B$25:$B$275,MATCH($A187,Polymarket!$A$25:$A$275,0))),"")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4">
        <f>IFERROR(IF(INDEX(Polymarket!$B$25:$B$275,MATCH($A188,Polymarket!$A$25:$A$275,0))=0,"",INDEX(Polymarket!$B$25:$B$275,MATCH($A188,Polymarket!$A$25:$A$275,0))),"")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5">
        <f>IFERROR(IF(INDEX(Polymarket!$B$25:$B$275,MATCH($A189,Polymarket!$A$25:$A$275,0))=0,"",INDEX(Polymarket!$B$25:$B$275,MATCH($A189,Polymarket!$A$25:$A$275,0))),"")</f>
        <v/>
      </c>
      <c r="H189" s="31">
        <f>IF(AND(ISNUMBER(B189),ISNUMBER(G189)),B189-G189,"")</f>
        <v/>
      </c>
      <c r="I189" s="26" t="inlineStr">
        <is>
          <t>03 Jun</t>
        </is>
      </c>
    </row>
    <row r="190">
      <c r="A190" s="39" t="n">
        <v>46177</v>
      </c>
      <c r="B190" s="16" t="n">
        <v>0.5657</v>
      </c>
      <c r="C190" s="16" t="n">
        <v>0.6157</v>
      </c>
      <c r="D190" s="16" t="n">
        <v>0.5157</v>
      </c>
      <c r="E190" s="16" t="n">
        <v>0.503</v>
      </c>
      <c r="F190" s="16" t="n">
        <v>0.498</v>
      </c>
      <c r="G190" s="104">
        <f>IFERROR(IF(INDEX(Polymarket!$B$25:$B$275,MATCH($A190,Polymarket!$A$25:$A$275,0))=0,"",INDEX(Polymarket!$B$25:$B$275,MATCH($A190,Polymarket!$A$25:$A$275,0))),"")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5">
        <f>IFERROR(IF(INDEX(Polymarket!$B$25:$B$275,MATCH($A191,Polymarket!$A$25:$A$275,0))=0,"",INDEX(Polymarket!$B$25:$B$275,MATCH($A191,Polymarket!$A$25:$A$275,0))),"")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4">
        <f>IFERROR(IF(INDEX(Polymarket!$B$25:$B$275,MATCH($A192,Polymarket!$A$25:$A$275,0))=0,"",INDEX(Polymarket!$B$25:$B$275,MATCH($A192,Polymarket!$A$25:$A$275,0))),"")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5">
        <f>IFERROR(IF(INDEX(Polymarket!$B$25:$B$275,MATCH($A193,Polymarket!$A$25:$A$275,0))=0,"",INDEX(Polymarket!$B$25:$B$275,MATCH($A193,Polymarket!$A$25:$A$275,0))),"")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4">
        <f>IFERROR(IF(INDEX(Polymarket!$B$25:$B$275,MATCH($A194,Polymarket!$A$25:$A$275,0))=0,"",INDEX(Polymarket!$B$25:$B$275,MATCH($A194,Polymarket!$A$25:$A$275,0))),"")</f>
        <v/>
      </c>
      <c r="H194" s="18">
        <f>IF(AND(ISNUMBER(B194),ISNUMBER(G194)),B194-G194,"")</f>
        <v/>
      </c>
      <c r="I194" s="26" t="inlineStr">
        <is>
          <t>08 Jun</t>
        </is>
      </c>
    </row>
    <row r="195">
      <c r="A195" s="41" t="n">
        <v>46182</v>
      </c>
      <c r="B195" s="28" t="n">
        <v>0.5704</v>
      </c>
      <c r="C195" s="28" t="n">
        <v>0.6204</v>
      </c>
      <c r="D195" s="28" t="n">
        <v>0.5204</v>
      </c>
      <c r="E195" s="28" t="n">
        <v>0.503</v>
      </c>
      <c r="F195" s="28" t="n">
        <v>0.498</v>
      </c>
      <c r="G195" s="105">
        <f>IFERROR(IF(INDEX(Polymarket!$B$25:$B$275,MATCH($A195,Polymarket!$A$25:$A$275,0))=0,"",INDEX(Polymarket!$B$25:$B$275,MATCH($A195,Polymarket!$A$25:$A$275,0))),"")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4">
        <f>IFERROR(IF(INDEX(Polymarket!$B$25:$B$275,MATCH($A196,Polymarket!$A$25:$A$275,0))=0,"",INDEX(Polymarket!$B$25:$B$275,MATCH($A196,Polymarket!$A$25:$A$275,0))),"")</f>
        <v/>
      </c>
      <c r="H196" s="18">
        <f>IF(AND(ISNUMBER(B196),ISNUMBER(G196)),B196-G196,"")</f>
        <v/>
      </c>
      <c r="I196" s="26" t="inlineStr">
        <is>
          <t>10 Jun</t>
        </is>
      </c>
    </row>
    <row r="197">
      <c r="A197" s="41" t="n">
        <v>46184</v>
      </c>
      <c r="B197" s="28" t="n">
        <v>0.5669</v>
      </c>
      <c r="C197" s="28" t="n">
        <v>0.6169</v>
      </c>
      <c r="D197" s="28" t="n">
        <v>0.5169</v>
      </c>
      <c r="E197" s="28" t="n">
        <v>0.503</v>
      </c>
      <c r="F197" s="28" t="n">
        <v>0.498</v>
      </c>
      <c r="G197" s="105">
        <f>IFERROR(IF(INDEX(Polymarket!$B$25:$B$275,MATCH($A197,Polymarket!$A$25:$A$275,0))=0,"",INDEX(Polymarket!$B$25:$B$275,MATCH($A197,Polymarket!$A$25:$A$275,0))),"")</f>
        <v/>
      </c>
      <c r="H197" s="31">
        <f>IF(AND(ISNUMBER(B197),ISNUMBER(G197)),B197-G197,"")</f>
        <v/>
      </c>
      <c r="I197" s="26" t="inlineStr">
        <is>
          <t>11 Jun</t>
        </is>
      </c>
    </row>
    <row r="198">
      <c r="A198" s="39" t="n">
        <v>46185</v>
      </c>
      <c r="B198" s="16" t="n">
        <v>0.5532</v>
      </c>
      <c r="C198" s="16" t="n">
        <v>0.6032</v>
      </c>
      <c r="D198" s="16" t="n">
        <v>0.5032</v>
      </c>
      <c r="E198" s="16" t="n">
        <v>0.502</v>
      </c>
      <c r="F198" s="16" t="n">
        <v>0.498</v>
      </c>
      <c r="G198" s="104">
        <f>IFERROR(IF(INDEX(Polymarket!$B$25:$B$275,MATCH($A198,Polymarket!$A$25:$A$275,0))=0,"",INDEX(Polymarket!$B$25:$B$275,MATCH($A198,Polymarket!$A$25:$A$275,0))),"")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5">
        <f>IFERROR(IF(INDEX(Polymarket!$B$25:$B$275,MATCH($A199,Polymarket!$A$25:$A$275,0))=0,"",INDEX(Polymarket!$B$25:$B$275,MATCH($A199,Polymarket!$A$25:$A$275,0))),"")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4">
        <f>IFERROR(IF(INDEX(Polymarket!$B$25:$B$275,MATCH($A200,Polymarket!$A$25:$A$275,0))=0,"",INDEX(Polymarket!$B$25:$B$275,MATCH($A200,Polymarket!$A$25:$A$275,0))),"")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5">
        <f>IFERROR(IF(INDEX(Polymarket!$B$25:$B$275,MATCH($A201,Polymarket!$A$25:$A$275,0))=0,"",INDEX(Polymarket!$B$25:$B$275,MATCH($A201,Polymarket!$A$25:$A$275,0))),"")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4">
        <f>IFERROR(IF(INDEX(Polymarket!$B$25:$B$275,MATCH($A202,Polymarket!$A$25:$A$275,0))=0,"",INDEX(Polymarket!$B$25:$B$275,MATCH($A202,Polymarket!$A$25:$A$275,0))),"")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5">
        <f>IFERROR(IF(INDEX(Polymarket!$B$25:$B$275,MATCH($A203,Polymarket!$A$25:$A$275,0))=0,"",INDEX(Polymarket!$B$25:$B$275,MATCH($A203,Polymarket!$A$25:$A$275,0))),"")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4">
        <f>IFERROR(IF(INDEX(Polymarket!$B$25:$B$275,MATCH($A204,Polymarket!$A$25:$A$275,0))=0,"",INDEX(Polymarket!$B$25:$B$275,MATCH($A204,Polymarket!$A$25:$A$275,0))),"")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5">
        <f>IFERROR(IF(INDEX(Polymarket!$B$25:$B$275,MATCH($A205,Polymarket!$A$25:$A$275,0))=0,"",INDEX(Polymarket!$B$25:$B$275,MATCH($A205,Polymarket!$A$25:$A$275,0))),"")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4">
        <f>IFERROR(IF(INDEX(Polymarket!$B$25:$B$275,MATCH($A206,Polymarket!$A$25:$A$275,0))=0,"",INDEX(Polymarket!$B$25:$B$275,MATCH($A206,Polymarket!$A$25:$A$275,0))),"")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5">
        <f>IFERROR(IF(INDEX(Polymarket!$B$25:$B$275,MATCH($A207,Polymarket!$A$25:$A$275,0))=0,"",INDEX(Polymarket!$B$25:$B$275,MATCH($A207,Polymarket!$A$25:$A$275,0))),"")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4">
        <f>IFERROR(IF(INDEX(Polymarket!$B$25:$B$275,MATCH($A208,Polymarket!$A$25:$A$275,0))=0,"",INDEX(Polymarket!$B$25:$B$275,MATCH($A208,Polymarket!$A$25:$A$275,0))),"")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5">
        <f>IFERROR(IF(INDEX(Polymarket!$B$25:$B$275,MATCH($A209,Polymarket!$A$25:$A$275,0))=0,"",INDEX(Polymarket!$B$25:$B$275,MATCH($A209,Polymarket!$A$25:$A$275,0))),"")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4">
        <f>IFERROR(IF(INDEX(Polymarket!$B$25:$B$275,MATCH($A210,Polymarket!$A$25:$A$275,0))=0,"",INDEX(Polymarket!$B$25:$B$275,MATCH($A210,Polymarket!$A$25:$A$275,0))),"")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5">
        <f>IFERROR(IF(INDEX(Polymarket!$B$25:$B$275,MATCH($A211,Polymarket!$A$25:$A$275,0))=0,"",INDEX(Polymarket!$B$25:$B$275,MATCH($A211,Polymarket!$A$25:$A$275,0))),"")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4">
        <f>IFERROR(IF(INDEX(Polymarket!$B$25:$B$275,MATCH($A212,Polymarket!$A$25:$A$275,0))=0,"",INDEX(Polymarket!$B$25:$B$275,MATCH($A212,Polymarket!$A$25:$A$275,0))),"")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5">
        <f>IFERROR(IF(INDEX(Polymarket!$B$25:$B$275,MATCH($A213,Polymarket!$A$25:$A$275,0))=0,"",INDEX(Polymarket!$B$25:$B$275,MATCH($A213,Polymarket!$A$25:$A$275,0))),"")</f>
        <v/>
      </c>
      <c r="H213" s="31">
        <f>IF(AND(ISNUMBER(B213),ISNUMBER(G213)),B213-G213,"")</f>
        <v/>
      </c>
      <c r="I213" s="26" t="inlineStr">
        <is>
          <t>27 Jun</t>
        </is>
      </c>
    </row>
    <row r="214">
      <c r="A214" s="39" t="n">
        <v>46201</v>
      </c>
      <c r="B214" s="16" t="n">
        <v>0.5569</v>
      </c>
      <c r="C214" s="16" t="n">
        <v>0.6069</v>
      </c>
      <c r="D214" s="16" t="n">
        <v>0.5069</v>
      </c>
      <c r="E214" s="16" t="n">
        <v>0.502</v>
      </c>
      <c r="F214" s="16" t="n">
        <v>0.498</v>
      </c>
      <c r="G214" s="104">
        <f>IFERROR(IF(INDEX(Polymarket!$B$25:$B$275,MATCH($A214,Polymarket!$A$25:$A$275,0))=0,"",INDEX(Polymarket!$B$25:$B$275,MATCH($A214,Polymarket!$A$25:$A$275,0))),"")</f>
        <v/>
      </c>
      <c r="H214" s="18">
        <f>IF(AND(ISNUMBER(B214),ISNUMBER(G214)),B214-G214,"")</f>
        <v/>
      </c>
      <c r="I214" s="26" t="inlineStr">
        <is>
          <t>28 Jun</t>
        </is>
      </c>
    </row>
    <row r="215">
      <c r="A215" s="41" t="n">
        <v>46202</v>
      </c>
      <c r="B215" s="28" t="n">
        <v>0.5485</v>
      </c>
      <c r="C215" s="28" t="n">
        <v>0.5985</v>
      </c>
      <c r="D215" s="28" t="n">
        <v>0.4985</v>
      </c>
      <c r="E215" s="28" t="n">
        <v>0.502</v>
      </c>
      <c r="F215" s="28" t="n">
        <v>0.499</v>
      </c>
      <c r="G215" s="105">
        <f>IFERROR(IF(INDEX(Polymarket!$B$25:$B$275,MATCH($A215,Polymarket!$A$25:$A$275,0))=0,"",INDEX(Polymarket!$B$25:$B$275,MATCH($A215,Polymarket!$A$25:$A$275,0))),"")</f>
        <v/>
      </c>
      <c r="H215" s="31">
        <f>IF(AND(ISNUMBER(B215),ISNUMBER(G215)),B215-G215,"")</f>
        <v/>
      </c>
      <c r="I215" s="26" t="inlineStr">
        <is>
          <t>29 Jun</t>
        </is>
      </c>
    </row>
    <row r="216">
      <c r="A216" s="39" t="n">
        <v>46203</v>
      </c>
      <c r="B216" s="16" t="n">
        <v>0.5571</v>
      </c>
      <c r="C216" s="16" t="n">
        <v>0.6071</v>
      </c>
      <c r="D216" s="16" t="n">
        <v>0.5071</v>
      </c>
      <c r="E216" s="16" t="n">
        <v>0.502</v>
      </c>
      <c r="F216" s="16" t="n">
        <v>0.498</v>
      </c>
      <c r="G216" s="104">
        <f>IFERROR(IF(INDEX(Polymarket!$B$25:$B$275,MATCH($A216,Polymarket!$A$25:$A$275,0))=0,"",INDEX(Polymarket!$B$25:$B$275,MATCH($A216,Polymarket!$A$25:$A$275,0))),"")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5">
        <f>IFERROR(IF(INDEX(Polymarket!$B$25:$B$275,MATCH($A217,Polymarket!$A$25:$A$275,0))=0,"",INDEX(Polymarket!$B$25:$B$275,MATCH($A217,Polymarket!$A$25:$A$275,0))),"")</f>
        <v/>
      </c>
      <c r="H217" s="31">
        <f>IF(AND(ISNUMBER(B217),ISNUMBER(G217)),B217-G217,"")</f>
        <v/>
      </c>
      <c r="I217" s="26" t="inlineStr">
        <is>
          <t>01 Jul</t>
        </is>
      </c>
    </row>
    <row r="218">
      <c r="A218" s="39" t="n">
        <v>46205</v>
      </c>
      <c r="B218" s="16" t="n">
        <v>0.5484</v>
      </c>
      <c r="C218" s="16" t="n">
        <v>0.5984</v>
      </c>
      <c r="D218" s="16" t="n">
        <v>0.4984</v>
      </c>
      <c r="E218" s="16" t="n">
        <v>0.502</v>
      </c>
      <c r="F218" s="16" t="n">
        <v>0.498</v>
      </c>
      <c r="G218" s="104">
        <f>IFERROR(IF(INDEX(Polymarket!$B$25:$B$275,MATCH($A218,Polymarket!$A$25:$A$275,0))=0,"",INDEX(Polymarket!$B$25:$B$275,MATCH($A218,Polymarket!$A$25:$A$275,0))),"")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5">
        <f>IFERROR(IF(INDEX(Polymarket!$B$25:$B$275,MATCH($A219,Polymarket!$A$25:$A$275,0))=0,"",INDEX(Polymarket!$B$25:$B$275,MATCH($A219,Polymarket!$A$25:$A$275,0))),"")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4">
        <f>IFERROR(IF(INDEX(Polymarket!$B$25:$B$275,MATCH($A220,Polymarket!$A$25:$A$275,0))=0,"",INDEX(Polymarket!$B$25:$B$275,MATCH($A220,Polymarket!$A$25:$A$275,0))),"")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5">
        <f>IFERROR(IF(INDEX(Polymarket!$B$25:$B$275,MATCH($A221,Polymarket!$A$25:$A$275,0))=0,"",INDEX(Polymarket!$B$25:$B$275,MATCH($A221,Polymarket!$A$25:$A$275,0))),"")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4">
        <f>IFERROR(IF(INDEX(Polymarket!$B$25:$B$275,MATCH($A222,Polymarket!$A$25:$A$275,0))=0,"",INDEX(Polymarket!$B$25:$B$275,MATCH($A222,Polymarket!$A$25:$A$275,0))),"")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5">
        <f>IFERROR(IF(INDEX(Polymarket!$B$25:$B$275,MATCH($A223,Polymarket!$A$25:$A$275,0))=0,"",INDEX(Polymarket!$B$25:$B$275,MATCH($A223,Polymarket!$A$25:$A$275,0))),"")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4">
        <f>IFERROR(IF(INDEX(Polymarket!$B$25:$B$275,MATCH($A224,Polymarket!$A$25:$A$275,0))=0,"",INDEX(Polymarket!$B$25:$B$275,MATCH($A224,Polymarket!$A$25:$A$275,0))),"")</f>
        <v/>
      </c>
      <c r="H224" s="18">
        <f>IF(AND(ISNUMBER(B224),ISNUMBER(G224)),B224-G224,"")</f>
        <v/>
      </c>
      <c r="I224" s="26" t="inlineStr">
        <is>
          <t>08 Jul</t>
        </is>
      </c>
    </row>
    <row r="225">
      <c r="A225" s="41" t="n">
        <v>46212</v>
      </c>
      <c r="B225" s="28" t="n">
        <v>0.5498</v>
      </c>
      <c r="C225" s="28" t="n">
        <v>0.5998</v>
      </c>
      <c r="D225" s="28" t="n">
        <v>0.4998</v>
      </c>
      <c r="E225" s="28" t="n">
        <v>0.502</v>
      </c>
      <c r="F225" s="28" t="n">
        <v>0.498</v>
      </c>
      <c r="G225" s="105">
        <f>IFERROR(IF(INDEX(Polymarket!$B$25:$B$275,MATCH($A225,Polymarket!$A$25:$A$275,0))=0,"",INDEX(Polymarket!$B$25:$B$275,MATCH($A225,Polymarket!$A$25:$A$275,0))),"")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4">
        <f>IFERROR(IF(INDEX(Polymarket!$B$25:$B$275,MATCH($A226,Polymarket!$A$25:$A$275,0))=0,"",INDEX(Polymarket!$B$25:$B$275,MATCH($A226,Polymarket!$A$25:$A$275,0))),"")</f>
        <v/>
      </c>
      <c r="H226" s="18">
        <f>IF(AND(ISNUMBER(B226),ISNUMBER(G226)),B226-G226,"")</f>
        <v/>
      </c>
      <c r="I226" s="26" t="inlineStr">
        <is>
          <t>10 Jul</t>
        </is>
      </c>
    </row>
    <row r="227">
      <c r="A227" s="41" t="n">
        <v>46214</v>
      </c>
      <c r="B227" s="28" t="n">
        <v>0.5482</v>
      </c>
      <c r="C227" s="28" t="n">
        <v>0.5982</v>
      </c>
      <c r="D227" s="28" t="n">
        <v>0.4982</v>
      </c>
      <c r="E227" s="28" t="n">
        <v>0.502</v>
      </c>
      <c r="F227" s="28" t="n">
        <v>0.499</v>
      </c>
      <c r="G227" s="105">
        <f>IFERROR(IF(INDEX(Polymarket!$B$25:$B$275,MATCH($A227,Polymarket!$A$25:$A$275,0))=0,"",INDEX(Polymarket!$B$25:$B$275,MATCH($A227,Polymarket!$A$25:$A$275,0))),"")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4">
        <f>IFERROR(IF(INDEX(Polymarket!$B$25:$B$275,MATCH($A228,Polymarket!$A$25:$A$275,0))=0,"",INDEX(Polymarket!$B$25:$B$275,MATCH($A228,Polymarket!$A$25:$A$275,0))),"")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5">
        <f>IFERROR(IF(INDEX(Polymarket!$B$25:$B$275,MATCH($A229,Polymarket!$A$25:$A$275,0))=0,"",INDEX(Polymarket!$B$25:$B$275,MATCH($A229,Polymarket!$A$25:$A$275,0))),"")</f>
        <v/>
      </c>
      <c r="H229" s="31">
        <f>IF(AND(ISNUMBER(B229),ISNUMBER(G229)),B229-G229,"")</f>
        <v/>
      </c>
      <c r="I229" s="26" t="inlineStr">
        <is>
          <t>13 Jul</t>
        </is>
      </c>
    </row>
    <row r="230">
      <c r="A230" s="39" t="n">
        <v>46217</v>
      </c>
      <c r="B230" s="16" t="n">
        <v>0.5504</v>
      </c>
      <c r="C230" s="16" t="n">
        <v>0.6004</v>
      </c>
      <c r="D230" s="16" t="n">
        <v>0.5004</v>
      </c>
      <c r="E230" s="16" t="n">
        <v>0.502</v>
      </c>
      <c r="F230" s="16" t="n">
        <v>0.498</v>
      </c>
      <c r="G230" s="104">
        <f>IFERROR(IF(INDEX(Polymarket!$B$25:$B$275,MATCH($A230,Polymarket!$A$25:$A$275,0))=0,"",INDEX(Polymarket!$B$25:$B$275,MATCH($A230,Polymarket!$A$25:$A$275,0))),"")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5">
        <f>IFERROR(IF(INDEX(Polymarket!$B$25:$B$275,MATCH($A231,Polymarket!$A$25:$A$275,0))=0,"",INDEX(Polymarket!$B$25:$B$275,MATCH($A231,Polymarket!$A$25:$A$275,0))),"")</f>
        <v/>
      </c>
      <c r="H231" s="31">
        <f>IF(AND(ISNUMBER(B231),ISNUMBER(G231)),B231-G231,"")</f>
        <v/>
      </c>
      <c r="I231" s="26" t="inlineStr">
        <is>
          <t>15 Jul</t>
        </is>
      </c>
    </row>
    <row r="232">
      <c r="A232" s="39" t="n">
        <v>46219</v>
      </c>
      <c r="B232" s="16" t="n">
        <v>0.5581</v>
      </c>
      <c r="C232" s="16" t="n">
        <v>0.6081</v>
      </c>
      <c r="D232" s="16" t="n">
        <v>0.5081</v>
      </c>
      <c r="E232" s="16" t="n">
        <v>0.502</v>
      </c>
      <c r="F232" s="16" t="n">
        <v>0.498</v>
      </c>
      <c r="G232" s="104">
        <f>IFERROR(IF(INDEX(Polymarket!$B$25:$B$275,MATCH($A232,Polymarket!$A$25:$A$275,0))=0,"",INDEX(Polymarket!$B$25:$B$275,MATCH($A232,Polymarket!$A$25:$A$275,0))),"")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5">
        <f>IFERROR(IF(INDEX(Polymarket!$B$25:$B$275,MATCH($A233,Polymarket!$A$25:$A$275,0))=0,"",INDEX(Polymarket!$B$25:$B$275,MATCH($A233,Polymarket!$A$25:$A$275,0))),"")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4">
        <f>IFERROR(IF(INDEX(Polymarket!$B$25:$B$275,MATCH($A234,Polymarket!$A$25:$A$275,0))=0,"",INDEX(Polymarket!$B$25:$B$275,MATCH($A234,Polymarket!$A$25:$A$275,0))),"")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5">
        <f>IFERROR(IF(INDEX(Polymarket!$B$25:$B$275,MATCH($A235,Polymarket!$A$25:$A$275,0))=0,"",INDEX(Polymarket!$B$25:$B$275,MATCH($A235,Polymarket!$A$25:$A$275,0))),"")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4">
        <f>IFERROR(IF(INDEX(Polymarket!$B$25:$B$275,MATCH($A236,Polymarket!$A$25:$A$275,0))=0,"",INDEX(Polymarket!$B$25:$B$275,MATCH($A236,Polymarket!$A$25:$A$275,0))),"")</f>
        <v/>
      </c>
      <c r="H236" s="18">
        <f>IF(AND(ISNUMBER(B236),ISNUMBER(G236)),B236-G236,"")</f>
        <v/>
      </c>
      <c r="I236" s="26" t="inlineStr">
        <is>
          <t>20 Jul</t>
        </is>
      </c>
    </row>
    <row r="237">
      <c r="A237" s="41" t="n">
        <v>46224</v>
      </c>
      <c r="B237" s="28" t="n">
        <v>0.552</v>
      </c>
      <c r="C237" s="28" t="n">
        <v>0.602</v>
      </c>
      <c r="D237" s="28" t="n">
        <v>0.502</v>
      </c>
      <c r="E237" s="28" t="n">
        <v>0.502</v>
      </c>
      <c r="F237" s="28" t="n">
        <v>0.498</v>
      </c>
      <c r="G237" s="105">
        <f>IFERROR(IF(INDEX(Polymarket!$B$25:$B$275,MATCH($A237,Polymarket!$A$25:$A$275,0))=0,"",INDEX(Polymarket!$B$25:$B$275,MATCH($A237,Polymarket!$A$25:$A$275,0))),"")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4">
        <f>IFERROR(IF(INDEX(Polymarket!$B$25:$B$275,MATCH($A238,Polymarket!$A$25:$A$275,0))=0,"",INDEX(Polymarket!$B$25:$B$275,MATCH($A238,Polymarket!$A$25:$A$275,0))),"")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5">
        <f>IFERROR(IF(INDEX(Polymarket!$B$25:$B$275,MATCH($A239,Polymarket!$A$25:$A$275,0))=0,"",INDEX(Polymarket!$B$25:$B$275,MATCH($A239,Polymarket!$A$25:$A$275,0))),"")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4">
        <f>IFERROR(IF(INDEX(Polymarket!$B$25:$B$275,MATCH($A240,Polymarket!$A$25:$A$275,0))=0,"",INDEX(Polymarket!$B$25:$B$275,MATCH($A240,Polymarket!$A$25:$A$275,0))),"")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5">
        <f>IFERROR(IF(INDEX(Polymarket!$B$25:$B$275,MATCH($A241,Polymarket!$A$25:$A$275,0))=0,"",INDEX(Polymarket!$B$25:$B$275,MATCH($A241,Polymarket!$A$25:$A$275,0))),"")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4">
        <f>IFERROR(IF(INDEX(Polymarket!$B$25:$B$275,MATCH($A242,Polymarket!$A$25:$A$275,0))=0,"",INDEX(Polymarket!$B$25:$B$275,MATCH($A242,Polymarket!$A$25:$A$275,0))),"")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5">
        <f>IFERROR(IF(INDEX(Polymarket!$B$25:$B$275,MATCH($A243,Polymarket!$A$25:$A$275,0))=0,"",INDEX(Polymarket!$B$25:$B$275,MATCH($A243,Polymarket!$A$25:$A$275,0))),"")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4">
        <f>IFERROR(IF(INDEX(Polymarket!$B$25:$B$275,MATCH($A244,Polymarket!$A$25:$A$275,0))=0,"",INDEX(Polymarket!$B$25:$B$275,MATCH($A244,Polymarket!$A$25:$A$275,0))),"")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5">
        <f>IFERROR(IF(INDEX(Polymarket!$B$25:$B$275,MATCH($A245,Polymarket!$A$25:$A$275,0))=0,"",INDEX(Polymarket!$B$25:$B$275,MATCH($A245,Polymarket!$A$25:$A$275,0))),"")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4">
        <f>IFERROR(IF(INDEX(Polymarket!$B$25:$B$275,MATCH($A246,Polymarket!$A$25:$A$275,0))=0,"",INDEX(Polymarket!$B$25:$B$275,MATCH($A246,Polymarket!$A$25:$A$275,0))),"")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5">
        <f>IFERROR(IF(INDEX(Polymarket!$B$25:$B$275,MATCH($A247,Polymarket!$A$25:$A$275,0))=0,"",INDEX(Polymarket!$B$25:$B$275,MATCH($A247,Polymarket!$A$25:$A$275,0))),"")</f>
        <v/>
      </c>
      <c r="H247" s="31">
        <f>IF(AND(ISNUMBER(B247),ISNUMBER(G247)),B247-G247,"")</f>
        <v/>
      </c>
      <c r="I247" s="26" t="inlineStr">
        <is>
          <t>31 Jul</t>
        </is>
      </c>
    </row>
    <row r="248">
      <c r="A248" s="39" t="n">
        <v>46235</v>
      </c>
      <c r="B248" s="16" t="n">
        <v>0.5714</v>
      </c>
      <c r="C248" s="16" t="n">
        <v>0.6214</v>
      </c>
      <c r="D248" s="16" t="n">
        <v>0.5214</v>
      </c>
      <c r="E248" s="16" t="n">
        <v>0.503</v>
      </c>
      <c r="F248" s="16" t="n">
        <v>0.498</v>
      </c>
      <c r="G248" s="104">
        <f>IFERROR(IF(INDEX(Polymarket!$B$25:$B$275,MATCH($A248,Polymarket!$A$25:$A$275,0))=0,"",INDEX(Polymarket!$B$25:$B$275,MATCH($A248,Polymarket!$A$25:$A$275,0))),"")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5">
        <f>IFERROR(IF(INDEX(Polymarket!$B$25:$B$275,MATCH($A249,Polymarket!$A$25:$A$275,0))=0,"",INDEX(Polymarket!$B$25:$B$275,MATCH($A249,Polymarket!$A$25:$A$275,0))),"")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4">
        <f>IFERROR(IF(INDEX(Polymarket!$B$25:$B$275,MATCH($A250,Polymarket!$A$25:$A$275,0))=0,"",INDEX(Polymarket!$B$25:$B$275,MATCH($A250,Polymarket!$A$25:$A$275,0))),"")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5">
        <f>IFERROR(IF(INDEX(Polymarket!$B$25:$B$275,MATCH($A251,Polymarket!$A$25:$A$275,0))=0,"",INDEX(Polymarket!$B$25:$B$275,MATCH($A251,Polymarket!$A$25:$A$275,0))),"")</f>
        <v/>
      </c>
      <c r="H251" s="31">
        <f>IF(AND(ISNUMBER(B251),ISNUMBER(G251)),B251-G251,"")</f>
        <v/>
      </c>
      <c r="I251" s="26" t="inlineStr">
        <is>
          <t>04 Aug</t>
        </is>
      </c>
    </row>
    <row r="252">
      <c r="A252" s="39" t="n">
        <v>46239</v>
      </c>
      <c r="B252" s="16" t="n">
        <v>0.573</v>
      </c>
      <c r="C252" s="16" t="n">
        <v>0.623</v>
      </c>
      <c r="D252" s="16" t="n">
        <v>0.523</v>
      </c>
      <c r="E252" s="16" t="n">
        <v>0.503</v>
      </c>
      <c r="F252" s="16" t="n">
        <v>0.498</v>
      </c>
      <c r="G252" s="104">
        <f>IFERROR(IF(INDEX(Polymarket!$B$25:$B$275,MATCH($A252,Polymarket!$A$25:$A$275,0))=0,"",INDEX(Polymarket!$B$25:$B$275,MATCH($A252,Polymarket!$A$25:$A$275,0))),"")</f>
        <v/>
      </c>
      <c r="H252" s="18">
        <f>IF(AND(ISNUMBER(B252),ISNUMBER(G252)),B252-G252,"")</f>
        <v/>
      </c>
      <c r="I252" s="26" t="inlineStr">
        <is>
          <t>05 Aug</t>
        </is>
      </c>
    </row>
    <row r="253">
      <c r="A253" s="41" t="n">
        <v>46240</v>
      </c>
      <c r="B253" s="28" t="n">
        <v>0.5681</v>
      </c>
      <c r="C253" s="28" t="n">
        <v>0.6181</v>
      </c>
      <c r="D253" s="28" t="n">
        <v>0.5181</v>
      </c>
      <c r="E253" s="28" t="n">
        <v>0.503</v>
      </c>
      <c r="F253" s="28" t="n">
        <v>0.498</v>
      </c>
      <c r="G253" s="105">
        <f>IFERROR(IF(INDEX(Polymarket!$B$25:$B$275,MATCH($A253,Polymarket!$A$25:$A$275,0))=0,"",INDEX(Polymarket!$B$25:$B$275,MATCH($A253,Polymarket!$A$25:$A$275,0))),"")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4">
        <f>IFERROR(IF(INDEX(Polymarket!$B$25:$B$275,MATCH($A254,Polymarket!$A$25:$A$275,0))=0,"",INDEX(Polymarket!$B$25:$B$275,MATCH($A254,Polymarket!$A$25:$A$275,0))),"")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5">
        <f>IFERROR(IF(INDEX(Polymarket!$B$25:$B$275,MATCH($A255,Polymarket!$A$25:$A$275,0))=0,"",INDEX(Polymarket!$B$25:$B$275,MATCH($A255,Polymarket!$A$25:$A$275,0))),"")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4">
        <f>IFERROR(IF(INDEX(Polymarket!$B$25:$B$275,MATCH($A256,Polymarket!$A$25:$A$275,0))=0,"",INDEX(Polymarket!$B$25:$B$275,MATCH($A256,Polymarket!$A$25:$A$275,0))),"")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5">
        <f>IFERROR(IF(INDEX(Polymarket!$B$25:$B$275,MATCH($A257,Polymarket!$A$25:$A$275,0))=0,"",INDEX(Polymarket!$B$25:$B$275,MATCH($A257,Polymarket!$A$25:$A$275,0))),"")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4">
        <f>IFERROR(IF(INDEX(Polymarket!$B$25:$B$275,MATCH($A258,Polymarket!$A$25:$A$275,0))=0,"",INDEX(Polymarket!$B$25:$B$275,MATCH($A258,Polymarket!$A$25:$A$275,0))),"")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5">
        <f>IFERROR(IF(INDEX(Polymarket!$B$25:$B$275,MATCH($A259,Polymarket!$A$25:$A$275,0))=0,"",INDEX(Polymarket!$B$25:$B$275,MATCH($A259,Polymarket!$A$25:$A$275,0))),"")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4">
        <f>IFERROR(IF(INDEX(Polymarket!$B$25:$B$275,MATCH($A260,Polymarket!$A$25:$A$275,0))=0,"",INDEX(Polymarket!$B$25:$B$275,MATCH($A260,Polymarket!$A$25:$A$275,0))),"")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5">
        <f>IFERROR(IF(INDEX(Polymarket!$B$25:$B$275,MATCH($A261,Polymarket!$A$25:$A$275,0))=0,"",INDEX(Polymarket!$B$25:$B$275,MATCH($A261,Polymarket!$A$25:$A$275,0))),"")</f>
        <v/>
      </c>
      <c r="H261" s="31">
        <f>IF(AND(ISNUMBER(B261),ISNUMBER(G261)),B261-G261,"")</f>
        <v/>
      </c>
      <c r="I261" s="26" t="inlineStr">
        <is>
          <t>14 Aug</t>
        </is>
      </c>
    </row>
    <row r="262">
      <c r="A262" s="39" t="n">
        <v>46249</v>
      </c>
      <c r="B262" s="16" t="n">
        <v>0.5693</v>
      </c>
      <c r="C262" s="16" t="n">
        <v>0.6193</v>
      </c>
      <c r="D262" s="16" t="n">
        <v>0.5193</v>
      </c>
      <c r="E262" s="16" t="n">
        <v>0.503</v>
      </c>
      <c r="F262" s="16" t="n">
        <v>0.498</v>
      </c>
      <c r="G262" s="104">
        <f>IFERROR(IF(INDEX(Polymarket!$B$25:$B$275,MATCH($A262,Polymarket!$A$25:$A$275,0))=0,"",INDEX(Polymarket!$B$25:$B$275,MATCH($A262,Polymarket!$A$25:$A$275,0))),"")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5">
        <f>IFERROR(IF(INDEX(Polymarket!$B$25:$B$275,MATCH($A263,Polymarket!$A$25:$A$275,0))=0,"",INDEX(Polymarket!$B$25:$B$275,MATCH($A263,Polymarket!$A$25:$A$275,0))),"")</f>
        <v/>
      </c>
      <c r="H263" s="31">
        <f>IF(AND(ISNUMBER(B263),ISNUMBER(G263)),B263-G263,"")</f>
        <v/>
      </c>
      <c r="I263" s="26" t="inlineStr">
        <is>
          <t>16 Aug</t>
        </is>
      </c>
    </row>
    <row r="264">
      <c r="A264" s="39" t="n">
        <v>46251</v>
      </c>
      <c r="B264" s="16" t="n">
        <v>0.5736</v>
      </c>
      <c r="C264" s="16" t="n">
        <v>0.6236</v>
      </c>
      <c r="D264" s="16" t="n">
        <v>0.5236</v>
      </c>
      <c r="E264" s="16" t="n">
        <v>0.503</v>
      </c>
      <c r="F264" s="16" t="n">
        <v>0.498</v>
      </c>
      <c r="G264" s="104">
        <f>IFERROR(IF(INDEX(Polymarket!$B$25:$B$275,MATCH($A264,Polymarket!$A$25:$A$275,0))=0,"",INDEX(Polymarket!$B$25:$B$275,MATCH($A264,Polymarket!$A$25:$A$275,0))),"")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5">
        <f>IFERROR(IF(INDEX(Polymarket!$B$25:$B$275,MATCH($A265,Polymarket!$A$25:$A$275,0))=0,"",INDEX(Polymarket!$B$25:$B$275,MATCH($A265,Polymarket!$A$25:$A$275,0))),"")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4">
        <f>IFERROR(IF(INDEX(Polymarket!$B$25:$B$275,MATCH($A266,Polymarket!$A$25:$A$275,0))=0,"",INDEX(Polymarket!$B$25:$B$275,MATCH($A266,Polymarket!$A$25:$A$275,0))),"")</f>
        <v/>
      </c>
      <c r="H266" s="18">
        <f>IF(AND(ISNUMBER(B266),ISNUMBER(G266)),B266-G266,"")</f>
        <v/>
      </c>
      <c r="I266" s="26" t="inlineStr">
        <is>
          <t>19 Aug</t>
        </is>
      </c>
    </row>
    <row r="267" ht="26" customHeight="1">
      <c r="A267" s="102"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4">
        <f>Kalshi!E17</f>
        <v/>
      </c>
      <c r="E271" s="106">
        <f>IFERROR(B271-D271,"")</f>
        <v/>
      </c>
      <c r="F271" s="26" t="inlineStr">
        <is>
          <t>not stated</t>
        </is>
      </c>
    </row>
    <row r="272" ht="26" customHeight="1">
      <c r="A272" s="102"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102"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102" t="inlineStr">
        <is>
          <t>• No 'as of' or last-updated timestamp is shown for the PA-07 odds specifically; only a generic sitewide claim of 30-minute refresh cadence.</t>
        </is>
      </c>
    </row>
    <row r="275">
      <c r="A275" s="102" t="inlineStr">
        <is>
          <t>• No historical odds chart, sparkline, or time series is published for this race (or any race) on the site.</t>
        </is>
      </c>
    </row>
    <row r="276" ht="26" customHeight="1">
      <c r="A276" s="102" t="inlineStr">
        <is>
          <t>• No PA-07-specific polling exists anywhere on the site. The dedicated /prediction-markets/polls page contains only Pennsylvania Governor race polls (Shapiro vs. Garrity); it has zero mentions of Brooks, Mackenzie, or PA-07.</t>
        </is>
      </c>
    </row>
    <row r="277">
      <c r="A277" s="102" t="inlineStr">
        <is>
          <t>• No formal race rating/handicapping (e.g., Cook Political Report, Sabato's Crystal Ball, Inside Elections) is cited for PA-07 anywhere on the site.</t>
        </is>
      </c>
    </row>
    <row r="278" ht="26" customHeight="1">
      <c r="A278" s="107"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2026-09-14 21:26 UTC.</t>
        </is>
      </c>
    </row>
    <row r="4">
      <c r="A4" s="3" t="inlineStr">
        <is>
          <t>COVERAGE</t>
        </is>
      </c>
      <c r="B4" s="4" t="n"/>
      <c r="C4" s="4" t="n"/>
      <c r="D4" s="4" t="n"/>
      <c r="E4" s="4" t="n"/>
      <c r="F4" s="4" t="n"/>
      <c r="G4" s="4" t="n"/>
      <c r="H4" s="4" t="n"/>
      <c r="I4" s="4" t="n"/>
    </row>
    <row r="5">
      <c r="A5" s="6" t="inlineStr">
        <is>
          <t>Figures current through</t>
        </is>
      </c>
      <c r="B5" s="108"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9" t="inlineStr">
        <is>
          <t>never filed</t>
        </is>
      </c>
      <c r="I12" s="26" t="inlineStr">
        <is>
          <t>—</t>
        </is>
      </c>
    </row>
    <row r="13">
      <c r="A13" s="15" t="inlineStr">
        <is>
          <t>Aiden Alexander Gonzalez</t>
        </is>
      </c>
      <c r="B13" s="26" t="inlineStr">
        <is>
          <t>DEM</t>
        </is>
      </c>
      <c r="C13" s="19" t="n"/>
      <c r="D13" s="19" t="n"/>
      <c r="E13" s="19" t="n"/>
      <c r="F13" s="19" t="n"/>
      <c r="G13" s="19" t="n"/>
      <c r="H13" s="109" t="inlineStr">
        <is>
          <t>never filed</t>
        </is>
      </c>
      <c r="I13" s="26" t="inlineStr">
        <is>
          <t>—</t>
        </is>
      </c>
    </row>
    <row r="14">
      <c r="A14" s="6" t="inlineStr">
        <is>
          <t>Michael Ramon Granados Jr.</t>
        </is>
      </c>
      <c r="B14" s="26" t="inlineStr">
        <is>
          <t>IND</t>
        </is>
      </c>
      <c r="C14" s="19" t="n"/>
      <c r="D14" s="19" t="n"/>
      <c r="E14" s="19" t="n"/>
      <c r="F14" s="19" t="n"/>
      <c r="G14" s="19" t="n"/>
      <c r="H14" s="109" t="inlineStr">
        <is>
          <t>never filed</t>
        </is>
      </c>
      <c r="I14" s="26" t="inlineStr">
        <is>
          <t>—</t>
        </is>
      </c>
    </row>
    <row r="15">
      <c r="A15" s="6" t="inlineStr">
        <is>
          <t>Lewis Shupe</t>
        </is>
      </c>
      <c r="B15" s="26" t="inlineStr">
        <is>
          <t>IND</t>
        </is>
      </c>
      <c r="C15" s="19" t="n"/>
      <c r="D15" s="19" t="n"/>
      <c r="E15" s="19" t="n"/>
      <c r="F15" s="19" t="n"/>
      <c r="G15" s="19" t="n"/>
      <c r="H15" s="109"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10">
        <f>IFERROR(INDEX($E$10:$E$15,MATCH("Bob Brooks",$A$10:$A$15,0))-INDEX($E$10:$E$15,MATCH("Ryan Mackenzie",$A$10:$A$15,0)),"")</f>
        <v/>
      </c>
      <c r="D19" s="2" t="inlineStr">
        <is>
          <t>Negative means the Republican holds more cash.</t>
        </is>
      </c>
    </row>
    <row r="20">
      <c r="A20" s="6" t="inlineStr">
        <is>
          <t>Combined receipts</t>
        </is>
      </c>
      <c r="B20" s="111">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12" t="inlineStr">
        <is>
          <t>Support</t>
        </is>
      </c>
      <c r="C25" s="19" t="n">
        <v>140300</v>
      </c>
      <c r="D25" s="26" t="inlineStr">
        <is>
          <t>CONGRESSIONAL PROGRESSIVE CAUCUS PAC</t>
        </is>
      </c>
      <c r="E25" s="26" t="inlineStr">
        <is>
          <t>2026-06-30</t>
        </is>
      </c>
    </row>
    <row r="26">
      <c r="A26" s="6" t="inlineStr">
        <is>
          <t>Bob Brooks</t>
        </is>
      </c>
      <c r="B26" s="112" t="inlineStr">
        <is>
          <t>Support</t>
        </is>
      </c>
      <c r="C26" s="19" t="n">
        <v>3556.19</v>
      </c>
      <c r="D26" s="26" t="inlineStr">
        <is>
          <t>WORKING FAMILIES PARTY PAC</t>
        </is>
      </c>
      <c r="E26" s="26" t="inlineStr">
        <is>
          <t>2026-06-30</t>
        </is>
      </c>
    </row>
    <row r="27">
      <c r="A27" s="6" t="inlineStr">
        <is>
          <t>Bob Brooks</t>
        </is>
      </c>
      <c r="B27" s="112" t="inlineStr">
        <is>
          <t>Support</t>
        </is>
      </c>
      <c r="C27" s="19" t="n">
        <v>157.07</v>
      </c>
      <c r="D27" s="26" t="inlineStr">
        <is>
          <t>RURAL FREEDOM NETWORK</t>
        </is>
      </c>
      <c r="E27" s="26" t="inlineStr">
        <is>
          <t>2026-06-30</t>
        </is>
      </c>
    </row>
    <row r="28">
      <c r="A28" s="6" t="inlineStr">
        <is>
          <t>Bob Brooks</t>
        </is>
      </c>
      <c r="B28" s="112" t="inlineStr">
        <is>
          <t>Support</t>
        </is>
      </c>
      <c r="C28" s="19" t="n">
        <v>4500</v>
      </c>
      <c r="D28" s="26" t="inlineStr">
        <is>
          <t>FF PAC</t>
        </is>
      </c>
      <c r="E28" s="26" t="inlineStr">
        <is>
          <t>2026-06-30</t>
        </is>
      </c>
    </row>
    <row r="29">
      <c r="A29" s="6" t="inlineStr">
        <is>
          <t>Bob Brooks</t>
        </is>
      </c>
      <c r="B29" s="112" t="inlineStr">
        <is>
          <t>Support</t>
        </is>
      </c>
      <c r="C29" s="19" t="n">
        <v>99625</v>
      </c>
      <c r="D29" s="26" t="inlineStr">
        <is>
          <t>MEDICARE FOR ALL</t>
        </is>
      </c>
      <c r="E29" s="26" t="inlineStr">
        <is>
          <t>2026-06-30</t>
        </is>
      </c>
    </row>
    <row r="30">
      <c r="A30" s="6" t="inlineStr">
        <is>
          <t>Bob Brooks</t>
        </is>
      </c>
      <c r="B30" s="112" t="inlineStr">
        <is>
          <t>Support</t>
        </is>
      </c>
      <c r="C30" s="19" t="n">
        <v>30559.95</v>
      </c>
      <c r="D30" s="26" t="inlineStr">
        <is>
          <t>MAKE THE ROAD ACTION POLITICAL COMMITTEE</t>
        </is>
      </c>
      <c r="E30" s="26" t="inlineStr">
        <is>
          <t>2026-06-30</t>
        </is>
      </c>
    </row>
    <row r="31">
      <c r="A31" s="6" t="inlineStr">
        <is>
          <t>Bob Brooks</t>
        </is>
      </c>
      <c r="B31" s="112" t="inlineStr">
        <is>
          <t>Support</t>
        </is>
      </c>
      <c r="C31" s="19" t="n">
        <v>9116.67</v>
      </c>
      <c r="D31" s="26" t="inlineStr">
        <is>
          <t>BLUE BATTLEGROUND PROJECT</t>
        </is>
      </c>
      <c r="E31" s="26" t="inlineStr">
        <is>
          <t>2026-06-30</t>
        </is>
      </c>
    </row>
    <row r="32">
      <c r="A32" s="6" t="inlineStr">
        <is>
          <t>Bob Brooks</t>
        </is>
      </c>
      <c r="B32" s="112" t="inlineStr">
        <is>
          <t>Support</t>
        </is>
      </c>
      <c r="C32" s="19" t="n">
        <v>187.51</v>
      </c>
      <c r="D32" s="26" t="inlineStr">
        <is>
          <t>SURJ PAC</t>
        </is>
      </c>
      <c r="E32" s="26" t="inlineStr">
        <is>
          <t>2026-06-30</t>
        </is>
      </c>
    </row>
    <row r="33">
      <c r="A33" s="6" t="inlineStr">
        <is>
          <t>Bob Brooks</t>
        </is>
      </c>
      <c r="B33" s="112" t="inlineStr">
        <is>
          <t>Support</t>
        </is>
      </c>
      <c r="C33" s="19" t="n">
        <v>50</v>
      </c>
      <c r="D33" s="26" t="inlineStr">
        <is>
          <t>THE PEOPLE UNITED PAC</t>
        </is>
      </c>
      <c r="E33" s="26" t="inlineStr">
        <is>
          <t>2026-06-30</t>
        </is>
      </c>
    </row>
    <row r="34">
      <c r="A34" s="6" t="inlineStr">
        <is>
          <t>Bob Brooks</t>
        </is>
      </c>
      <c r="B34" s="112" t="inlineStr">
        <is>
          <t>Support</t>
        </is>
      </c>
      <c r="C34" s="19" t="n">
        <v>36.54</v>
      </c>
      <c r="D34" s="26" t="inlineStr">
        <is>
          <t>GIVEGREEN UNITED ACTION</t>
        </is>
      </c>
      <c r="E34" s="26" t="inlineStr">
        <is>
          <t>2026-06-30</t>
        </is>
      </c>
    </row>
    <row r="35">
      <c r="A35" s="6" t="inlineStr">
        <is>
          <t>Bob Brooks</t>
        </is>
      </c>
      <c r="B35" s="112" t="inlineStr">
        <is>
          <t>Support</t>
        </is>
      </c>
      <c r="C35" s="19" t="n">
        <v>88321.5</v>
      </c>
      <c r="D35" s="26" t="inlineStr">
        <is>
          <t>DLP PAC</t>
        </is>
      </c>
      <c r="E35" s="26" t="inlineStr">
        <is>
          <t>2026-06-30</t>
        </is>
      </c>
    </row>
    <row r="36">
      <c r="A36" s="6" t="inlineStr">
        <is>
          <t>Bob Brooks</t>
        </is>
      </c>
      <c r="B36" s="112" t="inlineStr">
        <is>
          <t>Support</t>
        </is>
      </c>
      <c r="C36" s="19" t="n">
        <v>16643.34</v>
      </c>
      <c r="D36" s="26" t="inlineStr">
        <is>
          <t>BLUE MAJORITY PROJECT</t>
        </is>
      </c>
      <c r="E36" s="26" t="inlineStr">
        <is>
          <t>2026-06-30</t>
        </is>
      </c>
    </row>
    <row r="37">
      <c r="A37" s="6" t="inlineStr">
        <is>
          <t>Bob Brooks</t>
        </is>
      </c>
      <c r="B37" s="112" t="inlineStr">
        <is>
          <t>Support</t>
        </is>
      </c>
      <c r="C37" s="19" t="n">
        <v>638.3</v>
      </c>
      <c r="D37" s="26" t="inlineStr">
        <is>
          <t>FIELD TEAM 6, INC.</t>
        </is>
      </c>
      <c r="E37" s="26" t="inlineStr">
        <is>
          <t>2026-06-30</t>
        </is>
      </c>
    </row>
    <row r="38">
      <c r="A38" s="6" t="inlineStr">
        <is>
          <t>Bob Brooks</t>
        </is>
      </c>
      <c r="B38" s="113" t="inlineStr">
        <is>
          <t>Oppose</t>
        </is>
      </c>
      <c r="C38" s="19" t="n">
        <v>8840</v>
      </c>
      <c r="D38" s="26" t="inlineStr">
        <is>
          <t>KITCHEN TABLE VALUES PAC</t>
        </is>
      </c>
      <c r="E38" s="26" t="inlineStr">
        <is>
          <t>2026-06-30</t>
        </is>
      </c>
    </row>
    <row r="39">
      <c r="A39" s="6" t="inlineStr">
        <is>
          <t>Bob Brooks</t>
        </is>
      </c>
      <c r="B39" s="112" t="inlineStr">
        <is>
          <t>Support</t>
        </is>
      </c>
      <c r="C39" s="19" t="n">
        <v>249750</v>
      </c>
      <c r="D39" s="26" t="inlineStr">
        <is>
          <t>JOBS AND DEMOCRACY PAC</t>
        </is>
      </c>
      <c r="E39" s="26" t="inlineStr">
        <is>
          <t>2026-06-30</t>
        </is>
      </c>
    </row>
    <row r="40">
      <c r="A40" s="6" t="inlineStr">
        <is>
          <t>Bob Brooks</t>
        </is>
      </c>
      <c r="B40" s="112" t="inlineStr">
        <is>
          <t>Support</t>
        </is>
      </c>
      <c r="C40" s="19" t="n">
        <v>4708.33</v>
      </c>
      <c r="D40" s="26" t="inlineStr">
        <is>
          <t>BLUE SHIFT PAC</t>
        </is>
      </c>
      <c r="E40" s="26" t="inlineStr">
        <is>
          <t>2026-06-30</t>
        </is>
      </c>
    </row>
    <row r="41">
      <c r="A41" s="6" t="inlineStr">
        <is>
          <t>Bob Brooks</t>
        </is>
      </c>
      <c r="B41" s="112" t="inlineStr">
        <is>
          <t>Support</t>
        </is>
      </c>
      <c r="C41" s="19" t="n">
        <v>1075</v>
      </c>
      <c r="D41" s="26" t="inlineStr">
        <is>
          <t>BLUE DEMOCRACY NETWORK</t>
        </is>
      </c>
      <c r="E41" s="26" t="inlineStr">
        <is>
          <t>2026-06-30</t>
        </is>
      </c>
    </row>
    <row r="42">
      <c r="A42" s="6" t="inlineStr">
        <is>
          <t>Bob Brooks</t>
        </is>
      </c>
      <c r="B42" s="112" t="inlineStr">
        <is>
          <t>Support</t>
        </is>
      </c>
      <c r="C42" s="19" t="n">
        <v>2600</v>
      </c>
      <c r="D42" s="26" t="inlineStr">
        <is>
          <t>DEMOCRATIC FUTURE PAC</t>
        </is>
      </c>
      <c r="E42" s="26" t="inlineStr">
        <is>
          <t>2026-06-30</t>
        </is>
      </c>
    </row>
    <row r="43">
      <c r="A43" s="6" t="inlineStr">
        <is>
          <t>Bob Brooks</t>
        </is>
      </c>
      <c r="B43" s="112" t="inlineStr">
        <is>
          <t>Support</t>
        </is>
      </c>
      <c r="C43" s="19" t="n">
        <v>1781524</v>
      </c>
      <c r="D43" s="26" t="inlineStr">
        <is>
          <t>STRONGER TOGETHER PA</t>
        </is>
      </c>
      <c r="E43" s="26" t="inlineStr">
        <is>
          <t>2026-06-30</t>
        </is>
      </c>
    </row>
    <row r="44">
      <c r="A44" s="6" t="inlineStr">
        <is>
          <t>Bob Brooks</t>
        </is>
      </c>
      <c r="B44" s="112" t="inlineStr">
        <is>
          <t>Support</t>
        </is>
      </c>
      <c r="C44" s="19" t="n">
        <v>4941.66</v>
      </c>
      <c r="D44" s="26" t="inlineStr">
        <is>
          <t>MAJORITY BLUE PAC</t>
        </is>
      </c>
      <c r="E44" s="26" t="inlineStr">
        <is>
          <t>2026-06-30</t>
        </is>
      </c>
    </row>
    <row r="45">
      <c r="A45" s="6" t="inlineStr">
        <is>
          <t>Bob Brooks</t>
        </is>
      </c>
      <c r="B45" s="112" t="inlineStr">
        <is>
          <t>Support</t>
        </is>
      </c>
      <c r="C45" s="19" t="n">
        <v>766.66</v>
      </c>
      <c r="D45" s="26" t="inlineStr">
        <is>
          <t>BLUE MAJORITY MAKERS PAC</t>
        </is>
      </c>
      <c r="E45" s="26" t="inlineStr">
        <is>
          <t>2026-06-30</t>
        </is>
      </c>
    </row>
    <row r="46">
      <c r="A46" s="6" t="inlineStr">
        <is>
          <t>Bob Brooks</t>
        </is>
      </c>
      <c r="B46" s="113" t="inlineStr">
        <is>
          <t>Oppose</t>
        </is>
      </c>
      <c r="C46" s="19" t="n">
        <v>312371.76</v>
      </c>
      <c r="D46" s="26" t="inlineStr">
        <is>
          <t>LEAD LEFT PAC</t>
        </is>
      </c>
      <c r="E46" s="26" t="inlineStr">
        <is>
          <t>2026-06-30</t>
        </is>
      </c>
    </row>
    <row r="47">
      <c r="A47" s="6" t="inlineStr">
        <is>
          <t>Ryan Mackenzie</t>
        </is>
      </c>
      <c r="B47" s="113" t="inlineStr">
        <is>
          <t>Oppose</t>
        </is>
      </c>
      <c r="C47" s="19" t="n">
        <v>156.81</v>
      </c>
      <c r="D47" s="26" t="inlineStr">
        <is>
          <t>PLANNED PARENTHOOD VOTES</t>
        </is>
      </c>
      <c r="E47" s="26" t="inlineStr">
        <is>
          <t>2026-06-30</t>
        </is>
      </c>
    </row>
    <row r="48">
      <c r="A48" s="6" t="inlineStr">
        <is>
          <t>Ryan Mackenzie</t>
        </is>
      </c>
      <c r="B48" s="113" t="inlineStr">
        <is>
          <t>Oppose</t>
        </is>
      </c>
      <c r="C48" s="19" t="n">
        <v>1702.29</v>
      </c>
      <c r="D48" s="26" t="inlineStr">
        <is>
          <t>ACTIVATE AMERICA</t>
        </is>
      </c>
      <c r="E48" s="26" t="inlineStr">
        <is>
          <t>2026-06-30</t>
        </is>
      </c>
    </row>
    <row r="49">
      <c r="A49" s="6" t="inlineStr">
        <is>
          <t>Ryan Mackenzie</t>
        </is>
      </c>
      <c r="B49" s="113" t="inlineStr">
        <is>
          <t>Oppose</t>
        </is>
      </c>
      <c r="C49" s="19" t="n">
        <v>1517.06</v>
      </c>
      <c r="D49" s="26" t="inlineStr">
        <is>
          <t>RURAL FREEDOM NETWORK</t>
        </is>
      </c>
      <c r="E49" s="26" t="inlineStr">
        <is>
          <t>2026-06-30</t>
        </is>
      </c>
    </row>
    <row r="50">
      <c r="A50" s="6" t="inlineStr">
        <is>
          <t>Ryan Mackenzie</t>
        </is>
      </c>
      <c r="B50" s="113" t="inlineStr">
        <is>
          <t>Oppose</t>
        </is>
      </c>
      <c r="C50" s="19" t="n">
        <v>6044</v>
      </c>
      <c r="D50" s="26" t="inlineStr">
        <is>
          <t>YOUTH SAVE DEMOCRACY PAC</t>
        </is>
      </c>
      <c r="E50" s="26" t="inlineStr">
        <is>
          <t>2026-06-30</t>
        </is>
      </c>
    </row>
    <row r="51">
      <c r="A51" s="6" t="inlineStr">
        <is>
          <t>Ryan Mackenzie</t>
        </is>
      </c>
      <c r="B51" s="113" t="inlineStr">
        <is>
          <t>Oppose</t>
        </is>
      </c>
      <c r="C51" s="19" t="n">
        <v>1835.77</v>
      </c>
      <c r="D51" s="26" t="inlineStr">
        <is>
          <t>INDIGO PAC</t>
        </is>
      </c>
      <c r="E51" s="26" t="inlineStr">
        <is>
          <t>2026-06-30</t>
        </is>
      </c>
    </row>
    <row r="52">
      <c r="A52" s="6" t="inlineStr">
        <is>
          <t>Ryan Mackenzie</t>
        </is>
      </c>
      <c r="B52" s="113" t="inlineStr">
        <is>
          <t>Oppose</t>
        </is>
      </c>
      <c r="C52" s="19" t="n">
        <v>1096.69</v>
      </c>
      <c r="D52" s="26" t="inlineStr">
        <is>
          <t>FIELD TEAM 6, INC.</t>
        </is>
      </c>
      <c r="E52" s="26" t="inlineStr">
        <is>
          <t>2026-06-30</t>
        </is>
      </c>
    </row>
    <row r="53">
      <c r="A53" s="6" t="inlineStr">
        <is>
          <t>Bob Brooks</t>
        </is>
      </c>
      <c r="B53" s="112"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102"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102"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102"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102"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102"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102"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102" t="inlineStr">
        <is>
          <t>• Ryan Mackenzie (R) is the incumbent, having defeated then-Rep. Susan Wild (D) in 2024; Wild is not a 2026 candidate (FEC candidate_status = prior-cycle candidate, H8PA15229).</t>
        </is>
      </c>
    </row>
    <row r="66" ht="52" customHeight="1">
      <c r="A66" s="102"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102"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102" t="inlineStr">
        <is>
          <t>• No independent expenditures supporting Ryan Mackenzie were found in FEC records as of retrieval; all $12,352.62 in IE activity referencing him was in opposition (mostly small-dollar and primary-period).</t>
        </is>
      </c>
    </row>
    <row r="69">
      <c r="A69" s="102" t="inlineStr">
        <is>
          <t>• No independent expenditure activity was found for the four no-fundraising minor/independent candidates (Golden, Gonzalez, Granados, Shupe).</t>
        </is>
      </c>
    </row>
    <row r="70" ht="91" customHeight="1">
      <c r="A70" s="114"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65"/>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2026-09-14 21:26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6">
        <f>B5-B6</f>
        <v/>
      </c>
    </row>
    <row r="8">
      <c r="A8" s="6" t="inlineStr">
        <is>
          <t>Mean absolute divergence (overlap)</t>
        </is>
      </c>
      <c r="B8" s="17">
        <f>IFERROR(AVERAGE(E15:E265),"")</f>
        <v/>
      </c>
    </row>
    <row r="9">
      <c r="A9" s="6" t="inlineStr">
        <is>
          <t>Max absolute divergence</t>
        </is>
      </c>
      <c r="B9" s="17">
        <f>IFERROR(MAX(E15:E265),"")</f>
        <v/>
      </c>
    </row>
    <row r="10">
      <c r="A10" s="6" t="inlineStr">
        <is>
          <t>Overlapping days</t>
        </is>
      </c>
      <c r="B10" s="40">
        <f>COUNT(D15:D265)</f>
        <v/>
      </c>
    </row>
    <row r="11">
      <c r="A11" s="6" t="inlineStr">
        <is>
          <t>Days listed but not comparable</t>
        </is>
      </c>
      <c r="B11" s="40">
        <f>COUNT(A15:A265)-COUNT(D15:D265)</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4">
        <f>IFERROR(IF(INDEX(Polymarket!$B$25:$B$275,MATCH($A15,Polymarket!$A$25:$A$275,0))=0,"",INDEX(Polymarket!$B$25:$B$275,MATCH($A15,Polymarket!$A$25:$A$275,0))),"")</f>
        <v/>
      </c>
      <c r="C15" s="104">
        <f>IFERROR(IF(INDEX(Kalshi!$D$31:$D$458,MATCH($A15,Kalshi!$A$31:$A$458,0))=0,"",INDEX(Kalshi!$D$31:$D$458,MATCH($A15,Kalshi!$A$31:$A$458,0))),"")</f>
        <v/>
      </c>
      <c r="D15" s="18">
        <f>IF(AND(ISNUMBER(B15),ISNUMBER(C15)),B15-C15,"")</f>
        <v/>
      </c>
      <c r="E15" s="17">
        <f>IF(ISNUMBER(D15),ABS(D15),"")</f>
        <v/>
      </c>
      <c r="F15" s="104">
        <f>IFERROR(IF(INDEX(Polymarket!$C$25:$C$275,MATCH($A15,Polymarket!$A$25:$A$275,0))=0,"",INDEX(Polymarket!$C$25:$C$275,MATCH($A15,Polymarket!$A$25:$A$275,0))),"")</f>
        <v/>
      </c>
      <c r="G15" s="104">
        <f>IFERROR(IF(INDEX(Kalshi!$G$31:$G$458,MATCH($A15,Kalshi!$A$31:$A$458,0))=0,"",INDEX(Kalshi!$G$31:$G$458,MATCH($A15,Kalshi!$A$31:$A$458,0))),"")</f>
        <v/>
      </c>
      <c r="H15" s="20">
        <f>IF(AND(ISNUMBER(B15),ISNUMBER(C15)),MIN(B15,C15),"")</f>
        <v/>
      </c>
      <c r="I15" s="20">
        <f>IF(AND(ISNUMBER(F15),ISNUMBER(G15)),MIN(F15,G15),"")</f>
        <v/>
      </c>
      <c r="J15" s="17">
        <f>IF(AND(ISNUMBER(H15),ISNUMBER(I15)),H15+I15,"")</f>
        <v/>
      </c>
      <c r="K15" s="16" t="n">
        <v>0.5</v>
      </c>
      <c r="L15" s="26" t="inlineStr">
        <is>
          <t>17 Dec</t>
        </is>
      </c>
    </row>
    <row r="16">
      <c r="A16" s="41" t="n">
        <v>46009</v>
      </c>
      <c r="B16" s="105">
        <f>IFERROR(IF(INDEX(Polymarket!$B$25:$B$275,MATCH($A16,Polymarket!$A$25:$A$275,0))=0,"",INDEX(Polymarket!$B$25:$B$275,MATCH($A16,Polymarket!$A$25:$A$275,0))),"")</f>
        <v/>
      </c>
      <c r="C16" s="105">
        <f>IFERROR(IF(INDEX(Kalshi!$D$31:$D$458,MATCH($A16,Kalshi!$A$31:$A$458,0))=0,"",INDEX(Kalshi!$D$31:$D$458,MATCH($A16,Kalshi!$A$31:$A$458,0))),"")</f>
        <v/>
      </c>
      <c r="D16" s="31">
        <f>IF(AND(ISNUMBER(B16),ISNUMBER(C16)),B16-C16,"")</f>
        <v/>
      </c>
      <c r="E16" s="29">
        <f>IF(ISNUMBER(D16),ABS(D16),"")</f>
        <v/>
      </c>
      <c r="F16" s="105">
        <f>IFERROR(IF(INDEX(Polymarket!$C$25:$C$275,MATCH($A16,Polymarket!$A$25:$A$275,0))=0,"",INDEX(Polymarket!$C$25:$C$275,MATCH($A16,Polymarket!$A$25:$A$275,0))),"")</f>
        <v/>
      </c>
      <c r="G16" s="105">
        <f>IFERROR(IF(INDEX(Kalshi!$G$31:$G$458,MATCH($A16,Kalshi!$A$31:$A$458,0))=0,"",INDEX(Kalshi!$G$31:$G$458,MATCH($A16,Kalshi!$A$31:$A$458,0))),"")</f>
        <v/>
      </c>
      <c r="H16" s="30">
        <f>IF(AND(ISNUMBER(B16),ISNUMBER(C16)),MIN(B16,C16),"")</f>
        <v/>
      </c>
      <c r="I16" s="30">
        <f>IF(AND(ISNUMBER(F16),ISNUMBER(G16)),MIN(F16,G16),"")</f>
        <v/>
      </c>
      <c r="J16" s="29">
        <f>IF(AND(ISNUMBER(H16),ISNUMBER(I16)),H16+I16,"")</f>
        <v/>
      </c>
      <c r="K16" s="28" t="n">
        <v>0.5</v>
      </c>
      <c r="L16" s="38" t="inlineStr">
        <is>
          <t>18 Dec</t>
        </is>
      </c>
    </row>
    <row r="17">
      <c r="A17" s="39" t="n">
        <v>46010</v>
      </c>
      <c r="B17" s="104">
        <f>IFERROR(IF(INDEX(Polymarket!$B$25:$B$275,MATCH($A17,Polymarket!$A$25:$A$275,0))=0,"",INDEX(Polymarket!$B$25:$B$275,MATCH($A17,Polymarket!$A$25:$A$275,0))),"")</f>
        <v/>
      </c>
      <c r="C17" s="104">
        <f>IFERROR(IF(INDEX(Kalshi!$D$31:$D$458,MATCH($A17,Kalshi!$A$31:$A$458,0))=0,"",INDEX(Kalshi!$D$31:$D$458,MATCH($A17,Kalshi!$A$31:$A$458,0))),"")</f>
        <v/>
      </c>
      <c r="D17" s="18">
        <f>IF(AND(ISNUMBER(B17),ISNUMBER(C17)),B17-C17,"")</f>
        <v/>
      </c>
      <c r="E17" s="17">
        <f>IF(ISNUMBER(D17),ABS(D17),"")</f>
        <v/>
      </c>
      <c r="F17" s="104">
        <f>IFERROR(IF(INDEX(Polymarket!$C$25:$C$275,MATCH($A17,Polymarket!$A$25:$A$275,0))=0,"",INDEX(Polymarket!$C$25:$C$275,MATCH($A17,Polymarket!$A$25:$A$275,0))),"")</f>
        <v/>
      </c>
      <c r="G17" s="104">
        <f>IFERROR(IF(INDEX(Kalshi!$G$31:$G$458,MATCH($A17,Kalshi!$A$31:$A$458,0))=0,"",INDEX(Kalshi!$G$31:$G$458,MATCH($A17,Kalshi!$A$31:$A$458,0))),"")</f>
        <v/>
      </c>
      <c r="H17" s="20">
        <f>IF(AND(ISNUMBER(B17),ISNUMBER(C17)),MIN(B17,C17),"")</f>
        <v/>
      </c>
      <c r="I17" s="20">
        <f>IF(AND(ISNUMBER(F17),ISNUMBER(G17)),MIN(F17,G17),"")</f>
        <v/>
      </c>
      <c r="J17" s="17">
        <f>IF(AND(ISNUMBER(H17),ISNUMBER(I17)),H17+I17,"")</f>
        <v/>
      </c>
      <c r="K17" s="16" t="n">
        <v>0.5</v>
      </c>
      <c r="L17" s="26" t="inlineStr">
        <is>
          <t>19 Dec</t>
        </is>
      </c>
    </row>
    <row r="18">
      <c r="A18" s="41" t="n">
        <v>46011</v>
      </c>
      <c r="B18" s="105">
        <f>IFERROR(IF(INDEX(Polymarket!$B$25:$B$275,MATCH($A18,Polymarket!$A$25:$A$275,0))=0,"",INDEX(Polymarket!$B$25:$B$275,MATCH($A18,Polymarket!$A$25:$A$275,0))),"")</f>
        <v/>
      </c>
      <c r="C18" s="105">
        <f>IFERROR(IF(INDEX(Kalshi!$D$31:$D$458,MATCH($A18,Kalshi!$A$31:$A$458,0))=0,"",INDEX(Kalshi!$D$31:$D$458,MATCH($A18,Kalshi!$A$31:$A$458,0))),"")</f>
        <v/>
      </c>
      <c r="D18" s="31">
        <f>IF(AND(ISNUMBER(B18),ISNUMBER(C18)),B18-C18,"")</f>
        <v/>
      </c>
      <c r="E18" s="29">
        <f>IF(ISNUMBER(D18),ABS(D18),"")</f>
        <v/>
      </c>
      <c r="F18" s="105">
        <f>IFERROR(IF(INDEX(Polymarket!$C$25:$C$275,MATCH($A18,Polymarket!$A$25:$A$275,0))=0,"",INDEX(Polymarket!$C$25:$C$275,MATCH($A18,Polymarket!$A$25:$A$275,0))),"")</f>
        <v/>
      </c>
      <c r="G18" s="105">
        <f>IFERROR(IF(INDEX(Kalshi!$G$31:$G$458,MATCH($A18,Kalshi!$A$31:$A$458,0))=0,"",INDEX(Kalshi!$G$31:$G$458,MATCH($A18,Kalshi!$A$31:$A$458,0))),"")</f>
        <v/>
      </c>
      <c r="H18" s="30">
        <f>IF(AND(ISNUMBER(B18),ISNUMBER(C18)),MIN(B18,C18),"")</f>
        <v/>
      </c>
      <c r="I18" s="30">
        <f>IF(AND(ISNUMBER(F18),ISNUMBER(G18)),MIN(F18,G18),"")</f>
        <v/>
      </c>
      <c r="J18" s="29">
        <f>IF(AND(ISNUMBER(H18),ISNUMBER(I18)),H18+I18,"")</f>
        <v/>
      </c>
      <c r="K18" s="28" t="n">
        <v>0.5</v>
      </c>
      <c r="L18" s="38" t="inlineStr">
        <is>
          <t>20 Dec</t>
        </is>
      </c>
    </row>
    <row r="19">
      <c r="A19" s="39" t="n">
        <v>46012</v>
      </c>
      <c r="B19" s="104">
        <f>IFERROR(IF(INDEX(Polymarket!$B$25:$B$275,MATCH($A19,Polymarket!$A$25:$A$275,0))=0,"",INDEX(Polymarket!$B$25:$B$275,MATCH($A19,Polymarket!$A$25:$A$275,0))),"")</f>
        <v/>
      </c>
      <c r="C19" s="104">
        <f>IFERROR(IF(INDEX(Kalshi!$D$31:$D$458,MATCH($A19,Kalshi!$A$31:$A$458,0))=0,"",INDEX(Kalshi!$D$31:$D$458,MATCH($A19,Kalshi!$A$31:$A$458,0))),"")</f>
        <v/>
      </c>
      <c r="D19" s="18">
        <f>IF(AND(ISNUMBER(B19),ISNUMBER(C19)),B19-C19,"")</f>
        <v/>
      </c>
      <c r="E19" s="17">
        <f>IF(ISNUMBER(D19),ABS(D19),"")</f>
        <v/>
      </c>
      <c r="F19" s="104">
        <f>IFERROR(IF(INDEX(Polymarket!$C$25:$C$275,MATCH($A19,Polymarket!$A$25:$A$275,0))=0,"",INDEX(Polymarket!$C$25:$C$275,MATCH($A19,Polymarket!$A$25:$A$275,0))),"")</f>
        <v/>
      </c>
      <c r="G19" s="104">
        <f>IFERROR(IF(INDEX(Kalshi!$G$31:$G$458,MATCH($A19,Kalshi!$A$31:$A$458,0))=0,"",INDEX(Kalshi!$G$31:$G$458,MATCH($A19,Kalshi!$A$31:$A$458,0))),"")</f>
        <v/>
      </c>
      <c r="H19" s="20">
        <f>IF(AND(ISNUMBER(B19),ISNUMBER(C19)),MIN(B19,C19),"")</f>
        <v/>
      </c>
      <c r="I19" s="20">
        <f>IF(AND(ISNUMBER(F19),ISNUMBER(G19)),MIN(F19,G19),"")</f>
        <v/>
      </c>
      <c r="J19" s="17">
        <f>IF(AND(ISNUMBER(H19),ISNUMBER(I19)),H19+I19,"")</f>
        <v/>
      </c>
      <c r="K19" s="16" t="n">
        <v>0.5</v>
      </c>
      <c r="L19" s="26" t="inlineStr">
        <is>
          <t>21 Dec</t>
        </is>
      </c>
    </row>
    <row r="20">
      <c r="A20" s="41" t="n">
        <v>46013</v>
      </c>
      <c r="B20" s="105">
        <f>IFERROR(IF(INDEX(Polymarket!$B$25:$B$275,MATCH($A20,Polymarket!$A$25:$A$275,0))=0,"",INDEX(Polymarket!$B$25:$B$275,MATCH($A20,Polymarket!$A$25:$A$275,0))),"")</f>
        <v/>
      </c>
      <c r="C20" s="105">
        <f>IFERROR(IF(INDEX(Kalshi!$D$31:$D$458,MATCH($A20,Kalshi!$A$31:$A$458,0))=0,"",INDEX(Kalshi!$D$31:$D$458,MATCH($A20,Kalshi!$A$31:$A$458,0))),"")</f>
        <v/>
      </c>
      <c r="D20" s="31">
        <f>IF(AND(ISNUMBER(B20),ISNUMBER(C20)),B20-C20,"")</f>
        <v/>
      </c>
      <c r="E20" s="29">
        <f>IF(ISNUMBER(D20),ABS(D20),"")</f>
        <v/>
      </c>
      <c r="F20" s="105">
        <f>IFERROR(IF(INDEX(Polymarket!$C$25:$C$275,MATCH($A20,Polymarket!$A$25:$A$275,0))=0,"",INDEX(Polymarket!$C$25:$C$275,MATCH($A20,Polymarket!$A$25:$A$275,0))),"")</f>
        <v/>
      </c>
      <c r="G20" s="105">
        <f>IFERROR(IF(INDEX(Kalshi!$G$31:$G$458,MATCH($A20,Kalshi!$A$31:$A$458,0))=0,"",INDEX(Kalshi!$G$31:$G$458,MATCH($A20,Kalshi!$A$31:$A$458,0))),"")</f>
        <v/>
      </c>
      <c r="H20" s="30">
        <f>IF(AND(ISNUMBER(B20),ISNUMBER(C20)),MIN(B20,C20),"")</f>
        <v/>
      </c>
      <c r="I20" s="30">
        <f>IF(AND(ISNUMBER(F20),ISNUMBER(G20)),MIN(F20,G20),"")</f>
        <v/>
      </c>
      <c r="J20" s="29">
        <f>IF(AND(ISNUMBER(H20),ISNUMBER(I20)),H20+I20,"")</f>
        <v/>
      </c>
      <c r="K20" s="28" t="n">
        <v>0.5</v>
      </c>
      <c r="L20" s="38" t="inlineStr">
        <is>
          <t>22 Dec</t>
        </is>
      </c>
    </row>
    <row r="21">
      <c r="A21" s="39" t="n">
        <v>46014</v>
      </c>
      <c r="B21" s="104">
        <f>IFERROR(IF(INDEX(Polymarket!$B$25:$B$275,MATCH($A21,Polymarket!$A$25:$A$275,0))=0,"",INDEX(Polymarket!$B$25:$B$275,MATCH($A21,Polymarket!$A$25:$A$275,0))),"")</f>
        <v/>
      </c>
      <c r="C21" s="104">
        <f>IFERROR(IF(INDEX(Kalshi!$D$31:$D$458,MATCH($A21,Kalshi!$A$31:$A$458,0))=0,"",INDEX(Kalshi!$D$31:$D$458,MATCH($A21,Kalshi!$A$31:$A$458,0))),"")</f>
        <v/>
      </c>
      <c r="D21" s="18">
        <f>IF(AND(ISNUMBER(B21),ISNUMBER(C21)),B21-C21,"")</f>
        <v/>
      </c>
      <c r="E21" s="17">
        <f>IF(ISNUMBER(D21),ABS(D21),"")</f>
        <v/>
      </c>
      <c r="F21" s="104">
        <f>IFERROR(IF(INDEX(Polymarket!$C$25:$C$275,MATCH($A21,Polymarket!$A$25:$A$275,0))=0,"",INDEX(Polymarket!$C$25:$C$275,MATCH($A21,Polymarket!$A$25:$A$275,0))),"")</f>
        <v/>
      </c>
      <c r="G21" s="104">
        <f>IFERROR(IF(INDEX(Kalshi!$G$31:$G$458,MATCH($A21,Kalshi!$A$31:$A$458,0))=0,"",INDEX(Kalshi!$G$31:$G$458,MATCH($A21,Kalshi!$A$31:$A$458,0))),"")</f>
        <v/>
      </c>
      <c r="H21" s="20">
        <f>IF(AND(ISNUMBER(B21),ISNUMBER(C21)),MIN(B21,C21),"")</f>
        <v/>
      </c>
      <c r="I21" s="20">
        <f>IF(AND(ISNUMBER(F21),ISNUMBER(G21)),MIN(F21,G21),"")</f>
        <v/>
      </c>
      <c r="J21" s="17">
        <f>IF(AND(ISNUMBER(H21),ISNUMBER(I21)),H21+I21,"")</f>
        <v/>
      </c>
      <c r="K21" s="16" t="n">
        <v>0.5</v>
      </c>
      <c r="L21" s="26" t="inlineStr">
        <is>
          <t>23 Dec</t>
        </is>
      </c>
    </row>
    <row r="22">
      <c r="A22" s="41" t="n">
        <v>46015</v>
      </c>
      <c r="B22" s="105">
        <f>IFERROR(IF(INDEX(Polymarket!$B$25:$B$275,MATCH($A22,Polymarket!$A$25:$A$275,0))=0,"",INDEX(Polymarket!$B$25:$B$275,MATCH($A22,Polymarket!$A$25:$A$275,0))),"")</f>
        <v/>
      </c>
      <c r="C22" s="105">
        <f>IFERROR(IF(INDEX(Kalshi!$D$31:$D$458,MATCH($A22,Kalshi!$A$31:$A$458,0))=0,"",INDEX(Kalshi!$D$31:$D$458,MATCH($A22,Kalshi!$A$31:$A$458,0))),"")</f>
        <v/>
      </c>
      <c r="D22" s="31">
        <f>IF(AND(ISNUMBER(B22),ISNUMBER(C22)),B22-C22,"")</f>
        <v/>
      </c>
      <c r="E22" s="29">
        <f>IF(ISNUMBER(D22),ABS(D22),"")</f>
        <v/>
      </c>
      <c r="F22" s="105">
        <f>IFERROR(IF(INDEX(Polymarket!$C$25:$C$275,MATCH($A22,Polymarket!$A$25:$A$275,0))=0,"",INDEX(Polymarket!$C$25:$C$275,MATCH($A22,Polymarket!$A$25:$A$275,0))),"")</f>
        <v/>
      </c>
      <c r="G22" s="105">
        <f>IFERROR(IF(INDEX(Kalshi!$G$31:$G$458,MATCH($A22,Kalshi!$A$31:$A$458,0))=0,"",INDEX(Kalshi!$G$31:$G$458,MATCH($A22,Kalshi!$A$31:$A$458,0))),"")</f>
        <v/>
      </c>
      <c r="H22" s="30">
        <f>IF(AND(ISNUMBER(B22),ISNUMBER(C22)),MIN(B22,C22),"")</f>
        <v/>
      </c>
      <c r="I22" s="30">
        <f>IF(AND(ISNUMBER(F22),ISNUMBER(G22)),MIN(F22,G22),"")</f>
        <v/>
      </c>
      <c r="J22" s="29">
        <f>IF(AND(ISNUMBER(H22),ISNUMBER(I22)),H22+I22,"")</f>
        <v/>
      </c>
      <c r="K22" s="28" t="n">
        <v>0.5</v>
      </c>
      <c r="L22" s="38" t="inlineStr">
        <is>
          <t>24 Dec</t>
        </is>
      </c>
    </row>
    <row r="23">
      <c r="A23" s="39" t="n">
        <v>46016</v>
      </c>
      <c r="B23" s="104">
        <f>IFERROR(IF(INDEX(Polymarket!$B$25:$B$275,MATCH($A23,Polymarket!$A$25:$A$275,0))=0,"",INDEX(Polymarket!$B$25:$B$275,MATCH($A23,Polymarket!$A$25:$A$275,0))),"")</f>
        <v/>
      </c>
      <c r="C23" s="104">
        <f>IFERROR(IF(INDEX(Kalshi!$D$31:$D$458,MATCH($A23,Kalshi!$A$31:$A$458,0))=0,"",INDEX(Kalshi!$D$31:$D$458,MATCH($A23,Kalshi!$A$31:$A$458,0))),"")</f>
        <v/>
      </c>
      <c r="D23" s="18">
        <f>IF(AND(ISNUMBER(B23),ISNUMBER(C23)),B23-C23,"")</f>
        <v/>
      </c>
      <c r="E23" s="17">
        <f>IF(ISNUMBER(D23),ABS(D23),"")</f>
        <v/>
      </c>
      <c r="F23" s="104">
        <f>IFERROR(IF(INDEX(Polymarket!$C$25:$C$275,MATCH($A23,Polymarket!$A$25:$A$275,0))=0,"",INDEX(Polymarket!$C$25:$C$275,MATCH($A23,Polymarket!$A$25:$A$275,0))),"")</f>
        <v/>
      </c>
      <c r="G23" s="104">
        <f>IFERROR(IF(INDEX(Kalshi!$G$31:$G$458,MATCH($A23,Kalshi!$A$31:$A$458,0))=0,"",INDEX(Kalshi!$G$31:$G$458,MATCH($A23,Kalshi!$A$31:$A$458,0))),"")</f>
        <v/>
      </c>
      <c r="H23" s="20">
        <f>IF(AND(ISNUMBER(B23),ISNUMBER(C23)),MIN(B23,C23),"")</f>
        <v/>
      </c>
      <c r="I23" s="20">
        <f>IF(AND(ISNUMBER(F23),ISNUMBER(G23)),MIN(F23,G23),"")</f>
        <v/>
      </c>
      <c r="J23" s="17">
        <f>IF(AND(ISNUMBER(H23),ISNUMBER(I23)),H23+I23,"")</f>
        <v/>
      </c>
      <c r="K23" s="16" t="n">
        <v>0.5</v>
      </c>
      <c r="L23" s="26" t="inlineStr">
        <is>
          <t>25 Dec</t>
        </is>
      </c>
    </row>
    <row r="24">
      <c r="A24" s="41" t="n">
        <v>46017</v>
      </c>
      <c r="B24" s="105">
        <f>IFERROR(IF(INDEX(Polymarket!$B$25:$B$275,MATCH($A24,Polymarket!$A$25:$A$275,0))=0,"",INDEX(Polymarket!$B$25:$B$275,MATCH($A24,Polymarket!$A$25:$A$275,0))),"")</f>
        <v/>
      </c>
      <c r="C24" s="105">
        <f>IFERROR(IF(INDEX(Kalshi!$D$31:$D$458,MATCH($A24,Kalshi!$A$31:$A$458,0))=0,"",INDEX(Kalshi!$D$31:$D$458,MATCH($A24,Kalshi!$A$31:$A$458,0))),"")</f>
        <v/>
      </c>
      <c r="D24" s="31">
        <f>IF(AND(ISNUMBER(B24),ISNUMBER(C24)),B24-C24,"")</f>
        <v/>
      </c>
      <c r="E24" s="29">
        <f>IF(ISNUMBER(D24),ABS(D24),"")</f>
        <v/>
      </c>
      <c r="F24" s="105">
        <f>IFERROR(IF(INDEX(Polymarket!$C$25:$C$275,MATCH($A24,Polymarket!$A$25:$A$275,0))=0,"",INDEX(Polymarket!$C$25:$C$275,MATCH($A24,Polymarket!$A$25:$A$275,0))),"")</f>
        <v/>
      </c>
      <c r="G24" s="105">
        <f>IFERROR(IF(INDEX(Kalshi!$G$31:$G$458,MATCH($A24,Kalshi!$A$31:$A$458,0))=0,"",INDEX(Kalshi!$G$31:$G$458,MATCH($A24,Kalshi!$A$31:$A$458,0))),"")</f>
        <v/>
      </c>
      <c r="H24" s="30">
        <f>IF(AND(ISNUMBER(B24),ISNUMBER(C24)),MIN(B24,C24),"")</f>
        <v/>
      </c>
      <c r="I24" s="30">
        <f>IF(AND(ISNUMBER(F24),ISNUMBER(G24)),MIN(F24,G24),"")</f>
        <v/>
      </c>
      <c r="J24" s="29">
        <f>IF(AND(ISNUMBER(H24),ISNUMBER(I24)),H24+I24,"")</f>
        <v/>
      </c>
      <c r="K24" s="28" t="n">
        <v>0.5</v>
      </c>
      <c r="L24" s="38" t="inlineStr">
        <is>
          <t>26 Dec</t>
        </is>
      </c>
    </row>
    <row r="25">
      <c r="A25" s="39" t="n">
        <v>46018</v>
      </c>
      <c r="B25" s="104">
        <f>IFERROR(IF(INDEX(Polymarket!$B$25:$B$275,MATCH($A25,Polymarket!$A$25:$A$275,0))=0,"",INDEX(Polymarket!$B$25:$B$275,MATCH($A25,Polymarket!$A$25:$A$275,0))),"")</f>
        <v/>
      </c>
      <c r="C25" s="104">
        <f>IFERROR(IF(INDEX(Kalshi!$D$31:$D$458,MATCH($A25,Kalshi!$A$31:$A$458,0))=0,"",INDEX(Kalshi!$D$31:$D$458,MATCH($A25,Kalshi!$A$31:$A$458,0))),"")</f>
        <v/>
      </c>
      <c r="D25" s="18">
        <f>IF(AND(ISNUMBER(B25),ISNUMBER(C25)),B25-C25,"")</f>
        <v/>
      </c>
      <c r="E25" s="17">
        <f>IF(ISNUMBER(D25),ABS(D25),"")</f>
        <v/>
      </c>
      <c r="F25" s="104">
        <f>IFERROR(IF(INDEX(Polymarket!$C$25:$C$275,MATCH($A25,Polymarket!$A$25:$A$275,0))=0,"",INDEX(Polymarket!$C$25:$C$275,MATCH($A25,Polymarket!$A$25:$A$275,0))),"")</f>
        <v/>
      </c>
      <c r="G25" s="104">
        <f>IFERROR(IF(INDEX(Kalshi!$G$31:$G$458,MATCH($A25,Kalshi!$A$31:$A$458,0))=0,"",INDEX(Kalshi!$G$31:$G$458,MATCH($A25,Kalshi!$A$31:$A$458,0))),"")</f>
        <v/>
      </c>
      <c r="H25" s="20">
        <f>IF(AND(ISNUMBER(B25),ISNUMBER(C25)),MIN(B25,C25),"")</f>
        <v/>
      </c>
      <c r="I25" s="20">
        <f>IF(AND(ISNUMBER(F25),ISNUMBER(G25)),MIN(F25,G25),"")</f>
        <v/>
      </c>
      <c r="J25" s="17">
        <f>IF(AND(ISNUMBER(H25),ISNUMBER(I25)),H25+I25,"")</f>
        <v/>
      </c>
      <c r="K25" s="16" t="n">
        <v>0.5</v>
      </c>
      <c r="L25" s="26" t="inlineStr">
        <is>
          <t>27 Dec</t>
        </is>
      </c>
    </row>
    <row r="26">
      <c r="A26" s="41" t="n">
        <v>46019</v>
      </c>
      <c r="B26" s="105">
        <f>IFERROR(IF(INDEX(Polymarket!$B$25:$B$275,MATCH($A26,Polymarket!$A$25:$A$275,0))=0,"",INDEX(Polymarket!$B$25:$B$275,MATCH($A26,Polymarket!$A$25:$A$275,0))),"")</f>
        <v/>
      </c>
      <c r="C26" s="105">
        <f>IFERROR(IF(INDEX(Kalshi!$D$31:$D$458,MATCH($A26,Kalshi!$A$31:$A$458,0))=0,"",INDEX(Kalshi!$D$31:$D$458,MATCH($A26,Kalshi!$A$31:$A$458,0))),"")</f>
        <v/>
      </c>
      <c r="D26" s="31">
        <f>IF(AND(ISNUMBER(B26),ISNUMBER(C26)),B26-C26,"")</f>
        <v/>
      </c>
      <c r="E26" s="29">
        <f>IF(ISNUMBER(D26),ABS(D26),"")</f>
        <v/>
      </c>
      <c r="F26" s="105">
        <f>IFERROR(IF(INDEX(Polymarket!$C$25:$C$275,MATCH($A26,Polymarket!$A$25:$A$275,0))=0,"",INDEX(Polymarket!$C$25:$C$275,MATCH($A26,Polymarket!$A$25:$A$275,0))),"")</f>
        <v/>
      </c>
      <c r="G26" s="105">
        <f>IFERROR(IF(INDEX(Kalshi!$G$31:$G$458,MATCH($A26,Kalshi!$A$31:$A$458,0))=0,"",INDEX(Kalshi!$G$31:$G$458,MATCH($A26,Kalshi!$A$31:$A$458,0))),"")</f>
        <v/>
      </c>
      <c r="H26" s="30">
        <f>IF(AND(ISNUMBER(B26),ISNUMBER(C26)),MIN(B26,C26),"")</f>
        <v/>
      </c>
      <c r="I26" s="30">
        <f>IF(AND(ISNUMBER(F26),ISNUMBER(G26)),MIN(F26,G26),"")</f>
        <v/>
      </c>
      <c r="J26" s="29">
        <f>IF(AND(ISNUMBER(H26),ISNUMBER(I26)),H26+I26,"")</f>
        <v/>
      </c>
      <c r="K26" s="28" t="n">
        <v>0.5</v>
      </c>
      <c r="L26" s="38" t="inlineStr">
        <is>
          <t>28 Dec</t>
        </is>
      </c>
    </row>
    <row r="27">
      <c r="A27" s="39" t="n">
        <v>46020</v>
      </c>
      <c r="B27" s="104">
        <f>IFERROR(IF(INDEX(Polymarket!$B$25:$B$275,MATCH($A27,Polymarket!$A$25:$A$275,0))=0,"",INDEX(Polymarket!$B$25:$B$275,MATCH($A27,Polymarket!$A$25:$A$275,0))),"")</f>
        <v/>
      </c>
      <c r="C27" s="104">
        <f>IFERROR(IF(INDEX(Kalshi!$D$31:$D$458,MATCH($A27,Kalshi!$A$31:$A$458,0))=0,"",INDEX(Kalshi!$D$31:$D$458,MATCH($A27,Kalshi!$A$31:$A$458,0))),"")</f>
        <v/>
      </c>
      <c r="D27" s="18">
        <f>IF(AND(ISNUMBER(B27),ISNUMBER(C27)),B27-C27,"")</f>
        <v/>
      </c>
      <c r="E27" s="17">
        <f>IF(ISNUMBER(D27),ABS(D27),"")</f>
        <v/>
      </c>
      <c r="F27" s="104">
        <f>IFERROR(IF(INDEX(Polymarket!$C$25:$C$275,MATCH($A27,Polymarket!$A$25:$A$275,0))=0,"",INDEX(Polymarket!$C$25:$C$275,MATCH($A27,Polymarket!$A$25:$A$275,0))),"")</f>
        <v/>
      </c>
      <c r="G27" s="104">
        <f>IFERROR(IF(INDEX(Kalshi!$G$31:$G$458,MATCH($A27,Kalshi!$A$31:$A$458,0))=0,"",INDEX(Kalshi!$G$31:$G$458,MATCH($A27,Kalshi!$A$31:$A$458,0))),"")</f>
        <v/>
      </c>
      <c r="H27" s="20">
        <f>IF(AND(ISNUMBER(B27),ISNUMBER(C27)),MIN(B27,C27),"")</f>
        <v/>
      </c>
      <c r="I27" s="20">
        <f>IF(AND(ISNUMBER(F27),ISNUMBER(G27)),MIN(F27,G27),"")</f>
        <v/>
      </c>
      <c r="J27" s="17">
        <f>IF(AND(ISNUMBER(H27),ISNUMBER(I27)),H27+I27,"")</f>
        <v/>
      </c>
      <c r="K27" s="16" t="n">
        <v>0.5</v>
      </c>
      <c r="L27" s="26" t="inlineStr">
        <is>
          <t>29 Dec</t>
        </is>
      </c>
    </row>
    <row r="28">
      <c r="A28" s="41" t="n">
        <v>46021</v>
      </c>
      <c r="B28" s="105">
        <f>IFERROR(IF(INDEX(Polymarket!$B$25:$B$275,MATCH($A28,Polymarket!$A$25:$A$275,0))=0,"",INDEX(Polymarket!$B$25:$B$275,MATCH($A28,Polymarket!$A$25:$A$275,0))),"")</f>
        <v/>
      </c>
      <c r="C28" s="105">
        <f>IFERROR(IF(INDEX(Kalshi!$D$31:$D$458,MATCH($A28,Kalshi!$A$31:$A$458,0))=0,"",INDEX(Kalshi!$D$31:$D$458,MATCH($A28,Kalshi!$A$31:$A$458,0))),"")</f>
        <v/>
      </c>
      <c r="D28" s="31">
        <f>IF(AND(ISNUMBER(B28),ISNUMBER(C28)),B28-C28,"")</f>
        <v/>
      </c>
      <c r="E28" s="29">
        <f>IF(ISNUMBER(D28),ABS(D28),"")</f>
        <v/>
      </c>
      <c r="F28" s="105">
        <f>IFERROR(IF(INDEX(Polymarket!$C$25:$C$275,MATCH($A28,Polymarket!$A$25:$A$275,0))=0,"",INDEX(Polymarket!$C$25:$C$275,MATCH($A28,Polymarket!$A$25:$A$275,0))),"")</f>
        <v/>
      </c>
      <c r="G28" s="105">
        <f>IFERROR(IF(INDEX(Kalshi!$G$31:$G$458,MATCH($A28,Kalshi!$A$31:$A$458,0))=0,"",INDEX(Kalshi!$G$31:$G$458,MATCH($A28,Kalshi!$A$31:$A$458,0))),"")</f>
        <v/>
      </c>
      <c r="H28" s="30">
        <f>IF(AND(ISNUMBER(B28),ISNUMBER(C28)),MIN(B28,C28),"")</f>
        <v/>
      </c>
      <c r="I28" s="30">
        <f>IF(AND(ISNUMBER(F28),ISNUMBER(G28)),MIN(F28,G28),"")</f>
        <v/>
      </c>
      <c r="J28" s="29">
        <f>IF(AND(ISNUMBER(H28),ISNUMBER(I28)),H28+I28,"")</f>
        <v/>
      </c>
      <c r="K28" s="28" t="n">
        <v>0.5</v>
      </c>
      <c r="L28" s="38" t="inlineStr">
        <is>
          <t>30 Dec</t>
        </is>
      </c>
    </row>
    <row r="29">
      <c r="A29" s="39" t="n">
        <v>46022</v>
      </c>
      <c r="B29" s="104">
        <f>IFERROR(IF(INDEX(Polymarket!$B$25:$B$275,MATCH($A29,Polymarket!$A$25:$A$275,0))=0,"",INDEX(Polymarket!$B$25:$B$275,MATCH($A29,Polymarket!$A$25:$A$275,0))),"")</f>
        <v/>
      </c>
      <c r="C29" s="104">
        <f>IFERROR(IF(INDEX(Kalshi!$D$31:$D$458,MATCH($A29,Kalshi!$A$31:$A$458,0))=0,"",INDEX(Kalshi!$D$31:$D$458,MATCH($A29,Kalshi!$A$31:$A$458,0))),"")</f>
        <v/>
      </c>
      <c r="D29" s="18">
        <f>IF(AND(ISNUMBER(B29),ISNUMBER(C29)),B29-C29,"")</f>
        <v/>
      </c>
      <c r="E29" s="17">
        <f>IF(ISNUMBER(D29),ABS(D29),"")</f>
        <v/>
      </c>
      <c r="F29" s="104">
        <f>IFERROR(IF(INDEX(Polymarket!$C$25:$C$275,MATCH($A29,Polymarket!$A$25:$A$275,0))=0,"",INDEX(Polymarket!$C$25:$C$275,MATCH($A29,Polymarket!$A$25:$A$275,0))),"")</f>
        <v/>
      </c>
      <c r="G29" s="104">
        <f>IFERROR(IF(INDEX(Kalshi!$G$31:$G$458,MATCH($A29,Kalshi!$A$31:$A$458,0))=0,"",INDEX(Kalshi!$G$31:$G$458,MATCH($A29,Kalshi!$A$31:$A$458,0))),"")</f>
        <v/>
      </c>
      <c r="H29" s="20">
        <f>IF(AND(ISNUMBER(B29),ISNUMBER(C29)),MIN(B29,C29),"")</f>
        <v/>
      </c>
      <c r="I29" s="20">
        <f>IF(AND(ISNUMBER(F29),ISNUMBER(G29)),MIN(F29,G29),"")</f>
        <v/>
      </c>
      <c r="J29" s="17">
        <f>IF(AND(ISNUMBER(H29),ISNUMBER(I29)),H29+I29,"")</f>
        <v/>
      </c>
      <c r="K29" s="16" t="n">
        <v>0.5</v>
      </c>
      <c r="L29" s="26" t="inlineStr">
        <is>
          <t>31 Dec</t>
        </is>
      </c>
    </row>
    <row r="30">
      <c r="A30" s="41" t="n">
        <v>46023</v>
      </c>
      <c r="B30" s="105">
        <f>IFERROR(IF(INDEX(Polymarket!$B$25:$B$275,MATCH($A30,Polymarket!$A$25:$A$275,0))=0,"",INDEX(Polymarket!$B$25:$B$275,MATCH($A30,Polymarket!$A$25:$A$275,0))),"")</f>
        <v/>
      </c>
      <c r="C30" s="105">
        <f>IFERROR(IF(INDEX(Kalshi!$D$31:$D$458,MATCH($A30,Kalshi!$A$31:$A$458,0))=0,"",INDEX(Kalshi!$D$31:$D$458,MATCH($A30,Kalshi!$A$31:$A$458,0))),"")</f>
        <v/>
      </c>
      <c r="D30" s="31">
        <f>IF(AND(ISNUMBER(B30),ISNUMBER(C30)),B30-C30,"")</f>
        <v/>
      </c>
      <c r="E30" s="29">
        <f>IF(ISNUMBER(D30),ABS(D30),"")</f>
        <v/>
      </c>
      <c r="F30" s="105">
        <f>IFERROR(IF(INDEX(Polymarket!$C$25:$C$275,MATCH($A30,Polymarket!$A$25:$A$275,0))=0,"",INDEX(Polymarket!$C$25:$C$275,MATCH($A30,Polymarket!$A$25:$A$275,0))),"")</f>
        <v/>
      </c>
      <c r="G30" s="105">
        <f>IFERROR(IF(INDEX(Kalshi!$G$31:$G$458,MATCH($A30,Kalshi!$A$31:$A$458,0))=0,"",INDEX(Kalshi!$G$31:$G$458,MATCH($A30,Kalshi!$A$31:$A$458,0))),"")</f>
        <v/>
      </c>
      <c r="H30" s="30">
        <f>IF(AND(ISNUMBER(B30),ISNUMBER(C30)),MIN(B30,C30),"")</f>
        <v/>
      </c>
      <c r="I30" s="30">
        <f>IF(AND(ISNUMBER(F30),ISNUMBER(G30)),MIN(F30,G30),"")</f>
        <v/>
      </c>
      <c r="J30" s="29">
        <f>IF(AND(ISNUMBER(H30),ISNUMBER(I30)),H30+I30,"")</f>
        <v/>
      </c>
      <c r="K30" s="28" t="n">
        <v>0.5</v>
      </c>
      <c r="L30" s="38" t="inlineStr">
        <is>
          <t>01 Jan</t>
        </is>
      </c>
    </row>
    <row r="31">
      <c r="A31" s="39" t="n">
        <v>46024</v>
      </c>
      <c r="B31" s="104">
        <f>IFERROR(IF(INDEX(Polymarket!$B$25:$B$275,MATCH($A31,Polymarket!$A$25:$A$275,0))=0,"",INDEX(Polymarket!$B$25:$B$275,MATCH($A31,Polymarket!$A$25:$A$275,0))),"")</f>
        <v/>
      </c>
      <c r="C31" s="104">
        <f>IFERROR(IF(INDEX(Kalshi!$D$31:$D$458,MATCH($A31,Kalshi!$A$31:$A$458,0))=0,"",INDEX(Kalshi!$D$31:$D$458,MATCH($A31,Kalshi!$A$31:$A$458,0))),"")</f>
        <v/>
      </c>
      <c r="D31" s="18">
        <f>IF(AND(ISNUMBER(B31),ISNUMBER(C31)),B31-C31,"")</f>
        <v/>
      </c>
      <c r="E31" s="17">
        <f>IF(ISNUMBER(D31),ABS(D31),"")</f>
        <v/>
      </c>
      <c r="F31" s="104">
        <f>IFERROR(IF(INDEX(Polymarket!$C$25:$C$275,MATCH($A31,Polymarket!$A$25:$A$275,0))=0,"",INDEX(Polymarket!$C$25:$C$275,MATCH($A31,Polymarket!$A$25:$A$275,0))),"")</f>
        <v/>
      </c>
      <c r="G31" s="104">
        <f>IFERROR(IF(INDEX(Kalshi!$G$31:$G$458,MATCH($A31,Kalshi!$A$31:$A$458,0))=0,"",INDEX(Kalshi!$G$31:$G$458,MATCH($A31,Kalshi!$A$31:$A$458,0))),"")</f>
        <v/>
      </c>
      <c r="H31" s="20">
        <f>IF(AND(ISNUMBER(B31),ISNUMBER(C31)),MIN(B31,C31),"")</f>
        <v/>
      </c>
      <c r="I31" s="20">
        <f>IF(AND(ISNUMBER(F31),ISNUMBER(G31)),MIN(F31,G31),"")</f>
        <v/>
      </c>
      <c r="J31" s="17">
        <f>IF(AND(ISNUMBER(H31),ISNUMBER(I31)),H31+I31,"")</f>
        <v/>
      </c>
      <c r="K31" s="16" t="n">
        <v>0.5</v>
      </c>
      <c r="L31" s="26" t="inlineStr">
        <is>
          <t>02 Jan</t>
        </is>
      </c>
    </row>
    <row r="32">
      <c r="A32" s="41" t="n">
        <v>46025</v>
      </c>
      <c r="B32" s="105">
        <f>IFERROR(IF(INDEX(Polymarket!$B$25:$B$275,MATCH($A32,Polymarket!$A$25:$A$275,0))=0,"",INDEX(Polymarket!$B$25:$B$275,MATCH($A32,Polymarket!$A$25:$A$275,0))),"")</f>
        <v/>
      </c>
      <c r="C32" s="105">
        <f>IFERROR(IF(INDEX(Kalshi!$D$31:$D$458,MATCH($A32,Kalshi!$A$31:$A$458,0))=0,"",INDEX(Kalshi!$D$31:$D$458,MATCH($A32,Kalshi!$A$31:$A$458,0))),"")</f>
        <v/>
      </c>
      <c r="D32" s="31">
        <f>IF(AND(ISNUMBER(B32),ISNUMBER(C32)),B32-C32,"")</f>
        <v/>
      </c>
      <c r="E32" s="29">
        <f>IF(ISNUMBER(D32),ABS(D32),"")</f>
        <v/>
      </c>
      <c r="F32" s="105">
        <f>IFERROR(IF(INDEX(Polymarket!$C$25:$C$275,MATCH($A32,Polymarket!$A$25:$A$275,0))=0,"",INDEX(Polymarket!$C$25:$C$275,MATCH($A32,Polymarket!$A$25:$A$275,0))),"")</f>
        <v/>
      </c>
      <c r="G32" s="105">
        <f>IFERROR(IF(INDEX(Kalshi!$G$31:$G$458,MATCH($A32,Kalshi!$A$31:$A$458,0))=0,"",INDEX(Kalshi!$G$31:$G$458,MATCH($A32,Kalshi!$A$31:$A$458,0))),"")</f>
        <v/>
      </c>
      <c r="H32" s="30">
        <f>IF(AND(ISNUMBER(B32),ISNUMBER(C32)),MIN(B32,C32),"")</f>
        <v/>
      </c>
      <c r="I32" s="30">
        <f>IF(AND(ISNUMBER(F32),ISNUMBER(G32)),MIN(F32,G32),"")</f>
        <v/>
      </c>
      <c r="J32" s="29">
        <f>IF(AND(ISNUMBER(H32),ISNUMBER(I32)),H32+I32,"")</f>
        <v/>
      </c>
      <c r="K32" s="28" t="n">
        <v>0.5</v>
      </c>
      <c r="L32" s="38" t="inlineStr">
        <is>
          <t>03 Jan</t>
        </is>
      </c>
    </row>
    <row r="33">
      <c r="A33" s="39" t="n">
        <v>46026</v>
      </c>
      <c r="B33" s="104">
        <f>IFERROR(IF(INDEX(Polymarket!$B$25:$B$275,MATCH($A33,Polymarket!$A$25:$A$275,0))=0,"",INDEX(Polymarket!$B$25:$B$275,MATCH($A33,Polymarket!$A$25:$A$275,0))),"")</f>
        <v/>
      </c>
      <c r="C33" s="104">
        <f>IFERROR(IF(INDEX(Kalshi!$D$31:$D$458,MATCH($A33,Kalshi!$A$31:$A$458,0))=0,"",INDEX(Kalshi!$D$31:$D$458,MATCH($A33,Kalshi!$A$31:$A$458,0))),"")</f>
        <v/>
      </c>
      <c r="D33" s="18">
        <f>IF(AND(ISNUMBER(B33),ISNUMBER(C33)),B33-C33,"")</f>
        <v/>
      </c>
      <c r="E33" s="17">
        <f>IF(ISNUMBER(D33),ABS(D33),"")</f>
        <v/>
      </c>
      <c r="F33" s="104">
        <f>IFERROR(IF(INDEX(Polymarket!$C$25:$C$275,MATCH($A33,Polymarket!$A$25:$A$275,0))=0,"",INDEX(Polymarket!$C$25:$C$275,MATCH($A33,Polymarket!$A$25:$A$275,0))),"")</f>
        <v/>
      </c>
      <c r="G33" s="104">
        <f>IFERROR(IF(INDEX(Kalshi!$G$31:$G$458,MATCH($A33,Kalshi!$A$31:$A$458,0))=0,"",INDEX(Kalshi!$G$31:$G$458,MATCH($A33,Kalshi!$A$31:$A$458,0))),"")</f>
        <v/>
      </c>
      <c r="H33" s="20">
        <f>IF(AND(ISNUMBER(B33),ISNUMBER(C33)),MIN(B33,C33),"")</f>
        <v/>
      </c>
      <c r="I33" s="20">
        <f>IF(AND(ISNUMBER(F33),ISNUMBER(G33)),MIN(F33,G33),"")</f>
        <v/>
      </c>
      <c r="J33" s="17">
        <f>IF(AND(ISNUMBER(H33),ISNUMBER(I33)),H33+I33,"")</f>
        <v/>
      </c>
      <c r="K33" s="16" t="n">
        <v>0.5</v>
      </c>
      <c r="L33" s="26" t="inlineStr">
        <is>
          <t>04 Jan</t>
        </is>
      </c>
    </row>
    <row r="34">
      <c r="A34" s="41" t="n">
        <v>46027</v>
      </c>
      <c r="B34" s="105">
        <f>IFERROR(IF(INDEX(Polymarket!$B$25:$B$275,MATCH($A34,Polymarket!$A$25:$A$275,0))=0,"",INDEX(Polymarket!$B$25:$B$275,MATCH($A34,Polymarket!$A$25:$A$275,0))),"")</f>
        <v/>
      </c>
      <c r="C34" s="105">
        <f>IFERROR(IF(INDEX(Kalshi!$D$31:$D$458,MATCH($A34,Kalshi!$A$31:$A$458,0))=0,"",INDEX(Kalshi!$D$31:$D$458,MATCH($A34,Kalshi!$A$31:$A$458,0))),"")</f>
        <v/>
      </c>
      <c r="D34" s="31">
        <f>IF(AND(ISNUMBER(B34),ISNUMBER(C34)),B34-C34,"")</f>
        <v/>
      </c>
      <c r="E34" s="29">
        <f>IF(ISNUMBER(D34),ABS(D34),"")</f>
        <v/>
      </c>
      <c r="F34" s="105">
        <f>IFERROR(IF(INDEX(Polymarket!$C$25:$C$275,MATCH($A34,Polymarket!$A$25:$A$275,0))=0,"",INDEX(Polymarket!$C$25:$C$275,MATCH($A34,Polymarket!$A$25:$A$275,0))),"")</f>
        <v/>
      </c>
      <c r="G34" s="105">
        <f>IFERROR(IF(INDEX(Kalshi!$G$31:$G$458,MATCH($A34,Kalshi!$A$31:$A$458,0))=0,"",INDEX(Kalshi!$G$31:$G$458,MATCH($A34,Kalshi!$A$31:$A$458,0))),"")</f>
        <v/>
      </c>
      <c r="H34" s="30">
        <f>IF(AND(ISNUMBER(B34),ISNUMBER(C34)),MIN(B34,C34),"")</f>
        <v/>
      </c>
      <c r="I34" s="30">
        <f>IF(AND(ISNUMBER(F34),ISNUMBER(G34)),MIN(F34,G34),"")</f>
        <v/>
      </c>
      <c r="J34" s="29">
        <f>IF(AND(ISNUMBER(H34),ISNUMBER(I34)),H34+I34,"")</f>
        <v/>
      </c>
      <c r="K34" s="28" t="n">
        <v>0.5</v>
      </c>
      <c r="L34" s="38" t="inlineStr">
        <is>
          <t>05 Jan</t>
        </is>
      </c>
    </row>
    <row r="35">
      <c r="A35" s="39" t="n">
        <v>46028</v>
      </c>
      <c r="B35" s="104">
        <f>IFERROR(IF(INDEX(Polymarket!$B$25:$B$275,MATCH($A35,Polymarket!$A$25:$A$275,0))=0,"",INDEX(Polymarket!$B$25:$B$275,MATCH($A35,Polymarket!$A$25:$A$275,0))),"")</f>
        <v/>
      </c>
      <c r="C35" s="104">
        <f>IFERROR(IF(INDEX(Kalshi!$D$31:$D$458,MATCH($A35,Kalshi!$A$31:$A$458,0))=0,"",INDEX(Kalshi!$D$31:$D$458,MATCH($A35,Kalshi!$A$31:$A$458,0))),"")</f>
        <v/>
      </c>
      <c r="D35" s="18">
        <f>IF(AND(ISNUMBER(B35),ISNUMBER(C35)),B35-C35,"")</f>
        <v/>
      </c>
      <c r="E35" s="17">
        <f>IF(ISNUMBER(D35),ABS(D35),"")</f>
        <v/>
      </c>
      <c r="F35" s="104">
        <f>IFERROR(IF(INDEX(Polymarket!$C$25:$C$275,MATCH($A35,Polymarket!$A$25:$A$275,0))=0,"",INDEX(Polymarket!$C$25:$C$275,MATCH($A35,Polymarket!$A$25:$A$275,0))),"")</f>
        <v/>
      </c>
      <c r="G35" s="104">
        <f>IFERROR(IF(INDEX(Kalshi!$G$31:$G$458,MATCH($A35,Kalshi!$A$31:$A$458,0))=0,"",INDEX(Kalshi!$G$31:$G$458,MATCH($A35,Kalshi!$A$31:$A$458,0))),"")</f>
        <v/>
      </c>
      <c r="H35" s="20">
        <f>IF(AND(ISNUMBER(B35),ISNUMBER(C35)),MIN(B35,C35),"")</f>
        <v/>
      </c>
      <c r="I35" s="20">
        <f>IF(AND(ISNUMBER(F35),ISNUMBER(G35)),MIN(F35,G35),"")</f>
        <v/>
      </c>
      <c r="J35" s="17">
        <f>IF(AND(ISNUMBER(H35),ISNUMBER(I35)),H35+I35,"")</f>
        <v/>
      </c>
      <c r="K35" s="16" t="n">
        <v>0.5</v>
      </c>
      <c r="L35" s="26" t="inlineStr">
        <is>
          <t>06 Jan</t>
        </is>
      </c>
    </row>
    <row r="36">
      <c r="A36" s="41" t="n">
        <v>46029</v>
      </c>
      <c r="B36" s="105">
        <f>IFERROR(IF(INDEX(Polymarket!$B$25:$B$275,MATCH($A36,Polymarket!$A$25:$A$275,0))=0,"",INDEX(Polymarket!$B$25:$B$275,MATCH($A36,Polymarket!$A$25:$A$275,0))),"")</f>
        <v/>
      </c>
      <c r="C36" s="105">
        <f>IFERROR(IF(INDEX(Kalshi!$D$31:$D$458,MATCH($A36,Kalshi!$A$31:$A$458,0))=0,"",INDEX(Kalshi!$D$31:$D$458,MATCH($A36,Kalshi!$A$31:$A$458,0))),"")</f>
        <v/>
      </c>
      <c r="D36" s="31">
        <f>IF(AND(ISNUMBER(B36),ISNUMBER(C36)),B36-C36,"")</f>
        <v/>
      </c>
      <c r="E36" s="29">
        <f>IF(ISNUMBER(D36),ABS(D36),"")</f>
        <v/>
      </c>
      <c r="F36" s="105">
        <f>IFERROR(IF(INDEX(Polymarket!$C$25:$C$275,MATCH($A36,Polymarket!$A$25:$A$275,0))=0,"",INDEX(Polymarket!$C$25:$C$275,MATCH($A36,Polymarket!$A$25:$A$275,0))),"")</f>
        <v/>
      </c>
      <c r="G36" s="105">
        <f>IFERROR(IF(INDEX(Kalshi!$G$31:$G$458,MATCH($A36,Kalshi!$A$31:$A$458,0))=0,"",INDEX(Kalshi!$G$31:$G$458,MATCH($A36,Kalshi!$A$31:$A$458,0))),"")</f>
        <v/>
      </c>
      <c r="H36" s="30">
        <f>IF(AND(ISNUMBER(B36),ISNUMBER(C36)),MIN(B36,C36),"")</f>
        <v/>
      </c>
      <c r="I36" s="30">
        <f>IF(AND(ISNUMBER(F36),ISNUMBER(G36)),MIN(F36,G36),"")</f>
        <v/>
      </c>
      <c r="J36" s="29">
        <f>IF(AND(ISNUMBER(H36),ISNUMBER(I36)),H36+I36,"")</f>
        <v/>
      </c>
      <c r="K36" s="28" t="n">
        <v>0.5</v>
      </c>
      <c r="L36" s="38" t="inlineStr">
        <is>
          <t>07 Jan</t>
        </is>
      </c>
    </row>
    <row r="37">
      <c r="A37" s="39" t="n">
        <v>46030</v>
      </c>
      <c r="B37" s="104">
        <f>IFERROR(IF(INDEX(Polymarket!$B$25:$B$275,MATCH($A37,Polymarket!$A$25:$A$275,0))=0,"",INDEX(Polymarket!$B$25:$B$275,MATCH($A37,Polymarket!$A$25:$A$275,0))),"")</f>
        <v/>
      </c>
      <c r="C37" s="104">
        <f>IFERROR(IF(INDEX(Kalshi!$D$31:$D$458,MATCH($A37,Kalshi!$A$31:$A$458,0))=0,"",INDEX(Kalshi!$D$31:$D$458,MATCH($A37,Kalshi!$A$31:$A$458,0))),"")</f>
        <v/>
      </c>
      <c r="D37" s="18">
        <f>IF(AND(ISNUMBER(B37),ISNUMBER(C37)),B37-C37,"")</f>
        <v/>
      </c>
      <c r="E37" s="17">
        <f>IF(ISNUMBER(D37),ABS(D37),"")</f>
        <v/>
      </c>
      <c r="F37" s="104">
        <f>IFERROR(IF(INDEX(Polymarket!$C$25:$C$275,MATCH($A37,Polymarket!$A$25:$A$275,0))=0,"",INDEX(Polymarket!$C$25:$C$275,MATCH($A37,Polymarket!$A$25:$A$275,0))),"")</f>
        <v/>
      </c>
      <c r="G37" s="104">
        <f>IFERROR(IF(INDEX(Kalshi!$G$31:$G$458,MATCH($A37,Kalshi!$A$31:$A$458,0))=0,"",INDEX(Kalshi!$G$31:$G$458,MATCH($A37,Kalshi!$A$31:$A$458,0))),"")</f>
        <v/>
      </c>
      <c r="H37" s="20">
        <f>IF(AND(ISNUMBER(B37),ISNUMBER(C37)),MIN(B37,C37),"")</f>
        <v/>
      </c>
      <c r="I37" s="20">
        <f>IF(AND(ISNUMBER(F37),ISNUMBER(G37)),MIN(F37,G37),"")</f>
        <v/>
      </c>
      <c r="J37" s="17">
        <f>IF(AND(ISNUMBER(H37),ISNUMBER(I37)),H37+I37,"")</f>
        <v/>
      </c>
      <c r="K37" s="16" t="n">
        <v>0.5</v>
      </c>
      <c r="L37" s="26" t="inlineStr">
        <is>
          <t>08 Jan</t>
        </is>
      </c>
    </row>
    <row r="38">
      <c r="A38" s="41" t="n">
        <v>46031</v>
      </c>
      <c r="B38" s="105">
        <f>IFERROR(IF(INDEX(Polymarket!$B$25:$B$275,MATCH($A38,Polymarket!$A$25:$A$275,0))=0,"",INDEX(Polymarket!$B$25:$B$275,MATCH($A38,Polymarket!$A$25:$A$275,0))),"")</f>
        <v/>
      </c>
      <c r="C38" s="105">
        <f>IFERROR(IF(INDEX(Kalshi!$D$31:$D$458,MATCH($A38,Kalshi!$A$31:$A$458,0))=0,"",INDEX(Kalshi!$D$31:$D$458,MATCH($A38,Kalshi!$A$31:$A$458,0))),"")</f>
        <v/>
      </c>
      <c r="D38" s="31">
        <f>IF(AND(ISNUMBER(B38),ISNUMBER(C38)),B38-C38,"")</f>
        <v/>
      </c>
      <c r="E38" s="29">
        <f>IF(ISNUMBER(D38),ABS(D38),"")</f>
        <v/>
      </c>
      <c r="F38" s="105">
        <f>IFERROR(IF(INDEX(Polymarket!$C$25:$C$275,MATCH($A38,Polymarket!$A$25:$A$275,0))=0,"",INDEX(Polymarket!$C$25:$C$275,MATCH($A38,Polymarket!$A$25:$A$275,0))),"")</f>
        <v/>
      </c>
      <c r="G38" s="105">
        <f>IFERROR(IF(INDEX(Kalshi!$G$31:$G$458,MATCH($A38,Kalshi!$A$31:$A$458,0))=0,"",INDEX(Kalshi!$G$31:$G$458,MATCH($A38,Kalshi!$A$31:$A$458,0))),"")</f>
        <v/>
      </c>
      <c r="H38" s="30">
        <f>IF(AND(ISNUMBER(B38),ISNUMBER(C38)),MIN(B38,C38),"")</f>
        <v/>
      </c>
      <c r="I38" s="30">
        <f>IF(AND(ISNUMBER(F38),ISNUMBER(G38)),MIN(F38,G38),"")</f>
        <v/>
      </c>
      <c r="J38" s="29">
        <f>IF(AND(ISNUMBER(H38),ISNUMBER(I38)),H38+I38,"")</f>
        <v/>
      </c>
      <c r="K38" s="28" t="n">
        <v>0.5</v>
      </c>
      <c r="L38" s="38" t="inlineStr">
        <is>
          <t>09 Jan</t>
        </is>
      </c>
    </row>
    <row r="39">
      <c r="A39" s="39" t="n">
        <v>46032</v>
      </c>
      <c r="B39" s="104">
        <f>IFERROR(IF(INDEX(Polymarket!$B$25:$B$275,MATCH($A39,Polymarket!$A$25:$A$275,0))=0,"",INDEX(Polymarket!$B$25:$B$275,MATCH($A39,Polymarket!$A$25:$A$275,0))),"")</f>
        <v/>
      </c>
      <c r="C39" s="104">
        <f>IFERROR(IF(INDEX(Kalshi!$D$31:$D$458,MATCH($A39,Kalshi!$A$31:$A$458,0))=0,"",INDEX(Kalshi!$D$31:$D$458,MATCH($A39,Kalshi!$A$31:$A$458,0))),"")</f>
        <v/>
      </c>
      <c r="D39" s="18">
        <f>IF(AND(ISNUMBER(B39),ISNUMBER(C39)),B39-C39,"")</f>
        <v/>
      </c>
      <c r="E39" s="17">
        <f>IF(ISNUMBER(D39),ABS(D39),"")</f>
        <v/>
      </c>
      <c r="F39" s="104">
        <f>IFERROR(IF(INDEX(Polymarket!$C$25:$C$275,MATCH($A39,Polymarket!$A$25:$A$275,0))=0,"",INDEX(Polymarket!$C$25:$C$275,MATCH($A39,Polymarket!$A$25:$A$275,0))),"")</f>
        <v/>
      </c>
      <c r="G39" s="104">
        <f>IFERROR(IF(INDEX(Kalshi!$G$31:$G$458,MATCH($A39,Kalshi!$A$31:$A$458,0))=0,"",INDEX(Kalshi!$G$31:$G$458,MATCH($A39,Kalshi!$A$31:$A$458,0))),"")</f>
        <v/>
      </c>
      <c r="H39" s="20">
        <f>IF(AND(ISNUMBER(B39),ISNUMBER(C39)),MIN(B39,C39),"")</f>
        <v/>
      </c>
      <c r="I39" s="20">
        <f>IF(AND(ISNUMBER(F39),ISNUMBER(G39)),MIN(F39,G39),"")</f>
        <v/>
      </c>
      <c r="J39" s="17">
        <f>IF(AND(ISNUMBER(H39),ISNUMBER(I39)),H39+I39,"")</f>
        <v/>
      </c>
      <c r="K39" s="16" t="n">
        <v>0.5</v>
      </c>
      <c r="L39" s="26" t="inlineStr">
        <is>
          <t>10 Jan</t>
        </is>
      </c>
    </row>
    <row r="40">
      <c r="A40" s="41" t="n">
        <v>46033</v>
      </c>
      <c r="B40" s="105">
        <f>IFERROR(IF(INDEX(Polymarket!$B$25:$B$275,MATCH($A40,Polymarket!$A$25:$A$275,0))=0,"",INDEX(Polymarket!$B$25:$B$275,MATCH($A40,Polymarket!$A$25:$A$275,0))),"")</f>
        <v/>
      </c>
      <c r="C40" s="105">
        <f>IFERROR(IF(INDEX(Kalshi!$D$31:$D$458,MATCH($A40,Kalshi!$A$31:$A$458,0))=0,"",INDEX(Kalshi!$D$31:$D$458,MATCH($A40,Kalshi!$A$31:$A$458,0))),"")</f>
        <v/>
      </c>
      <c r="D40" s="31">
        <f>IF(AND(ISNUMBER(B40),ISNUMBER(C40)),B40-C40,"")</f>
        <v/>
      </c>
      <c r="E40" s="29">
        <f>IF(ISNUMBER(D40),ABS(D40),"")</f>
        <v/>
      </c>
      <c r="F40" s="105">
        <f>IFERROR(IF(INDEX(Polymarket!$C$25:$C$275,MATCH($A40,Polymarket!$A$25:$A$275,0))=0,"",INDEX(Polymarket!$C$25:$C$275,MATCH($A40,Polymarket!$A$25:$A$275,0))),"")</f>
        <v/>
      </c>
      <c r="G40" s="105">
        <f>IFERROR(IF(INDEX(Kalshi!$G$31:$G$458,MATCH($A40,Kalshi!$A$31:$A$458,0))=0,"",INDEX(Kalshi!$G$31:$G$458,MATCH($A40,Kalshi!$A$31:$A$458,0))),"")</f>
        <v/>
      </c>
      <c r="H40" s="30">
        <f>IF(AND(ISNUMBER(B40),ISNUMBER(C40)),MIN(B40,C40),"")</f>
        <v/>
      </c>
      <c r="I40" s="30">
        <f>IF(AND(ISNUMBER(F40),ISNUMBER(G40)),MIN(F40,G40),"")</f>
        <v/>
      </c>
      <c r="J40" s="29">
        <f>IF(AND(ISNUMBER(H40),ISNUMBER(I40)),H40+I40,"")</f>
        <v/>
      </c>
      <c r="K40" s="28" t="n">
        <v>0.5</v>
      </c>
      <c r="L40" s="38" t="inlineStr">
        <is>
          <t>11 Jan</t>
        </is>
      </c>
    </row>
    <row r="41">
      <c r="A41" s="39" t="n">
        <v>46034</v>
      </c>
      <c r="B41" s="104">
        <f>IFERROR(IF(INDEX(Polymarket!$B$25:$B$275,MATCH($A41,Polymarket!$A$25:$A$275,0))=0,"",INDEX(Polymarket!$B$25:$B$275,MATCH($A41,Polymarket!$A$25:$A$275,0))),"")</f>
        <v/>
      </c>
      <c r="C41" s="104">
        <f>IFERROR(IF(INDEX(Kalshi!$D$31:$D$458,MATCH($A41,Kalshi!$A$31:$A$458,0))=0,"",INDEX(Kalshi!$D$31:$D$458,MATCH($A41,Kalshi!$A$31:$A$458,0))),"")</f>
        <v/>
      </c>
      <c r="D41" s="18">
        <f>IF(AND(ISNUMBER(B41),ISNUMBER(C41)),B41-C41,"")</f>
        <v/>
      </c>
      <c r="E41" s="17">
        <f>IF(ISNUMBER(D41),ABS(D41),"")</f>
        <v/>
      </c>
      <c r="F41" s="104">
        <f>IFERROR(IF(INDEX(Polymarket!$C$25:$C$275,MATCH($A41,Polymarket!$A$25:$A$275,0))=0,"",INDEX(Polymarket!$C$25:$C$275,MATCH($A41,Polymarket!$A$25:$A$275,0))),"")</f>
        <v/>
      </c>
      <c r="G41" s="104">
        <f>IFERROR(IF(INDEX(Kalshi!$G$31:$G$458,MATCH($A41,Kalshi!$A$31:$A$458,0))=0,"",INDEX(Kalshi!$G$31:$G$458,MATCH($A41,Kalshi!$A$31:$A$458,0))),"")</f>
        <v/>
      </c>
      <c r="H41" s="20">
        <f>IF(AND(ISNUMBER(B41),ISNUMBER(C41)),MIN(B41,C41),"")</f>
        <v/>
      </c>
      <c r="I41" s="20">
        <f>IF(AND(ISNUMBER(F41),ISNUMBER(G41)),MIN(F41,G41),"")</f>
        <v/>
      </c>
      <c r="J41" s="17">
        <f>IF(AND(ISNUMBER(H41),ISNUMBER(I41)),H41+I41,"")</f>
        <v/>
      </c>
      <c r="K41" s="16" t="n">
        <v>0.5</v>
      </c>
      <c r="L41" s="26" t="inlineStr">
        <is>
          <t>12 Jan</t>
        </is>
      </c>
    </row>
    <row r="42">
      <c r="A42" s="41" t="n">
        <v>46035</v>
      </c>
      <c r="B42" s="105">
        <f>IFERROR(IF(INDEX(Polymarket!$B$25:$B$275,MATCH($A42,Polymarket!$A$25:$A$275,0))=0,"",INDEX(Polymarket!$B$25:$B$275,MATCH($A42,Polymarket!$A$25:$A$275,0))),"")</f>
        <v/>
      </c>
      <c r="C42" s="105">
        <f>IFERROR(IF(INDEX(Kalshi!$D$31:$D$458,MATCH($A42,Kalshi!$A$31:$A$458,0))=0,"",INDEX(Kalshi!$D$31:$D$458,MATCH($A42,Kalshi!$A$31:$A$458,0))),"")</f>
        <v/>
      </c>
      <c r="D42" s="31">
        <f>IF(AND(ISNUMBER(B42),ISNUMBER(C42)),B42-C42,"")</f>
        <v/>
      </c>
      <c r="E42" s="29">
        <f>IF(ISNUMBER(D42),ABS(D42),"")</f>
        <v/>
      </c>
      <c r="F42" s="105">
        <f>IFERROR(IF(INDEX(Polymarket!$C$25:$C$275,MATCH($A42,Polymarket!$A$25:$A$275,0))=0,"",INDEX(Polymarket!$C$25:$C$275,MATCH($A42,Polymarket!$A$25:$A$275,0))),"")</f>
        <v/>
      </c>
      <c r="G42" s="105">
        <f>IFERROR(IF(INDEX(Kalshi!$G$31:$G$458,MATCH($A42,Kalshi!$A$31:$A$458,0))=0,"",INDEX(Kalshi!$G$31:$G$458,MATCH($A42,Kalshi!$A$31:$A$458,0))),"")</f>
        <v/>
      </c>
      <c r="H42" s="30">
        <f>IF(AND(ISNUMBER(B42),ISNUMBER(C42)),MIN(B42,C42),"")</f>
        <v/>
      </c>
      <c r="I42" s="30">
        <f>IF(AND(ISNUMBER(F42),ISNUMBER(G42)),MIN(F42,G42),"")</f>
        <v/>
      </c>
      <c r="J42" s="29">
        <f>IF(AND(ISNUMBER(H42),ISNUMBER(I42)),H42+I42,"")</f>
        <v/>
      </c>
      <c r="K42" s="28" t="n">
        <v>0.5</v>
      </c>
      <c r="L42" s="38" t="inlineStr">
        <is>
          <t>13 Jan</t>
        </is>
      </c>
    </row>
    <row r="43">
      <c r="A43" s="39" t="n">
        <v>46036</v>
      </c>
      <c r="B43" s="104">
        <f>IFERROR(IF(INDEX(Polymarket!$B$25:$B$275,MATCH($A43,Polymarket!$A$25:$A$275,0))=0,"",INDEX(Polymarket!$B$25:$B$275,MATCH($A43,Polymarket!$A$25:$A$275,0))),"")</f>
        <v/>
      </c>
      <c r="C43" s="104">
        <f>IFERROR(IF(INDEX(Kalshi!$D$31:$D$458,MATCH($A43,Kalshi!$A$31:$A$458,0))=0,"",INDEX(Kalshi!$D$31:$D$458,MATCH($A43,Kalshi!$A$31:$A$458,0))),"")</f>
        <v/>
      </c>
      <c r="D43" s="18">
        <f>IF(AND(ISNUMBER(B43),ISNUMBER(C43)),B43-C43,"")</f>
        <v/>
      </c>
      <c r="E43" s="17">
        <f>IF(ISNUMBER(D43),ABS(D43),"")</f>
        <v/>
      </c>
      <c r="F43" s="104">
        <f>IFERROR(IF(INDEX(Polymarket!$C$25:$C$275,MATCH($A43,Polymarket!$A$25:$A$275,0))=0,"",INDEX(Polymarket!$C$25:$C$275,MATCH($A43,Polymarket!$A$25:$A$275,0))),"")</f>
        <v/>
      </c>
      <c r="G43" s="104">
        <f>IFERROR(IF(INDEX(Kalshi!$G$31:$G$458,MATCH($A43,Kalshi!$A$31:$A$458,0))=0,"",INDEX(Kalshi!$G$31:$G$458,MATCH($A43,Kalshi!$A$31:$A$458,0))),"")</f>
        <v/>
      </c>
      <c r="H43" s="20">
        <f>IF(AND(ISNUMBER(B43),ISNUMBER(C43)),MIN(B43,C43),"")</f>
        <v/>
      </c>
      <c r="I43" s="20">
        <f>IF(AND(ISNUMBER(F43),ISNUMBER(G43)),MIN(F43,G43),"")</f>
        <v/>
      </c>
      <c r="J43" s="17">
        <f>IF(AND(ISNUMBER(H43),ISNUMBER(I43)),H43+I43,"")</f>
        <v/>
      </c>
      <c r="K43" s="16" t="n">
        <v>0.5</v>
      </c>
      <c r="L43" s="26" t="inlineStr">
        <is>
          <t>14 Jan</t>
        </is>
      </c>
    </row>
    <row r="44">
      <c r="A44" s="41" t="n">
        <v>46037</v>
      </c>
      <c r="B44" s="105">
        <f>IFERROR(IF(INDEX(Polymarket!$B$25:$B$275,MATCH($A44,Polymarket!$A$25:$A$275,0))=0,"",INDEX(Polymarket!$B$25:$B$275,MATCH($A44,Polymarket!$A$25:$A$275,0))),"")</f>
        <v/>
      </c>
      <c r="C44" s="105">
        <f>IFERROR(IF(INDEX(Kalshi!$D$31:$D$458,MATCH($A44,Kalshi!$A$31:$A$458,0))=0,"",INDEX(Kalshi!$D$31:$D$458,MATCH($A44,Kalshi!$A$31:$A$458,0))),"")</f>
        <v/>
      </c>
      <c r="D44" s="31">
        <f>IF(AND(ISNUMBER(B44),ISNUMBER(C44)),B44-C44,"")</f>
        <v/>
      </c>
      <c r="E44" s="29">
        <f>IF(ISNUMBER(D44),ABS(D44),"")</f>
        <v/>
      </c>
      <c r="F44" s="105">
        <f>IFERROR(IF(INDEX(Polymarket!$C$25:$C$275,MATCH($A44,Polymarket!$A$25:$A$275,0))=0,"",INDEX(Polymarket!$C$25:$C$275,MATCH($A44,Polymarket!$A$25:$A$275,0))),"")</f>
        <v/>
      </c>
      <c r="G44" s="105">
        <f>IFERROR(IF(INDEX(Kalshi!$G$31:$G$458,MATCH($A44,Kalshi!$A$31:$A$458,0))=0,"",INDEX(Kalshi!$G$31:$G$458,MATCH($A44,Kalshi!$A$31:$A$458,0))),"")</f>
        <v/>
      </c>
      <c r="H44" s="30">
        <f>IF(AND(ISNUMBER(B44),ISNUMBER(C44)),MIN(B44,C44),"")</f>
        <v/>
      </c>
      <c r="I44" s="30">
        <f>IF(AND(ISNUMBER(F44),ISNUMBER(G44)),MIN(F44,G44),"")</f>
        <v/>
      </c>
      <c r="J44" s="29">
        <f>IF(AND(ISNUMBER(H44),ISNUMBER(I44)),H44+I44,"")</f>
        <v/>
      </c>
      <c r="K44" s="28" t="n">
        <v>0.5</v>
      </c>
      <c r="L44" s="38" t="inlineStr">
        <is>
          <t>15 Jan</t>
        </is>
      </c>
    </row>
    <row r="45">
      <c r="A45" s="39" t="n">
        <v>46038</v>
      </c>
      <c r="B45" s="104">
        <f>IFERROR(IF(INDEX(Polymarket!$B$25:$B$275,MATCH($A45,Polymarket!$A$25:$A$275,0))=0,"",INDEX(Polymarket!$B$25:$B$275,MATCH($A45,Polymarket!$A$25:$A$275,0))),"")</f>
        <v/>
      </c>
      <c r="C45" s="104">
        <f>IFERROR(IF(INDEX(Kalshi!$D$31:$D$458,MATCH($A45,Kalshi!$A$31:$A$458,0))=0,"",INDEX(Kalshi!$D$31:$D$458,MATCH($A45,Kalshi!$A$31:$A$458,0))),"")</f>
        <v/>
      </c>
      <c r="D45" s="18">
        <f>IF(AND(ISNUMBER(B45),ISNUMBER(C45)),B45-C45,"")</f>
        <v/>
      </c>
      <c r="E45" s="17">
        <f>IF(ISNUMBER(D45),ABS(D45),"")</f>
        <v/>
      </c>
      <c r="F45" s="104">
        <f>IFERROR(IF(INDEX(Polymarket!$C$25:$C$275,MATCH($A45,Polymarket!$A$25:$A$275,0))=0,"",INDEX(Polymarket!$C$25:$C$275,MATCH($A45,Polymarket!$A$25:$A$275,0))),"")</f>
        <v/>
      </c>
      <c r="G45" s="104">
        <f>IFERROR(IF(INDEX(Kalshi!$G$31:$G$458,MATCH($A45,Kalshi!$A$31:$A$458,0))=0,"",INDEX(Kalshi!$G$31:$G$458,MATCH($A45,Kalshi!$A$31:$A$458,0))),"")</f>
        <v/>
      </c>
      <c r="H45" s="20">
        <f>IF(AND(ISNUMBER(B45),ISNUMBER(C45)),MIN(B45,C45),"")</f>
        <v/>
      </c>
      <c r="I45" s="20">
        <f>IF(AND(ISNUMBER(F45),ISNUMBER(G45)),MIN(F45,G45),"")</f>
        <v/>
      </c>
      <c r="J45" s="17">
        <f>IF(AND(ISNUMBER(H45),ISNUMBER(I45)),H45+I45,"")</f>
        <v/>
      </c>
      <c r="K45" s="16" t="n">
        <v>0.5</v>
      </c>
      <c r="L45" s="26" t="inlineStr">
        <is>
          <t>16 Jan</t>
        </is>
      </c>
    </row>
    <row r="46">
      <c r="A46" s="41" t="n">
        <v>46039</v>
      </c>
      <c r="B46" s="105">
        <f>IFERROR(IF(INDEX(Polymarket!$B$25:$B$275,MATCH($A46,Polymarket!$A$25:$A$275,0))=0,"",INDEX(Polymarket!$B$25:$B$275,MATCH($A46,Polymarket!$A$25:$A$275,0))),"")</f>
        <v/>
      </c>
      <c r="C46" s="105">
        <f>IFERROR(IF(INDEX(Kalshi!$D$31:$D$458,MATCH($A46,Kalshi!$A$31:$A$458,0))=0,"",INDEX(Kalshi!$D$31:$D$458,MATCH($A46,Kalshi!$A$31:$A$458,0))),"")</f>
        <v/>
      </c>
      <c r="D46" s="31">
        <f>IF(AND(ISNUMBER(B46),ISNUMBER(C46)),B46-C46,"")</f>
        <v/>
      </c>
      <c r="E46" s="29">
        <f>IF(ISNUMBER(D46),ABS(D46),"")</f>
        <v/>
      </c>
      <c r="F46" s="105">
        <f>IFERROR(IF(INDEX(Polymarket!$C$25:$C$275,MATCH($A46,Polymarket!$A$25:$A$275,0))=0,"",INDEX(Polymarket!$C$25:$C$275,MATCH($A46,Polymarket!$A$25:$A$275,0))),"")</f>
        <v/>
      </c>
      <c r="G46" s="105">
        <f>IFERROR(IF(INDEX(Kalshi!$G$31:$G$458,MATCH($A46,Kalshi!$A$31:$A$458,0))=0,"",INDEX(Kalshi!$G$31:$G$458,MATCH($A46,Kalshi!$A$31:$A$458,0))),"")</f>
        <v/>
      </c>
      <c r="H46" s="30">
        <f>IF(AND(ISNUMBER(B46),ISNUMBER(C46)),MIN(B46,C46),"")</f>
        <v/>
      </c>
      <c r="I46" s="30">
        <f>IF(AND(ISNUMBER(F46),ISNUMBER(G46)),MIN(F46,G46),"")</f>
        <v/>
      </c>
      <c r="J46" s="29">
        <f>IF(AND(ISNUMBER(H46),ISNUMBER(I46)),H46+I46,"")</f>
        <v/>
      </c>
      <c r="K46" s="28" t="n">
        <v>0.5</v>
      </c>
      <c r="L46" s="38" t="inlineStr">
        <is>
          <t>17 Jan</t>
        </is>
      </c>
    </row>
    <row r="47">
      <c r="A47" s="39" t="n">
        <v>46040</v>
      </c>
      <c r="B47" s="104">
        <f>IFERROR(IF(INDEX(Polymarket!$B$25:$B$275,MATCH($A47,Polymarket!$A$25:$A$275,0))=0,"",INDEX(Polymarket!$B$25:$B$275,MATCH($A47,Polymarket!$A$25:$A$275,0))),"")</f>
        <v/>
      </c>
      <c r="C47" s="104">
        <f>IFERROR(IF(INDEX(Kalshi!$D$31:$D$458,MATCH($A47,Kalshi!$A$31:$A$458,0))=0,"",INDEX(Kalshi!$D$31:$D$458,MATCH($A47,Kalshi!$A$31:$A$458,0))),"")</f>
        <v/>
      </c>
      <c r="D47" s="18">
        <f>IF(AND(ISNUMBER(B47),ISNUMBER(C47)),B47-C47,"")</f>
        <v/>
      </c>
      <c r="E47" s="17">
        <f>IF(ISNUMBER(D47),ABS(D47),"")</f>
        <v/>
      </c>
      <c r="F47" s="104">
        <f>IFERROR(IF(INDEX(Polymarket!$C$25:$C$275,MATCH($A47,Polymarket!$A$25:$A$275,0))=0,"",INDEX(Polymarket!$C$25:$C$275,MATCH($A47,Polymarket!$A$25:$A$275,0))),"")</f>
        <v/>
      </c>
      <c r="G47" s="104">
        <f>IFERROR(IF(INDEX(Kalshi!$G$31:$G$458,MATCH($A47,Kalshi!$A$31:$A$458,0))=0,"",INDEX(Kalshi!$G$31:$G$458,MATCH($A47,Kalshi!$A$31:$A$458,0))),"")</f>
        <v/>
      </c>
      <c r="H47" s="20">
        <f>IF(AND(ISNUMBER(B47),ISNUMBER(C47)),MIN(B47,C47),"")</f>
        <v/>
      </c>
      <c r="I47" s="20">
        <f>IF(AND(ISNUMBER(F47),ISNUMBER(G47)),MIN(F47,G47),"")</f>
        <v/>
      </c>
      <c r="J47" s="17">
        <f>IF(AND(ISNUMBER(H47),ISNUMBER(I47)),H47+I47,"")</f>
        <v/>
      </c>
      <c r="K47" s="16" t="n">
        <v>0.5</v>
      </c>
      <c r="L47" s="26" t="inlineStr">
        <is>
          <t>18 Jan</t>
        </is>
      </c>
    </row>
    <row r="48">
      <c r="A48" s="41" t="n">
        <v>46041</v>
      </c>
      <c r="B48" s="105">
        <f>IFERROR(IF(INDEX(Polymarket!$B$25:$B$275,MATCH($A48,Polymarket!$A$25:$A$275,0))=0,"",INDEX(Polymarket!$B$25:$B$275,MATCH($A48,Polymarket!$A$25:$A$275,0))),"")</f>
        <v/>
      </c>
      <c r="C48" s="105">
        <f>IFERROR(IF(INDEX(Kalshi!$D$31:$D$458,MATCH($A48,Kalshi!$A$31:$A$458,0))=0,"",INDEX(Kalshi!$D$31:$D$458,MATCH($A48,Kalshi!$A$31:$A$458,0))),"")</f>
        <v/>
      </c>
      <c r="D48" s="31">
        <f>IF(AND(ISNUMBER(B48),ISNUMBER(C48)),B48-C48,"")</f>
        <v/>
      </c>
      <c r="E48" s="29">
        <f>IF(ISNUMBER(D48),ABS(D48),"")</f>
        <v/>
      </c>
      <c r="F48" s="105">
        <f>IFERROR(IF(INDEX(Polymarket!$C$25:$C$275,MATCH($A48,Polymarket!$A$25:$A$275,0))=0,"",INDEX(Polymarket!$C$25:$C$275,MATCH($A48,Polymarket!$A$25:$A$275,0))),"")</f>
        <v/>
      </c>
      <c r="G48" s="105">
        <f>IFERROR(IF(INDEX(Kalshi!$G$31:$G$458,MATCH($A48,Kalshi!$A$31:$A$458,0))=0,"",INDEX(Kalshi!$G$31:$G$458,MATCH($A48,Kalshi!$A$31:$A$458,0))),"")</f>
        <v/>
      </c>
      <c r="H48" s="30">
        <f>IF(AND(ISNUMBER(B48),ISNUMBER(C48)),MIN(B48,C48),"")</f>
        <v/>
      </c>
      <c r="I48" s="30">
        <f>IF(AND(ISNUMBER(F48),ISNUMBER(G48)),MIN(F48,G48),"")</f>
        <v/>
      </c>
      <c r="J48" s="29">
        <f>IF(AND(ISNUMBER(H48),ISNUMBER(I48)),H48+I48,"")</f>
        <v/>
      </c>
      <c r="K48" s="28" t="n">
        <v>0.5</v>
      </c>
      <c r="L48" s="38" t="inlineStr">
        <is>
          <t>19 Jan</t>
        </is>
      </c>
    </row>
    <row r="49">
      <c r="A49" s="39" t="n">
        <v>46042</v>
      </c>
      <c r="B49" s="104">
        <f>IFERROR(IF(INDEX(Polymarket!$B$25:$B$275,MATCH($A49,Polymarket!$A$25:$A$275,0))=0,"",INDEX(Polymarket!$B$25:$B$275,MATCH($A49,Polymarket!$A$25:$A$275,0))),"")</f>
        <v/>
      </c>
      <c r="C49" s="104">
        <f>IFERROR(IF(INDEX(Kalshi!$D$31:$D$458,MATCH($A49,Kalshi!$A$31:$A$458,0))=0,"",INDEX(Kalshi!$D$31:$D$458,MATCH($A49,Kalshi!$A$31:$A$458,0))),"")</f>
        <v/>
      </c>
      <c r="D49" s="18">
        <f>IF(AND(ISNUMBER(B49),ISNUMBER(C49)),B49-C49,"")</f>
        <v/>
      </c>
      <c r="E49" s="17">
        <f>IF(ISNUMBER(D49),ABS(D49),"")</f>
        <v/>
      </c>
      <c r="F49" s="104">
        <f>IFERROR(IF(INDEX(Polymarket!$C$25:$C$275,MATCH($A49,Polymarket!$A$25:$A$275,0))=0,"",INDEX(Polymarket!$C$25:$C$275,MATCH($A49,Polymarket!$A$25:$A$275,0))),"")</f>
        <v/>
      </c>
      <c r="G49" s="104">
        <f>IFERROR(IF(INDEX(Kalshi!$G$31:$G$458,MATCH($A49,Kalshi!$A$31:$A$458,0))=0,"",INDEX(Kalshi!$G$31:$G$458,MATCH($A49,Kalshi!$A$31:$A$458,0))),"")</f>
        <v/>
      </c>
      <c r="H49" s="20">
        <f>IF(AND(ISNUMBER(B49),ISNUMBER(C49)),MIN(B49,C49),"")</f>
        <v/>
      </c>
      <c r="I49" s="20">
        <f>IF(AND(ISNUMBER(F49),ISNUMBER(G49)),MIN(F49,G49),"")</f>
        <v/>
      </c>
      <c r="J49" s="17">
        <f>IF(AND(ISNUMBER(H49),ISNUMBER(I49)),H49+I49,"")</f>
        <v/>
      </c>
      <c r="K49" s="16" t="n">
        <v>0.5</v>
      </c>
      <c r="L49" s="26" t="inlineStr">
        <is>
          <t>20 Jan</t>
        </is>
      </c>
    </row>
    <row r="50">
      <c r="A50" s="41" t="n">
        <v>46043</v>
      </c>
      <c r="B50" s="105">
        <f>IFERROR(IF(INDEX(Polymarket!$B$25:$B$275,MATCH($A50,Polymarket!$A$25:$A$275,0))=0,"",INDEX(Polymarket!$B$25:$B$275,MATCH($A50,Polymarket!$A$25:$A$275,0))),"")</f>
        <v/>
      </c>
      <c r="C50" s="105">
        <f>IFERROR(IF(INDEX(Kalshi!$D$31:$D$458,MATCH($A50,Kalshi!$A$31:$A$458,0))=0,"",INDEX(Kalshi!$D$31:$D$458,MATCH($A50,Kalshi!$A$31:$A$458,0))),"")</f>
        <v/>
      </c>
      <c r="D50" s="31">
        <f>IF(AND(ISNUMBER(B50),ISNUMBER(C50)),B50-C50,"")</f>
        <v/>
      </c>
      <c r="E50" s="29">
        <f>IF(ISNUMBER(D50),ABS(D50),"")</f>
        <v/>
      </c>
      <c r="F50" s="105">
        <f>IFERROR(IF(INDEX(Polymarket!$C$25:$C$275,MATCH($A50,Polymarket!$A$25:$A$275,0))=0,"",INDEX(Polymarket!$C$25:$C$275,MATCH($A50,Polymarket!$A$25:$A$275,0))),"")</f>
        <v/>
      </c>
      <c r="G50" s="105">
        <f>IFERROR(IF(INDEX(Kalshi!$G$31:$G$458,MATCH($A50,Kalshi!$A$31:$A$458,0))=0,"",INDEX(Kalshi!$G$31:$G$458,MATCH($A50,Kalshi!$A$31:$A$458,0))),"")</f>
        <v/>
      </c>
      <c r="H50" s="30">
        <f>IF(AND(ISNUMBER(B50),ISNUMBER(C50)),MIN(B50,C50),"")</f>
        <v/>
      </c>
      <c r="I50" s="30">
        <f>IF(AND(ISNUMBER(F50),ISNUMBER(G50)),MIN(F50,G50),"")</f>
        <v/>
      </c>
      <c r="J50" s="29">
        <f>IF(AND(ISNUMBER(H50),ISNUMBER(I50)),H50+I50,"")</f>
        <v/>
      </c>
      <c r="K50" s="28" t="n">
        <v>0.5</v>
      </c>
      <c r="L50" s="38" t="inlineStr">
        <is>
          <t>21 Jan</t>
        </is>
      </c>
    </row>
    <row r="51">
      <c r="A51" s="39" t="n">
        <v>46044</v>
      </c>
      <c r="B51" s="104">
        <f>IFERROR(IF(INDEX(Polymarket!$B$25:$B$275,MATCH($A51,Polymarket!$A$25:$A$275,0))=0,"",INDEX(Polymarket!$B$25:$B$275,MATCH($A51,Polymarket!$A$25:$A$275,0))),"")</f>
        <v/>
      </c>
      <c r="C51" s="104">
        <f>IFERROR(IF(INDEX(Kalshi!$D$31:$D$458,MATCH($A51,Kalshi!$A$31:$A$458,0))=0,"",INDEX(Kalshi!$D$31:$D$458,MATCH($A51,Kalshi!$A$31:$A$458,0))),"")</f>
        <v/>
      </c>
      <c r="D51" s="18">
        <f>IF(AND(ISNUMBER(B51),ISNUMBER(C51)),B51-C51,"")</f>
        <v/>
      </c>
      <c r="E51" s="17">
        <f>IF(ISNUMBER(D51),ABS(D51),"")</f>
        <v/>
      </c>
      <c r="F51" s="104">
        <f>IFERROR(IF(INDEX(Polymarket!$C$25:$C$275,MATCH($A51,Polymarket!$A$25:$A$275,0))=0,"",INDEX(Polymarket!$C$25:$C$275,MATCH($A51,Polymarket!$A$25:$A$275,0))),"")</f>
        <v/>
      </c>
      <c r="G51" s="104">
        <f>IFERROR(IF(INDEX(Kalshi!$G$31:$G$458,MATCH($A51,Kalshi!$A$31:$A$458,0))=0,"",INDEX(Kalshi!$G$31:$G$458,MATCH($A51,Kalshi!$A$31:$A$458,0))),"")</f>
        <v/>
      </c>
      <c r="H51" s="20">
        <f>IF(AND(ISNUMBER(B51),ISNUMBER(C51)),MIN(B51,C51),"")</f>
        <v/>
      </c>
      <c r="I51" s="20">
        <f>IF(AND(ISNUMBER(F51),ISNUMBER(G51)),MIN(F51,G51),"")</f>
        <v/>
      </c>
      <c r="J51" s="17">
        <f>IF(AND(ISNUMBER(H51),ISNUMBER(I51)),H51+I51,"")</f>
        <v/>
      </c>
      <c r="K51" s="16" t="n">
        <v>0.5</v>
      </c>
      <c r="L51" s="26" t="inlineStr">
        <is>
          <t>22 Jan</t>
        </is>
      </c>
    </row>
    <row r="52">
      <c r="A52" s="41" t="n">
        <v>46045</v>
      </c>
      <c r="B52" s="105">
        <f>IFERROR(IF(INDEX(Polymarket!$B$25:$B$275,MATCH($A52,Polymarket!$A$25:$A$275,0))=0,"",INDEX(Polymarket!$B$25:$B$275,MATCH($A52,Polymarket!$A$25:$A$275,0))),"")</f>
        <v/>
      </c>
      <c r="C52" s="105">
        <f>IFERROR(IF(INDEX(Kalshi!$D$31:$D$458,MATCH($A52,Kalshi!$A$31:$A$458,0))=0,"",INDEX(Kalshi!$D$31:$D$458,MATCH($A52,Kalshi!$A$31:$A$458,0))),"")</f>
        <v/>
      </c>
      <c r="D52" s="31">
        <f>IF(AND(ISNUMBER(B52),ISNUMBER(C52)),B52-C52,"")</f>
        <v/>
      </c>
      <c r="E52" s="29">
        <f>IF(ISNUMBER(D52),ABS(D52),"")</f>
        <v/>
      </c>
      <c r="F52" s="105">
        <f>IFERROR(IF(INDEX(Polymarket!$C$25:$C$275,MATCH($A52,Polymarket!$A$25:$A$275,0))=0,"",INDEX(Polymarket!$C$25:$C$275,MATCH($A52,Polymarket!$A$25:$A$275,0))),"")</f>
        <v/>
      </c>
      <c r="G52" s="105">
        <f>IFERROR(IF(INDEX(Kalshi!$G$31:$G$458,MATCH($A52,Kalshi!$A$31:$A$458,0))=0,"",INDEX(Kalshi!$G$31:$G$458,MATCH($A52,Kalshi!$A$31:$A$458,0))),"")</f>
        <v/>
      </c>
      <c r="H52" s="30">
        <f>IF(AND(ISNUMBER(B52),ISNUMBER(C52)),MIN(B52,C52),"")</f>
        <v/>
      </c>
      <c r="I52" s="30">
        <f>IF(AND(ISNUMBER(F52),ISNUMBER(G52)),MIN(F52,G52),"")</f>
        <v/>
      </c>
      <c r="J52" s="29">
        <f>IF(AND(ISNUMBER(H52),ISNUMBER(I52)),H52+I52,"")</f>
        <v/>
      </c>
      <c r="K52" s="28" t="n">
        <v>0.5</v>
      </c>
      <c r="L52" s="38" t="inlineStr">
        <is>
          <t>23 Jan</t>
        </is>
      </c>
    </row>
    <row r="53">
      <c r="A53" s="39" t="n">
        <v>46046</v>
      </c>
      <c r="B53" s="104">
        <f>IFERROR(IF(INDEX(Polymarket!$B$25:$B$275,MATCH($A53,Polymarket!$A$25:$A$275,0))=0,"",INDEX(Polymarket!$B$25:$B$275,MATCH($A53,Polymarket!$A$25:$A$275,0))),"")</f>
        <v/>
      </c>
      <c r="C53" s="104">
        <f>IFERROR(IF(INDEX(Kalshi!$D$31:$D$458,MATCH($A53,Kalshi!$A$31:$A$458,0))=0,"",INDEX(Kalshi!$D$31:$D$458,MATCH($A53,Kalshi!$A$31:$A$458,0))),"")</f>
        <v/>
      </c>
      <c r="D53" s="18">
        <f>IF(AND(ISNUMBER(B53),ISNUMBER(C53)),B53-C53,"")</f>
        <v/>
      </c>
      <c r="E53" s="17">
        <f>IF(ISNUMBER(D53),ABS(D53),"")</f>
        <v/>
      </c>
      <c r="F53" s="104">
        <f>IFERROR(IF(INDEX(Polymarket!$C$25:$C$275,MATCH($A53,Polymarket!$A$25:$A$275,0))=0,"",INDEX(Polymarket!$C$25:$C$275,MATCH($A53,Polymarket!$A$25:$A$275,0))),"")</f>
        <v/>
      </c>
      <c r="G53" s="104">
        <f>IFERROR(IF(INDEX(Kalshi!$G$31:$G$458,MATCH($A53,Kalshi!$A$31:$A$458,0))=0,"",INDEX(Kalshi!$G$31:$G$458,MATCH($A53,Kalshi!$A$31:$A$458,0))),"")</f>
        <v/>
      </c>
      <c r="H53" s="20">
        <f>IF(AND(ISNUMBER(B53),ISNUMBER(C53)),MIN(B53,C53),"")</f>
        <v/>
      </c>
      <c r="I53" s="20">
        <f>IF(AND(ISNUMBER(F53),ISNUMBER(G53)),MIN(F53,G53),"")</f>
        <v/>
      </c>
      <c r="J53" s="17">
        <f>IF(AND(ISNUMBER(H53),ISNUMBER(I53)),H53+I53,"")</f>
        <v/>
      </c>
      <c r="K53" s="16" t="n">
        <v>0.5</v>
      </c>
      <c r="L53" s="26" t="inlineStr">
        <is>
          <t>24 Jan</t>
        </is>
      </c>
    </row>
    <row r="54">
      <c r="A54" s="41" t="n">
        <v>46047</v>
      </c>
      <c r="B54" s="105">
        <f>IFERROR(IF(INDEX(Polymarket!$B$25:$B$275,MATCH($A54,Polymarket!$A$25:$A$275,0))=0,"",INDEX(Polymarket!$B$25:$B$275,MATCH($A54,Polymarket!$A$25:$A$275,0))),"")</f>
        <v/>
      </c>
      <c r="C54" s="105">
        <f>IFERROR(IF(INDEX(Kalshi!$D$31:$D$458,MATCH($A54,Kalshi!$A$31:$A$458,0))=0,"",INDEX(Kalshi!$D$31:$D$458,MATCH($A54,Kalshi!$A$31:$A$458,0))),"")</f>
        <v/>
      </c>
      <c r="D54" s="31">
        <f>IF(AND(ISNUMBER(B54),ISNUMBER(C54)),B54-C54,"")</f>
        <v/>
      </c>
      <c r="E54" s="29">
        <f>IF(ISNUMBER(D54),ABS(D54),"")</f>
        <v/>
      </c>
      <c r="F54" s="105">
        <f>IFERROR(IF(INDEX(Polymarket!$C$25:$C$275,MATCH($A54,Polymarket!$A$25:$A$275,0))=0,"",INDEX(Polymarket!$C$25:$C$275,MATCH($A54,Polymarket!$A$25:$A$275,0))),"")</f>
        <v/>
      </c>
      <c r="G54" s="105">
        <f>IFERROR(IF(INDEX(Kalshi!$G$31:$G$458,MATCH($A54,Kalshi!$A$31:$A$458,0))=0,"",INDEX(Kalshi!$G$31:$G$458,MATCH($A54,Kalshi!$A$31:$A$458,0))),"")</f>
        <v/>
      </c>
      <c r="H54" s="30">
        <f>IF(AND(ISNUMBER(B54),ISNUMBER(C54)),MIN(B54,C54),"")</f>
        <v/>
      </c>
      <c r="I54" s="30">
        <f>IF(AND(ISNUMBER(F54),ISNUMBER(G54)),MIN(F54,G54),"")</f>
        <v/>
      </c>
      <c r="J54" s="29">
        <f>IF(AND(ISNUMBER(H54),ISNUMBER(I54)),H54+I54,"")</f>
        <v/>
      </c>
      <c r="K54" s="28" t="n">
        <v>0.5</v>
      </c>
      <c r="L54" s="38" t="inlineStr">
        <is>
          <t>25 Jan</t>
        </is>
      </c>
    </row>
    <row r="55">
      <c r="A55" s="39" t="n">
        <v>46048</v>
      </c>
      <c r="B55" s="104">
        <f>IFERROR(IF(INDEX(Polymarket!$B$25:$B$275,MATCH($A55,Polymarket!$A$25:$A$275,0))=0,"",INDEX(Polymarket!$B$25:$B$275,MATCH($A55,Polymarket!$A$25:$A$275,0))),"")</f>
        <v/>
      </c>
      <c r="C55" s="104">
        <f>IFERROR(IF(INDEX(Kalshi!$D$31:$D$458,MATCH($A55,Kalshi!$A$31:$A$458,0))=0,"",INDEX(Kalshi!$D$31:$D$458,MATCH($A55,Kalshi!$A$31:$A$458,0))),"")</f>
        <v/>
      </c>
      <c r="D55" s="18">
        <f>IF(AND(ISNUMBER(B55),ISNUMBER(C55)),B55-C55,"")</f>
        <v/>
      </c>
      <c r="E55" s="17">
        <f>IF(ISNUMBER(D55),ABS(D55),"")</f>
        <v/>
      </c>
      <c r="F55" s="104">
        <f>IFERROR(IF(INDEX(Polymarket!$C$25:$C$275,MATCH($A55,Polymarket!$A$25:$A$275,0))=0,"",INDEX(Polymarket!$C$25:$C$275,MATCH($A55,Polymarket!$A$25:$A$275,0))),"")</f>
        <v/>
      </c>
      <c r="G55" s="104">
        <f>IFERROR(IF(INDEX(Kalshi!$G$31:$G$458,MATCH($A55,Kalshi!$A$31:$A$458,0))=0,"",INDEX(Kalshi!$G$31:$G$458,MATCH($A55,Kalshi!$A$31:$A$458,0))),"")</f>
        <v/>
      </c>
      <c r="H55" s="20">
        <f>IF(AND(ISNUMBER(B55),ISNUMBER(C55)),MIN(B55,C55),"")</f>
        <v/>
      </c>
      <c r="I55" s="20">
        <f>IF(AND(ISNUMBER(F55),ISNUMBER(G55)),MIN(F55,G55),"")</f>
        <v/>
      </c>
      <c r="J55" s="17">
        <f>IF(AND(ISNUMBER(H55),ISNUMBER(I55)),H55+I55,"")</f>
        <v/>
      </c>
      <c r="K55" s="16" t="n">
        <v>0.5</v>
      </c>
      <c r="L55" s="26" t="inlineStr">
        <is>
          <t>26 Jan</t>
        </is>
      </c>
    </row>
    <row r="56">
      <c r="A56" s="41" t="n">
        <v>46049</v>
      </c>
      <c r="B56" s="105">
        <f>IFERROR(IF(INDEX(Polymarket!$B$25:$B$275,MATCH($A56,Polymarket!$A$25:$A$275,0))=0,"",INDEX(Polymarket!$B$25:$B$275,MATCH($A56,Polymarket!$A$25:$A$275,0))),"")</f>
        <v/>
      </c>
      <c r="C56" s="105">
        <f>IFERROR(IF(INDEX(Kalshi!$D$31:$D$458,MATCH($A56,Kalshi!$A$31:$A$458,0))=0,"",INDEX(Kalshi!$D$31:$D$458,MATCH($A56,Kalshi!$A$31:$A$458,0))),"")</f>
        <v/>
      </c>
      <c r="D56" s="31">
        <f>IF(AND(ISNUMBER(B56),ISNUMBER(C56)),B56-C56,"")</f>
        <v/>
      </c>
      <c r="E56" s="29">
        <f>IF(ISNUMBER(D56),ABS(D56),"")</f>
        <v/>
      </c>
      <c r="F56" s="105">
        <f>IFERROR(IF(INDEX(Polymarket!$C$25:$C$275,MATCH($A56,Polymarket!$A$25:$A$275,0))=0,"",INDEX(Polymarket!$C$25:$C$275,MATCH($A56,Polymarket!$A$25:$A$275,0))),"")</f>
        <v/>
      </c>
      <c r="G56" s="105">
        <f>IFERROR(IF(INDEX(Kalshi!$G$31:$G$458,MATCH($A56,Kalshi!$A$31:$A$458,0))=0,"",INDEX(Kalshi!$G$31:$G$458,MATCH($A56,Kalshi!$A$31:$A$458,0))),"")</f>
        <v/>
      </c>
      <c r="H56" s="30">
        <f>IF(AND(ISNUMBER(B56),ISNUMBER(C56)),MIN(B56,C56),"")</f>
        <v/>
      </c>
      <c r="I56" s="30">
        <f>IF(AND(ISNUMBER(F56),ISNUMBER(G56)),MIN(F56,G56),"")</f>
        <v/>
      </c>
      <c r="J56" s="29">
        <f>IF(AND(ISNUMBER(H56),ISNUMBER(I56)),H56+I56,"")</f>
        <v/>
      </c>
      <c r="K56" s="28" t="n">
        <v>0.5</v>
      </c>
      <c r="L56" s="38" t="inlineStr">
        <is>
          <t>27 Jan</t>
        </is>
      </c>
    </row>
    <row r="57">
      <c r="A57" s="39" t="n">
        <v>46050</v>
      </c>
      <c r="B57" s="104">
        <f>IFERROR(IF(INDEX(Polymarket!$B$25:$B$275,MATCH($A57,Polymarket!$A$25:$A$275,0))=0,"",INDEX(Polymarket!$B$25:$B$275,MATCH($A57,Polymarket!$A$25:$A$275,0))),"")</f>
        <v/>
      </c>
      <c r="C57" s="104">
        <f>IFERROR(IF(INDEX(Kalshi!$D$31:$D$458,MATCH($A57,Kalshi!$A$31:$A$458,0))=0,"",INDEX(Kalshi!$D$31:$D$458,MATCH($A57,Kalshi!$A$31:$A$458,0))),"")</f>
        <v/>
      </c>
      <c r="D57" s="18">
        <f>IF(AND(ISNUMBER(B57),ISNUMBER(C57)),B57-C57,"")</f>
        <v/>
      </c>
      <c r="E57" s="17">
        <f>IF(ISNUMBER(D57),ABS(D57),"")</f>
        <v/>
      </c>
      <c r="F57" s="104">
        <f>IFERROR(IF(INDEX(Polymarket!$C$25:$C$275,MATCH($A57,Polymarket!$A$25:$A$275,0))=0,"",INDEX(Polymarket!$C$25:$C$275,MATCH($A57,Polymarket!$A$25:$A$275,0))),"")</f>
        <v/>
      </c>
      <c r="G57" s="104">
        <f>IFERROR(IF(INDEX(Kalshi!$G$31:$G$458,MATCH($A57,Kalshi!$A$31:$A$458,0))=0,"",INDEX(Kalshi!$G$31:$G$458,MATCH($A57,Kalshi!$A$31:$A$458,0))),"")</f>
        <v/>
      </c>
      <c r="H57" s="20">
        <f>IF(AND(ISNUMBER(B57),ISNUMBER(C57)),MIN(B57,C57),"")</f>
        <v/>
      </c>
      <c r="I57" s="20">
        <f>IF(AND(ISNUMBER(F57),ISNUMBER(G57)),MIN(F57,G57),"")</f>
        <v/>
      </c>
      <c r="J57" s="17">
        <f>IF(AND(ISNUMBER(H57),ISNUMBER(I57)),H57+I57,"")</f>
        <v/>
      </c>
      <c r="K57" s="16" t="n">
        <v>0.5</v>
      </c>
      <c r="L57" s="26" t="inlineStr">
        <is>
          <t>28 Jan</t>
        </is>
      </c>
    </row>
    <row r="58">
      <c r="A58" s="41" t="n">
        <v>46051</v>
      </c>
      <c r="B58" s="105">
        <f>IFERROR(IF(INDEX(Polymarket!$B$25:$B$275,MATCH($A58,Polymarket!$A$25:$A$275,0))=0,"",INDEX(Polymarket!$B$25:$B$275,MATCH($A58,Polymarket!$A$25:$A$275,0))),"")</f>
        <v/>
      </c>
      <c r="C58" s="105">
        <f>IFERROR(IF(INDEX(Kalshi!$D$31:$D$458,MATCH($A58,Kalshi!$A$31:$A$458,0))=0,"",INDEX(Kalshi!$D$31:$D$458,MATCH($A58,Kalshi!$A$31:$A$458,0))),"")</f>
        <v/>
      </c>
      <c r="D58" s="31">
        <f>IF(AND(ISNUMBER(B58),ISNUMBER(C58)),B58-C58,"")</f>
        <v/>
      </c>
      <c r="E58" s="29">
        <f>IF(ISNUMBER(D58),ABS(D58),"")</f>
        <v/>
      </c>
      <c r="F58" s="105">
        <f>IFERROR(IF(INDEX(Polymarket!$C$25:$C$275,MATCH($A58,Polymarket!$A$25:$A$275,0))=0,"",INDEX(Polymarket!$C$25:$C$275,MATCH($A58,Polymarket!$A$25:$A$275,0))),"")</f>
        <v/>
      </c>
      <c r="G58" s="105">
        <f>IFERROR(IF(INDEX(Kalshi!$G$31:$G$458,MATCH($A58,Kalshi!$A$31:$A$458,0))=0,"",INDEX(Kalshi!$G$31:$G$458,MATCH($A58,Kalshi!$A$31:$A$458,0))),"")</f>
        <v/>
      </c>
      <c r="H58" s="30">
        <f>IF(AND(ISNUMBER(B58),ISNUMBER(C58)),MIN(B58,C58),"")</f>
        <v/>
      </c>
      <c r="I58" s="30">
        <f>IF(AND(ISNUMBER(F58),ISNUMBER(G58)),MIN(F58,G58),"")</f>
        <v/>
      </c>
      <c r="J58" s="29">
        <f>IF(AND(ISNUMBER(H58),ISNUMBER(I58)),H58+I58,"")</f>
        <v/>
      </c>
      <c r="K58" s="28" t="n">
        <v>0.5</v>
      </c>
      <c r="L58" s="38" t="inlineStr">
        <is>
          <t>29 Jan</t>
        </is>
      </c>
    </row>
    <row r="59">
      <c r="A59" s="39" t="n">
        <v>46052</v>
      </c>
      <c r="B59" s="104">
        <f>IFERROR(IF(INDEX(Polymarket!$B$25:$B$275,MATCH($A59,Polymarket!$A$25:$A$275,0))=0,"",INDEX(Polymarket!$B$25:$B$275,MATCH($A59,Polymarket!$A$25:$A$275,0))),"")</f>
        <v/>
      </c>
      <c r="C59" s="104">
        <f>IFERROR(IF(INDEX(Kalshi!$D$31:$D$458,MATCH($A59,Kalshi!$A$31:$A$458,0))=0,"",INDEX(Kalshi!$D$31:$D$458,MATCH($A59,Kalshi!$A$31:$A$458,0))),"")</f>
        <v/>
      </c>
      <c r="D59" s="18">
        <f>IF(AND(ISNUMBER(B59),ISNUMBER(C59)),B59-C59,"")</f>
        <v/>
      </c>
      <c r="E59" s="17">
        <f>IF(ISNUMBER(D59),ABS(D59),"")</f>
        <v/>
      </c>
      <c r="F59" s="104">
        <f>IFERROR(IF(INDEX(Polymarket!$C$25:$C$275,MATCH($A59,Polymarket!$A$25:$A$275,0))=0,"",INDEX(Polymarket!$C$25:$C$275,MATCH($A59,Polymarket!$A$25:$A$275,0))),"")</f>
        <v/>
      </c>
      <c r="G59" s="104">
        <f>IFERROR(IF(INDEX(Kalshi!$G$31:$G$458,MATCH($A59,Kalshi!$A$31:$A$458,0))=0,"",INDEX(Kalshi!$G$31:$G$458,MATCH($A59,Kalshi!$A$31:$A$458,0))),"")</f>
        <v/>
      </c>
      <c r="H59" s="20">
        <f>IF(AND(ISNUMBER(B59),ISNUMBER(C59)),MIN(B59,C59),"")</f>
        <v/>
      </c>
      <c r="I59" s="20">
        <f>IF(AND(ISNUMBER(F59),ISNUMBER(G59)),MIN(F59,G59),"")</f>
        <v/>
      </c>
      <c r="J59" s="17">
        <f>IF(AND(ISNUMBER(H59),ISNUMBER(I59)),H59+I59,"")</f>
        <v/>
      </c>
      <c r="K59" s="16" t="n">
        <v>0.5</v>
      </c>
      <c r="L59" s="26" t="inlineStr">
        <is>
          <t>30 Jan</t>
        </is>
      </c>
    </row>
    <row r="60">
      <c r="A60" s="41" t="n">
        <v>46053</v>
      </c>
      <c r="B60" s="105">
        <f>IFERROR(IF(INDEX(Polymarket!$B$25:$B$275,MATCH($A60,Polymarket!$A$25:$A$275,0))=0,"",INDEX(Polymarket!$B$25:$B$275,MATCH($A60,Polymarket!$A$25:$A$275,0))),"")</f>
        <v/>
      </c>
      <c r="C60" s="105">
        <f>IFERROR(IF(INDEX(Kalshi!$D$31:$D$458,MATCH($A60,Kalshi!$A$31:$A$458,0))=0,"",INDEX(Kalshi!$D$31:$D$458,MATCH($A60,Kalshi!$A$31:$A$458,0))),"")</f>
        <v/>
      </c>
      <c r="D60" s="31">
        <f>IF(AND(ISNUMBER(B60),ISNUMBER(C60)),B60-C60,"")</f>
        <v/>
      </c>
      <c r="E60" s="29">
        <f>IF(ISNUMBER(D60),ABS(D60),"")</f>
        <v/>
      </c>
      <c r="F60" s="105">
        <f>IFERROR(IF(INDEX(Polymarket!$C$25:$C$275,MATCH($A60,Polymarket!$A$25:$A$275,0))=0,"",INDEX(Polymarket!$C$25:$C$275,MATCH($A60,Polymarket!$A$25:$A$275,0))),"")</f>
        <v/>
      </c>
      <c r="G60" s="105">
        <f>IFERROR(IF(INDEX(Kalshi!$G$31:$G$458,MATCH($A60,Kalshi!$A$31:$A$458,0))=0,"",INDEX(Kalshi!$G$31:$G$458,MATCH($A60,Kalshi!$A$31:$A$458,0))),"")</f>
        <v/>
      </c>
      <c r="H60" s="30">
        <f>IF(AND(ISNUMBER(B60),ISNUMBER(C60)),MIN(B60,C60),"")</f>
        <v/>
      </c>
      <c r="I60" s="30">
        <f>IF(AND(ISNUMBER(F60),ISNUMBER(G60)),MIN(F60,G60),"")</f>
        <v/>
      </c>
      <c r="J60" s="29">
        <f>IF(AND(ISNUMBER(H60),ISNUMBER(I60)),H60+I60,"")</f>
        <v/>
      </c>
      <c r="K60" s="28" t="n">
        <v>0.5</v>
      </c>
      <c r="L60" s="38" t="inlineStr">
        <is>
          <t>31 Jan</t>
        </is>
      </c>
    </row>
    <row r="61">
      <c r="A61" s="39" t="n">
        <v>46054</v>
      </c>
      <c r="B61" s="104">
        <f>IFERROR(IF(INDEX(Polymarket!$B$25:$B$275,MATCH($A61,Polymarket!$A$25:$A$275,0))=0,"",INDEX(Polymarket!$B$25:$B$275,MATCH($A61,Polymarket!$A$25:$A$275,0))),"")</f>
        <v/>
      </c>
      <c r="C61" s="104">
        <f>IFERROR(IF(INDEX(Kalshi!$D$31:$D$458,MATCH($A61,Kalshi!$A$31:$A$458,0))=0,"",INDEX(Kalshi!$D$31:$D$458,MATCH($A61,Kalshi!$A$31:$A$458,0))),"")</f>
        <v/>
      </c>
      <c r="D61" s="18">
        <f>IF(AND(ISNUMBER(B61),ISNUMBER(C61)),B61-C61,"")</f>
        <v/>
      </c>
      <c r="E61" s="17">
        <f>IF(ISNUMBER(D61),ABS(D61),"")</f>
        <v/>
      </c>
      <c r="F61" s="104">
        <f>IFERROR(IF(INDEX(Polymarket!$C$25:$C$275,MATCH($A61,Polymarket!$A$25:$A$275,0))=0,"",INDEX(Polymarket!$C$25:$C$275,MATCH($A61,Polymarket!$A$25:$A$275,0))),"")</f>
        <v/>
      </c>
      <c r="G61" s="104">
        <f>IFERROR(IF(INDEX(Kalshi!$G$31:$G$458,MATCH($A61,Kalshi!$A$31:$A$458,0))=0,"",INDEX(Kalshi!$G$31:$G$458,MATCH($A61,Kalshi!$A$31:$A$458,0))),"")</f>
        <v/>
      </c>
      <c r="H61" s="20">
        <f>IF(AND(ISNUMBER(B61),ISNUMBER(C61)),MIN(B61,C61),"")</f>
        <v/>
      </c>
      <c r="I61" s="20">
        <f>IF(AND(ISNUMBER(F61),ISNUMBER(G61)),MIN(F61,G61),"")</f>
        <v/>
      </c>
      <c r="J61" s="17">
        <f>IF(AND(ISNUMBER(H61),ISNUMBER(I61)),H61+I61,"")</f>
        <v/>
      </c>
      <c r="K61" s="16" t="n">
        <v>0.5</v>
      </c>
      <c r="L61" s="26" t="inlineStr">
        <is>
          <t>01 Feb</t>
        </is>
      </c>
    </row>
    <row r="62">
      <c r="A62" s="41" t="n">
        <v>46055</v>
      </c>
      <c r="B62" s="105">
        <f>IFERROR(IF(INDEX(Polymarket!$B$25:$B$275,MATCH($A62,Polymarket!$A$25:$A$275,0))=0,"",INDEX(Polymarket!$B$25:$B$275,MATCH($A62,Polymarket!$A$25:$A$275,0))),"")</f>
        <v/>
      </c>
      <c r="C62" s="105">
        <f>IFERROR(IF(INDEX(Kalshi!$D$31:$D$458,MATCH($A62,Kalshi!$A$31:$A$458,0))=0,"",INDEX(Kalshi!$D$31:$D$458,MATCH($A62,Kalshi!$A$31:$A$458,0))),"")</f>
        <v/>
      </c>
      <c r="D62" s="31">
        <f>IF(AND(ISNUMBER(B62),ISNUMBER(C62)),B62-C62,"")</f>
        <v/>
      </c>
      <c r="E62" s="29">
        <f>IF(ISNUMBER(D62),ABS(D62),"")</f>
        <v/>
      </c>
      <c r="F62" s="105">
        <f>IFERROR(IF(INDEX(Polymarket!$C$25:$C$275,MATCH($A62,Polymarket!$A$25:$A$275,0))=0,"",INDEX(Polymarket!$C$25:$C$275,MATCH($A62,Polymarket!$A$25:$A$275,0))),"")</f>
        <v/>
      </c>
      <c r="G62" s="105">
        <f>IFERROR(IF(INDEX(Kalshi!$G$31:$G$458,MATCH($A62,Kalshi!$A$31:$A$458,0))=0,"",INDEX(Kalshi!$G$31:$G$458,MATCH($A62,Kalshi!$A$31:$A$458,0))),"")</f>
        <v/>
      </c>
      <c r="H62" s="30">
        <f>IF(AND(ISNUMBER(B62),ISNUMBER(C62)),MIN(B62,C62),"")</f>
        <v/>
      </c>
      <c r="I62" s="30">
        <f>IF(AND(ISNUMBER(F62),ISNUMBER(G62)),MIN(F62,G62),"")</f>
        <v/>
      </c>
      <c r="J62" s="29">
        <f>IF(AND(ISNUMBER(H62),ISNUMBER(I62)),H62+I62,"")</f>
        <v/>
      </c>
      <c r="K62" s="28" t="n">
        <v>0.5</v>
      </c>
      <c r="L62" s="38" t="inlineStr">
        <is>
          <t>02 Feb</t>
        </is>
      </c>
    </row>
    <row r="63">
      <c r="A63" s="39" t="n">
        <v>46056</v>
      </c>
      <c r="B63" s="104">
        <f>IFERROR(IF(INDEX(Polymarket!$B$25:$B$275,MATCH($A63,Polymarket!$A$25:$A$275,0))=0,"",INDEX(Polymarket!$B$25:$B$275,MATCH($A63,Polymarket!$A$25:$A$275,0))),"")</f>
        <v/>
      </c>
      <c r="C63" s="104">
        <f>IFERROR(IF(INDEX(Kalshi!$D$31:$D$458,MATCH($A63,Kalshi!$A$31:$A$458,0))=0,"",INDEX(Kalshi!$D$31:$D$458,MATCH($A63,Kalshi!$A$31:$A$458,0))),"")</f>
        <v/>
      </c>
      <c r="D63" s="18">
        <f>IF(AND(ISNUMBER(B63),ISNUMBER(C63)),B63-C63,"")</f>
        <v/>
      </c>
      <c r="E63" s="17">
        <f>IF(ISNUMBER(D63),ABS(D63),"")</f>
        <v/>
      </c>
      <c r="F63" s="104">
        <f>IFERROR(IF(INDEX(Polymarket!$C$25:$C$275,MATCH($A63,Polymarket!$A$25:$A$275,0))=0,"",INDEX(Polymarket!$C$25:$C$275,MATCH($A63,Polymarket!$A$25:$A$275,0))),"")</f>
        <v/>
      </c>
      <c r="G63" s="104">
        <f>IFERROR(IF(INDEX(Kalshi!$G$31:$G$458,MATCH($A63,Kalshi!$A$31:$A$458,0))=0,"",INDEX(Kalshi!$G$31:$G$458,MATCH($A63,Kalshi!$A$31:$A$458,0))),"")</f>
        <v/>
      </c>
      <c r="H63" s="20">
        <f>IF(AND(ISNUMBER(B63),ISNUMBER(C63)),MIN(B63,C63),"")</f>
        <v/>
      </c>
      <c r="I63" s="20">
        <f>IF(AND(ISNUMBER(F63),ISNUMBER(G63)),MIN(F63,G63),"")</f>
        <v/>
      </c>
      <c r="J63" s="17">
        <f>IF(AND(ISNUMBER(H63),ISNUMBER(I63)),H63+I63,"")</f>
        <v/>
      </c>
      <c r="K63" s="16" t="n">
        <v>0.5</v>
      </c>
      <c r="L63" s="26" t="inlineStr">
        <is>
          <t>03 Feb</t>
        </is>
      </c>
    </row>
    <row r="64">
      <c r="A64" s="41" t="n">
        <v>46057</v>
      </c>
      <c r="B64" s="105">
        <f>IFERROR(IF(INDEX(Polymarket!$B$25:$B$275,MATCH($A64,Polymarket!$A$25:$A$275,0))=0,"",INDEX(Polymarket!$B$25:$B$275,MATCH($A64,Polymarket!$A$25:$A$275,0))),"")</f>
        <v/>
      </c>
      <c r="C64" s="105">
        <f>IFERROR(IF(INDEX(Kalshi!$D$31:$D$458,MATCH($A64,Kalshi!$A$31:$A$458,0))=0,"",INDEX(Kalshi!$D$31:$D$458,MATCH($A64,Kalshi!$A$31:$A$458,0))),"")</f>
        <v/>
      </c>
      <c r="D64" s="31">
        <f>IF(AND(ISNUMBER(B64),ISNUMBER(C64)),B64-C64,"")</f>
        <v/>
      </c>
      <c r="E64" s="29">
        <f>IF(ISNUMBER(D64),ABS(D64),"")</f>
        <v/>
      </c>
      <c r="F64" s="105">
        <f>IFERROR(IF(INDEX(Polymarket!$C$25:$C$275,MATCH($A64,Polymarket!$A$25:$A$275,0))=0,"",INDEX(Polymarket!$C$25:$C$275,MATCH($A64,Polymarket!$A$25:$A$275,0))),"")</f>
        <v/>
      </c>
      <c r="G64" s="105">
        <f>IFERROR(IF(INDEX(Kalshi!$G$31:$G$458,MATCH($A64,Kalshi!$A$31:$A$458,0))=0,"",INDEX(Kalshi!$G$31:$G$458,MATCH($A64,Kalshi!$A$31:$A$458,0))),"")</f>
        <v/>
      </c>
      <c r="H64" s="30">
        <f>IF(AND(ISNUMBER(B64),ISNUMBER(C64)),MIN(B64,C64),"")</f>
        <v/>
      </c>
      <c r="I64" s="30">
        <f>IF(AND(ISNUMBER(F64),ISNUMBER(G64)),MIN(F64,G64),"")</f>
        <v/>
      </c>
      <c r="J64" s="29">
        <f>IF(AND(ISNUMBER(H64),ISNUMBER(I64)),H64+I64,"")</f>
        <v/>
      </c>
      <c r="K64" s="28" t="n">
        <v>0.5</v>
      </c>
      <c r="L64" s="38" t="inlineStr">
        <is>
          <t>04 Feb</t>
        </is>
      </c>
    </row>
    <row r="65">
      <c r="A65" s="39" t="n">
        <v>46058</v>
      </c>
      <c r="B65" s="104">
        <f>IFERROR(IF(INDEX(Polymarket!$B$25:$B$275,MATCH($A65,Polymarket!$A$25:$A$275,0))=0,"",INDEX(Polymarket!$B$25:$B$275,MATCH($A65,Polymarket!$A$25:$A$275,0))),"")</f>
        <v/>
      </c>
      <c r="C65" s="104">
        <f>IFERROR(IF(INDEX(Kalshi!$D$31:$D$458,MATCH($A65,Kalshi!$A$31:$A$458,0))=0,"",INDEX(Kalshi!$D$31:$D$458,MATCH($A65,Kalshi!$A$31:$A$458,0))),"")</f>
        <v/>
      </c>
      <c r="D65" s="18">
        <f>IF(AND(ISNUMBER(B65),ISNUMBER(C65)),B65-C65,"")</f>
        <v/>
      </c>
      <c r="E65" s="17">
        <f>IF(ISNUMBER(D65),ABS(D65),"")</f>
        <v/>
      </c>
      <c r="F65" s="104">
        <f>IFERROR(IF(INDEX(Polymarket!$C$25:$C$275,MATCH($A65,Polymarket!$A$25:$A$275,0))=0,"",INDEX(Polymarket!$C$25:$C$275,MATCH($A65,Polymarket!$A$25:$A$275,0))),"")</f>
        <v/>
      </c>
      <c r="G65" s="104">
        <f>IFERROR(IF(INDEX(Kalshi!$G$31:$G$458,MATCH($A65,Kalshi!$A$31:$A$458,0))=0,"",INDEX(Kalshi!$G$31:$G$458,MATCH($A65,Kalshi!$A$31:$A$458,0))),"")</f>
        <v/>
      </c>
      <c r="H65" s="20">
        <f>IF(AND(ISNUMBER(B65),ISNUMBER(C65)),MIN(B65,C65),"")</f>
        <v/>
      </c>
      <c r="I65" s="20">
        <f>IF(AND(ISNUMBER(F65),ISNUMBER(G65)),MIN(F65,G65),"")</f>
        <v/>
      </c>
      <c r="J65" s="17">
        <f>IF(AND(ISNUMBER(H65),ISNUMBER(I65)),H65+I65,"")</f>
        <v/>
      </c>
      <c r="K65" s="16" t="n">
        <v>0.5</v>
      </c>
      <c r="L65" s="26" t="inlineStr">
        <is>
          <t>05 Feb</t>
        </is>
      </c>
    </row>
    <row r="66">
      <c r="A66" s="41" t="n">
        <v>46059</v>
      </c>
      <c r="B66" s="105">
        <f>IFERROR(IF(INDEX(Polymarket!$B$25:$B$275,MATCH($A66,Polymarket!$A$25:$A$275,0))=0,"",INDEX(Polymarket!$B$25:$B$275,MATCH($A66,Polymarket!$A$25:$A$275,0))),"")</f>
        <v/>
      </c>
      <c r="C66" s="105">
        <f>IFERROR(IF(INDEX(Kalshi!$D$31:$D$458,MATCH($A66,Kalshi!$A$31:$A$458,0))=0,"",INDEX(Kalshi!$D$31:$D$458,MATCH($A66,Kalshi!$A$31:$A$458,0))),"")</f>
        <v/>
      </c>
      <c r="D66" s="31">
        <f>IF(AND(ISNUMBER(B66),ISNUMBER(C66)),B66-C66,"")</f>
        <v/>
      </c>
      <c r="E66" s="29">
        <f>IF(ISNUMBER(D66),ABS(D66),"")</f>
        <v/>
      </c>
      <c r="F66" s="105">
        <f>IFERROR(IF(INDEX(Polymarket!$C$25:$C$275,MATCH($A66,Polymarket!$A$25:$A$275,0))=0,"",INDEX(Polymarket!$C$25:$C$275,MATCH($A66,Polymarket!$A$25:$A$275,0))),"")</f>
        <v/>
      </c>
      <c r="G66" s="105">
        <f>IFERROR(IF(INDEX(Kalshi!$G$31:$G$458,MATCH($A66,Kalshi!$A$31:$A$458,0))=0,"",INDEX(Kalshi!$G$31:$G$458,MATCH($A66,Kalshi!$A$31:$A$458,0))),"")</f>
        <v/>
      </c>
      <c r="H66" s="30">
        <f>IF(AND(ISNUMBER(B66),ISNUMBER(C66)),MIN(B66,C66),"")</f>
        <v/>
      </c>
      <c r="I66" s="30">
        <f>IF(AND(ISNUMBER(F66),ISNUMBER(G66)),MIN(F66,G66),"")</f>
        <v/>
      </c>
      <c r="J66" s="29">
        <f>IF(AND(ISNUMBER(H66),ISNUMBER(I66)),H66+I66,"")</f>
        <v/>
      </c>
      <c r="K66" s="28" t="n">
        <v>0.5</v>
      </c>
      <c r="L66" s="38" t="inlineStr">
        <is>
          <t>06 Feb</t>
        </is>
      </c>
    </row>
    <row r="67">
      <c r="A67" s="39" t="n">
        <v>46060</v>
      </c>
      <c r="B67" s="104">
        <f>IFERROR(IF(INDEX(Polymarket!$B$25:$B$275,MATCH($A67,Polymarket!$A$25:$A$275,0))=0,"",INDEX(Polymarket!$B$25:$B$275,MATCH($A67,Polymarket!$A$25:$A$275,0))),"")</f>
        <v/>
      </c>
      <c r="C67" s="104">
        <f>IFERROR(IF(INDEX(Kalshi!$D$31:$D$458,MATCH($A67,Kalshi!$A$31:$A$458,0))=0,"",INDEX(Kalshi!$D$31:$D$458,MATCH($A67,Kalshi!$A$31:$A$458,0))),"")</f>
        <v/>
      </c>
      <c r="D67" s="18">
        <f>IF(AND(ISNUMBER(B67),ISNUMBER(C67)),B67-C67,"")</f>
        <v/>
      </c>
      <c r="E67" s="17">
        <f>IF(ISNUMBER(D67),ABS(D67),"")</f>
        <v/>
      </c>
      <c r="F67" s="104">
        <f>IFERROR(IF(INDEX(Polymarket!$C$25:$C$275,MATCH($A67,Polymarket!$A$25:$A$275,0))=0,"",INDEX(Polymarket!$C$25:$C$275,MATCH($A67,Polymarket!$A$25:$A$275,0))),"")</f>
        <v/>
      </c>
      <c r="G67" s="104">
        <f>IFERROR(IF(INDEX(Kalshi!$G$31:$G$458,MATCH($A67,Kalshi!$A$31:$A$458,0))=0,"",INDEX(Kalshi!$G$31:$G$458,MATCH($A67,Kalshi!$A$31:$A$458,0))),"")</f>
        <v/>
      </c>
      <c r="H67" s="20">
        <f>IF(AND(ISNUMBER(B67),ISNUMBER(C67)),MIN(B67,C67),"")</f>
        <v/>
      </c>
      <c r="I67" s="20">
        <f>IF(AND(ISNUMBER(F67),ISNUMBER(G67)),MIN(F67,G67),"")</f>
        <v/>
      </c>
      <c r="J67" s="17">
        <f>IF(AND(ISNUMBER(H67),ISNUMBER(I67)),H67+I67,"")</f>
        <v/>
      </c>
      <c r="K67" s="16" t="n">
        <v>0.5</v>
      </c>
      <c r="L67" s="26" t="inlineStr">
        <is>
          <t>07 Feb</t>
        </is>
      </c>
    </row>
    <row r="68">
      <c r="A68" s="41" t="n">
        <v>46061</v>
      </c>
      <c r="B68" s="105">
        <f>IFERROR(IF(INDEX(Polymarket!$B$25:$B$275,MATCH($A68,Polymarket!$A$25:$A$275,0))=0,"",INDEX(Polymarket!$B$25:$B$275,MATCH($A68,Polymarket!$A$25:$A$275,0))),"")</f>
        <v/>
      </c>
      <c r="C68" s="105">
        <f>IFERROR(IF(INDEX(Kalshi!$D$31:$D$458,MATCH($A68,Kalshi!$A$31:$A$458,0))=0,"",INDEX(Kalshi!$D$31:$D$458,MATCH($A68,Kalshi!$A$31:$A$458,0))),"")</f>
        <v/>
      </c>
      <c r="D68" s="31">
        <f>IF(AND(ISNUMBER(B68),ISNUMBER(C68)),B68-C68,"")</f>
        <v/>
      </c>
      <c r="E68" s="29">
        <f>IF(ISNUMBER(D68),ABS(D68),"")</f>
        <v/>
      </c>
      <c r="F68" s="105">
        <f>IFERROR(IF(INDEX(Polymarket!$C$25:$C$275,MATCH($A68,Polymarket!$A$25:$A$275,0))=0,"",INDEX(Polymarket!$C$25:$C$275,MATCH($A68,Polymarket!$A$25:$A$275,0))),"")</f>
        <v/>
      </c>
      <c r="G68" s="105">
        <f>IFERROR(IF(INDEX(Kalshi!$G$31:$G$458,MATCH($A68,Kalshi!$A$31:$A$458,0))=0,"",INDEX(Kalshi!$G$31:$G$458,MATCH($A68,Kalshi!$A$31:$A$458,0))),"")</f>
        <v/>
      </c>
      <c r="H68" s="30">
        <f>IF(AND(ISNUMBER(B68),ISNUMBER(C68)),MIN(B68,C68),"")</f>
        <v/>
      </c>
      <c r="I68" s="30">
        <f>IF(AND(ISNUMBER(F68),ISNUMBER(G68)),MIN(F68,G68),"")</f>
        <v/>
      </c>
      <c r="J68" s="29">
        <f>IF(AND(ISNUMBER(H68),ISNUMBER(I68)),H68+I68,"")</f>
        <v/>
      </c>
      <c r="K68" s="28" t="n">
        <v>0.5</v>
      </c>
      <c r="L68" s="38" t="inlineStr">
        <is>
          <t>08 Feb</t>
        </is>
      </c>
    </row>
    <row r="69">
      <c r="A69" s="39" t="n">
        <v>46062</v>
      </c>
      <c r="B69" s="104">
        <f>IFERROR(IF(INDEX(Polymarket!$B$25:$B$275,MATCH($A69,Polymarket!$A$25:$A$275,0))=0,"",INDEX(Polymarket!$B$25:$B$275,MATCH($A69,Polymarket!$A$25:$A$275,0))),"")</f>
        <v/>
      </c>
      <c r="C69" s="104">
        <f>IFERROR(IF(INDEX(Kalshi!$D$31:$D$458,MATCH($A69,Kalshi!$A$31:$A$458,0))=0,"",INDEX(Kalshi!$D$31:$D$458,MATCH($A69,Kalshi!$A$31:$A$458,0))),"")</f>
        <v/>
      </c>
      <c r="D69" s="18">
        <f>IF(AND(ISNUMBER(B69),ISNUMBER(C69)),B69-C69,"")</f>
        <v/>
      </c>
      <c r="E69" s="17">
        <f>IF(ISNUMBER(D69),ABS(D69),"")</f>
        <v/>
      </c>
      <c r="F69" s="104">
        <f>IFERROR(IF(INDEX(Polymarket!$C$25:$C$275,MATCH($A69,Polymarket!$A$25:$A$275,0))=0,"",INDEX(Polymarket!$C$25:$C$275,MATCH($A69,Polymarket!$A$25:$A$275,0))),"")</f>
        <v/>
      </c>
      <c r="G69" s="104">
        <f>IFERROR(IF(INDEX(Kalshi!$G$31:$G$458,MATCH($A69,Kalshi!$A$31:$A$458,0))=0,"",INDEX(Kalshi!$G$31:$G$458,MATCH($A69,Kalshi!$A$31:$A$458,0))),"")</f>
        <v/>
      </c>
      <c r="H69" s="20">
        <f>IF(AND(ISNUMBER(B69),ISNUMBER(C69)),MIN(B69,C69),"")</f>
        <v/>
      </c>
      <c r="I69" s="20">
        <f>IF(AND(ISNUMBER(F69),ISNUMBER(G69)),MIN(F69,G69),"")</f>
        <v/>
      </c>
      <c r="J69" s="17">
        <f>IF(AND(ISNUMBER(H69),ISNUMBER(I69)),H69+I69,"")</f>
        <v/>
      </c>
      <c r="K69" s="16" t="n">
        <v>0.5</v>
      </c>
      <c r="L69" s="26" t="inlineStr">
        <is>
          <t>09 Feb</t>
        </is>
      </c>
    </row>
    <row r="70">
      <c r="A70" s="41" t="n">
        <v>46063</v>
      </c>
      <c r="B70" s="105">
        <f>IFERROR(IF(INDEX(Polymarket!$B$25:$B$275,MATCH($A70,Polymarket!$A$25:$A$275,0))=0,"",INDEX(Polymarket!$B$25:$B$275,MATCH($A70,Polymarket!$A$25:$A$275,0))),"")</f>
        <v/>
      </c>
      <c r="C70" s="105">
        <f>IFERROR(IF(INDEX(Kalshi!$D$31:$D$458,MATCH($A70,Kalshi!$A$31:$A$458,0))=0,"",INDEX(Kalshi!$D$31:$D$458,MATCH($A70,Kalshi!$A$31:$A$458,0))),"")</f>
        <v/>
      </c>
      <c r="D70" s="31">
        <f>IF(AND(ISNUMBER(B70),ISNUMBER(C70)),B70-C70,"")</f>
        <v/>
      </c>
      <c r="E70" s="29">
        <f>IF(ISNUMBER(D70),ABS(D70),"")</f>
        <v/>
      </c>
      <c r="F70" s="105">
        <f>IFERROR(IF(INDEX(Polymarket!$C$25:$C$275,MATCH($A70,Polymarket!$A$25:$A$275,0))=0,"",INDEX(Polymarket!$C$25:$C$275,MATCH($A70,Polymarket!$A$25:$A$275,0))),"")</f>
        <v/>
      </c>
      <c r="G70" s="105">
        <f>IFERROR(IF(INDEX(Kalshi!$G$31:$G$458,MATCH($A70,Kalshi!$A$31:$A$458,0))=0,"",INDEX(Kalshi!$G$31:$G$458,MATCH($A70,Kalshi!$A$31:$A$458,0))),"")</f>
        <v/>
      </c>
      <c r="H70" s="30">
        <f>IF(AND(ISNUMBER(B70),ISNUMBER(C70)),MIN(B70,C70),"")</f>
        <v/>
      </c>
      <c r="I70" s="30">
        <f>IF(AND(ISNUMBER(F70),ISNUMBER(G70)),MIN(F70,G70),"")</f>
        <v/>
      </c>
      <c r="J70" s="29">
        <f>IF(AND(ISNUMBER(H70),ISNUMBER(I70)),H70+I70,"")</f>
        <v/>
      </c>
      <c r="K70" s="28" t="n">
        <v>0.5</v>
      </c>
      <c r="L70" s="38" t="inlineStr">
        <is>
          <t>10 Feb</t>
        </is>
      </c>
    </row>
    <row r="71">
      <c r="A71" s="39" t="n">
        <v>46064</v>
      </c>
      <c r="B71" s="104">
        <f>IFERROR(IF(INDEX(Polymarket!$B$25:$B$275,MATCH($A71,Polymarket!$A$25:$A$275,0))=0,"",INDEX(Polymarket!$B$25:$B$275,MATCH($A71,Polymarket!$A$25:$A$275,0))),"")</f>
        <v/>
      </c>
      <c r="C71" s="104">
        <f>IFERROR(IF(INDEX(Kalshi!$D$31:$D$458,MATCH($A71,Kalshi!$A$31:$A$458,0))=0,"",INDEX(Kalshi!$D$31:$D$458,MATCH($A71,Kalshi!$A$31:$A$458,0))),"")</f>
        <v/>
      </c>
      <c r="D71" s="18">
        <f>IF(AND(ISNUMBER(B71),ISNUMBER(C71)),B71-C71,"")</f>
        <v/>
      </c>
      <c r="E71" s="17">
        <f>IF(ISNUMBER(D71),ABS(D71),"")</f>
        <v/>
      </c>
      <c r="F71" s="104">
        <f>IFERROR(IF(INDEX(Polymarket!$C$25:$C$275,MATCH($A71,Polymarket!$A$25:$A$275,0))=0,"",INDEX(Polymarket!$C$25:$C$275,MATCH($A71,Polymarket!$A$25:$A$275,0))),"")</f>
        <v/>
      </c>
      <c r="G71" s="104">
        <f>IFERROR(IF(INDEX(Kalshi!$G$31:$G$458,MATCH($A71,Kalshi!$A$31:$A$458,0))=0,"",INDEX(Kalshi!$G$31:$G$458,MATCH($A71,Kalshi!$A$31:$A$458,0))),"")</f>
        <v/>
      </c>
      <c r="H71" s="20">
        <f>IF(AND(ISNUMBER(B71),ISNUMBER(C71)),MIN(B71,C71),"")</f>
        <v/>
      </c>
      <c r="I71" s="20">
        <f>IF(AND(ISNUMBER(F71),ISNUMBER(G71)),MIN(F71,G71),"")</f>
        <v/>
      </c>
      <c r="J71" s="17">
        <f>IF(AND(ISNUMBER(H71),ISNUMBER(I71)),H71+I71,"")</f>
        <v/>
      </c>
      <c r="K71" s="16" t="n">
        <v>0.5</v>
      </c>
      <c r="L71" s="26" t="inlineStr">
        <is>
          <t>11 Feb</t>
        </is>
      </c>
    </row>
    <row r="72">
      <c r="A72" s="41" t="n">
        <v>46065</v>
      </c>
      <c r="B72" s="105">
        <f>IFERROR(IF(INDEX(Polymarket!$B$25:$B$275,MATCH($A72,Polymarket!$A$25:$A$275,0))=0,"",INDEX(Polymarket!$B$25:$B$275,MATCH($A72,Polymarket!$A$25:$A$275,0))),"")</f>
        <v/>
      </c>
      <c r="C72" s="105">
        <f>IFERROR(IF(INDEX(Kalshi!$D$31:$D$458,MATCH($A72,Kalshi!$A$31:$A$458,0))=0,"",INDEX(Kalshi!$D$31:$D$458,MATCH($A72,Kalshi!$A$31:$A$458,0))),"")</f>
        <v/>
      </c>
      <c r="D72" s="31">
        <f>IF(AND(ISNUMBER(B72),ISNUMBER(C72)),B72-C72,"")</f>
        <v/>
      </c>
      <c r="E72" s="29">
        <f>IF(ISNUMBER(D72),ABS(D72),"")</f>
        <v/>
      </c>
      <c r="F72" s="105">
        <f>IFERROR(IF(INDEX(Polymarket!$C$25:$C$275,MATCH($A72,Polymarket!$A$25:$A$275,0))=0,"",INDEX(Polymarket!$C$25:$C$275,MATCH($A72,Polymarket!$A$25:$A$275,0))),"")</f>
        <v/>
      </c>
      <c r="G72" s="105">
        <f>IFERROR(IF(INDEX(Kalshi!$G$31:$G$458,MATCH($A72,Kalshi!$A$31:$A$458,0))=0,"",INDEX(Kalshi!$G$31:$G$458,MATCH($A72,Kalshi!$A$31:$A$458,0))),"")</f>
        <v/>
      </c>
      <c r="H72" s="30">
        <f>IF(AND(ISNUMBER(B72),ISNUMBER(C72)),MIN(B72,C72),"")</f>
        <v/>
      </c>
      <c r="I72" s="30">
        <f>IF(AND(ISNUMBER(F72),ISNUMBER(G72)),MIN(F72,G72),"")</f>
        <v/>
      </c>
      <c r="J72" s="29">
        <f>IF(AND(ISNUMBER(H72),ISNUMBER(I72)),H72+I72,"")</f>
        <v/>
      </c>
      <c r="K72" s="28" t="n">
        <v>0.5</v>
      </c>
      <c r="L72" s="38" t="inlineStr">
        <is>
          <t>12 Feb</t>
        </is>
      </c>
    </row>
    <row r="73">
      <c r="A73" s="39" t="n">
        <v>46066</v>
      </c>
      <c r="B73" s="104">
        <f>IFERROR(IF(INDEX(Polymarket!$B$25:$B$275,MATCH($A73,Polymarket!$A$25:$A$275,0))=0,"",INDEX(Polymarket!$B$25:$B$275,MATCH($A73,Polymarket!$A$25:$A$275,0))),"")</f>
        <v/>
      </c>
      <c r="C73" s="104">
        <f>IFERROR(IF(INDEX(Kalshi!$D$31:$D$458,MATCH($A73,Kalshi!$A$31:$A$458,0))=0,"",INDEX(Kalshi!$D$31:$D$458,MATCH($A73,Kalshi!$A$31:$A$458,0))),"")</f>
        <v/>
      </c>
      <c r="D73" s="18">
        <f>IF(AND(ISNUMBER(B73),ISNUMBER(C73)),B73-C73,"")</f>
        <v/>
      </c>
      <c r="E73" s="17">
        <f>IF(ISNUMBER(D73),ABS(D73),"")</f>
        <v/>
      </c>
      <c r="F73" s="104">
        <f>IFERROR(IF(INDEX(Polymarket!$C$25:$C$275,MATCH($A73,Polymarket!$A$25:$A$275,0))=0,"",INDEX(Polymarket!$C$25:$C$275,MATCH($A73,Polymarket!$A$25:$A$275,0))),"")</f>
        <v/>
      </c>
      <c r="G73" s="104">
        <f>IFERROR(IF(INDEX(Kalshi!$G$31:$G$458,MATCH($A73,Kalshi!$A$31:$A$458,0))=0,"",INDEX(Kalshi!$G$31:$G$458,MATCH($A73,Kalshi!$A$31:$A$458,0))),"")</f>
        <v/>
      </c>
      <c r="H73" s="20">
        <f>IF(AND(ISNUMBER(B73),ISNUMBER(C73)),MIN(B73,C73),"")</f>
        <v/>
      </c>
      <c r="I73" s="20">
        <f>IF(AND(ISNUMBER(F73),ISNUMBER(G73)),MIN(F73,G73),"")</f>
        <v/>
      </c>
      <c r="J73" s="17">
        <f>IF(AND(ISNUMBER(H73),ISNUMBER(I73)),H73+I73,"")</f>
        <v/>
      </c>
      <c r="K73" s="16" t="n">
        <v>0.5</v>
      </c>
      <c r="L73" s="26" t="inlineStr">
        <is>
          <t>13 Feb</t>
        </is>
      </c>
    </row>
    <row r="74">
      <c r="A74" s="41" t="n">
        <v>46067</v>
      </c>
      <c r="B74" s="105">
        <f>IFERROR(IF(INDEX(Polymarket!$B$25:$B$275,MATCH($A74,Polymarket!$A$25:$A$275,0))=0,"",INDEX(Polymarket!$B$25:$B$275,MATCH($A74,Polymarket!$A$25:$A$275,0))),"")</f>
        <v/>
      </c>
      <c r="C74" s="105">
        <f>IFERROR(IF(INDEX(Kalshi!$D$31:$D$458,MATCH($A74,Kalshi!$A$31:$A$458,0))=0,"",INDEX(Kalshi!$D$31:$D$458,MATCH($A74,Kalshi!$A$31:$A$458,0))),"")</f>
        <v/>
      </c>
      <c r="D74" s="31">
        <f>IF(AND(ISNUMBER(B74),ISNUMBER(C74)),B74-C74,"")</f>
        <v/>
      </c>
      <c r="E74" s="29">
        <f>IF(ISNUMBER(D74),ABS(D74),"")</f>
        <v/>
      </c>
      <c r="F74" s="105">
        <f>IFERROR(IF(INDEX(Polymarket!$C$25:$C$275,MATCH($A74,Polymarket!$A$25:$A$275,0))=0,"",INDEX(Polymarket!$C$25:$C$275,MATCH($A74,Polymarket!$A$25:$A$275,0))),"")</f>
        <v/>
      </c>
      <c r="G74" s="105">
        <f>IFERROR(IF(INDEX(Kalshi!$G$31:$G$458,MATCH($A74,Kalshi!$A$31:$A$458,0))=0,"",INDEX(Kalshi!$G$31:$G$458,MATCH($A74,Kalshi!$A$31:$A$458,0))),"")</f>
        <v/>
      </c>
      <c r="H74" s="30">
        <f>IF(AND(ISNUMBER(B74),ISNUMBER(C74)),MIN(B74,C74),"")</f>
        <v/>
      </c>
      <c r="I74" s="30">
        <f>IF(AND(ISNUMBER(F74),ISNUMBER(G74)),MIN(F74,G74),"")</f>
        <v/>
      </c>
      <c r="J74" s="29">
        <f>IF(AND(ISNUMBER(H74),ISNUMBER(I74)),H74+I74,"")</f>
        <v/>
      </c>
      <c r="K74" s="28" t="n">
        <v>0.5</v>
      </c>
      <c r="L74" s="38" t="inlineStr">
        <is>
          <t>14 Feb</t>
        </is>
      </c>
    </row>
    <row r="75">
      <c r="A75" s="39" t="n">
        <v>46068</v>
      </c>
      <c r="B75" s="104">
        <f>IFERROR(IF(INDEX(Polymarket!$B$25:$B$275,MATCH($A75,Polymarket!$A$25:$A$275,0))=0,"",INDEX(Polymarket!$B$25:$B$275,MATCH($A75,Polymarket!$A$25:$A$275,0))),"")</f>
        <v/>
      </c>
      <c r="C75" s="104">
        <f>IFERROR(IF(INDEX(Kalshi!$D$31:$D$458,MATCH($A75,Kalshi!$A$31:$A$458,0))=0,"",INDEX(Kalshi!$D$31:$D$458,MATCH($A75,Kalshi!$A$31:$A$458,0))),"")</f>
        <v/>
      </c>
      <c r="D75" s="18">
        <f>IF(AND(ISNUMBER(B75),ISNUMBER(C75)),B75-C75,"")</f>
        <v/>
      </c>
      <c r="E75" s="17">
        <f>IF(ISNUMBER(D75),ABS(D75),"")</f>
        <v/>
      </c>
      <c r="F75" s="104">
        <f>IFERROR(IF(INDEX(Polymarket!$C$25:$C$275,MATCH($A75,Polymarket!$A$25:$A$275,0))=0,"",INDEX(Polymarket!$C$25:$C$275,MATCH($A75,Polymarket!$A$25:$A$275,0))),"")</f>
        <v/>
      </c>
      <c r="G75" s="104">
        <f>IFERROR(IF(INDEX(Kalshi!$G$31:$G$458,MATCH($A75,Kalshi!$A$31:$A$458,0))=0,"",INDEX(Kalshi!$G$31:$G$458,MATCH($A75,Kalshi!$A$31:$A$458,0))),"")</f>
        <v/>
      </c>
      <c r="H75" s="20">
        <f>IF(AND(ISNUMBER(B75),ISNUMBER(C75)),MIN(B75,C75),"")</f>
        <v/>
      </c>
      <c r="I75" s="20">
        <f>IF(AND(ISNUMBER(F75),ISNUMBER(G75)),MIN(F75,G75),"")</f>
        <v/>
      </c>
      <c r="J75" s="17">
        <f>IF(AND(ISNUMBER(H75),ISNUMBER(I75)),H75+I75,"")</f>
        <v/>
      </c>
      <c r="K75" s="16" t="n">
        <v>0.5</v>
      </c>
      <c r="L75" s="26" t="inlineStr">
        <is>
          <t>15 Feb</t>
        </is>
      </c>
    </row>
    <row r="76">
      <c r="A76" s="41" t="n">
        <v>46069</v>
      </c>
      <c r="B76" s="105">
        <f>IFERROR(IF(INDEX(Polymarket!$B$25:$B$275,MATCH($A76,Polymarket!$A$25:$A$275,0))=0,"",INDEX(Polymarket!$B$25:$B$275,MATCH($A76,Polymarket!$A$25:$A$275,0))),"")</f>
        <v/>
      </c>
      <c r="C76" s="105">
        <f>IFERROR(IF(INDEX(Kalshi!$D$31:$D$458,MATCH($A76,Kalshi!$A$31:$A$458,0))=0,"",INDEX(Kalshi!$D$31:$D$458,MATCH($A76,Kalshi!$A$31:$A$458,0))),"")</f>
        <v/>
      </c>
      <c r="D76" s="31">
        <f>IF(AND(ISNUMBER(B76),ISNUMBER(C76)),B76-C76,"")</f>
        <v/>
      </c>
      <c r="E76" s="29">
        <f>IF(ISNUMBER(D76),ABS(D76),"")</f>
        <v/>
      </c>
      <c r="F76" s="105">
        <f>IFERROR(IF(INDEX(Polymarket!$C$25:$C$275,MATCH($A76,Polymarket!$A$25:$A$275,0))=0,"",INDEX(Polymarket!$C$25:$C$275,MATCH($A76,Polymarket!$A$25:$A$275,0))),"")</f>
        <v/>
      </c>
      <c r="G76" s="105">
        <f>IFERROR(IF(INDEX(Kalshi!$G$31:$G$458,MATCH($A76,Kalshi!$A$31:$A$458,0))=0,"",INDEX(Kalshi!$G$31:$G$458,MATCH($A76,Kalshi!$A$31:$A$458,0))),"")</f>
        <v/>
      </c>
      <c r="H76" s="30">
        <f>IF(AND(ISNUMBER(B76),ISNUMBER(C76)),MIN(B76,C76),"")</f>
        <v/>
      </c>
      <c r="I76" s="30">
        <f>IF(AND(ISNUMBER(F76),ISNUMBER(G76)),MIN(F76,G76),"")</f>
        <v/>
      </c>
      <c r="J76" s="29">
        <f>IF(AND(ISNUMBER(H76),ISNUMBER(I76)),H76+I76,"")</f>
        <v/>
      </c>
      <c r="K76" s="28" t="n">
        <v>0.5</v>
      </c>
      <c r="L76" s="38" t="inlineStr">
        <is>
          <t>16 Feb</t>
        </is>
      </c>
    </row>
    <row r="77">
      <c r="A77" s="39" t="n">
        <v>46070</v>
      </c>
      <c r="B77" s="104">
        <f>IFERROR(IF(INDEX(Polymarket!$B$25:$B$275,MATCH($A77,Polymarket!$A$25:$A$275,0))=0,"",INDEX(Polymarket!$B$25:$B$275,MATCH($A77,Polymarket!$A$25:$A$275,0))),"")</f>
        <v/>
      </c>
      <c r="C77" s="104">
        <f>IFERROR(IF(INDEX(Kalshi!$D$31:$D$458,MATCH($A77,Kalshi!$A$31:$A$458,0))=0,"",INDEX(Kalshi!$D$31:$D$458,MATCH($A77,Kalshi!$A$31:$A$458,0))),"")</f>
        <v/>
      </c>
      <c r="D77" s="18">
        <f>IF(AND(ISNUMBER(B77),ISNUMBER(C77)),B77-C77,"")</f>
        <v/>
      </c>
      <c r="E77" s="17">
        <f>IF(ISNUMBER(D77),ABS(D77),"")</f>
        <v/>
      </c>
      <c r="F77" s="104">
        <f>IFERROR(IF(INDEX(Polymarket!$C$25:$C$275,MATCH($A77,Polymarket!$A$25:$A$275,0))=0,"",INDEX(Polymarket!$C$25:$C$275,MATCH($A77,Polymarket!$A$25:$A$275,0))),"")</f>
        <v/>
      </c>
      <c r="G77" s="104">
        <f>IFERROR(IF(INDEX(Kalshi!$G$31:$G$458,MATCH($A77,Kalshi!$A$31:$A$458,0))=0,"",INDEX(Kalshi!$G$31:$G$458,MATCH($A77,Kalshi!$A$31:$A$458,0))),"")</f>
        <v/>
      </c>
      <c r="H77" s="20">
        <f>IF(AND(ISNUMBER(B77),ISNUMBER(C77)),MIN(B77,C77),"")</f>
        <v/>
      </c>
      <c r="I77" s="20">
        <f>IF(AND(ISNUMBER(F77),ISNUMBER(G77)),MIN(F77,G77),"")</f>
        <v/>
      </c>
      <c r="J77" s="17">
        <f>IF(AND(ISNUMBER(H77),ISNUMBER(I77)),H77+I77,"")</f>
        <v/>
      </c>
      <c r="K77" s="16" t="n">
        <v>0.5</v>
      </c>
      <c r="L77" s="26" t="inlineStr">
        <is>
          <t>17 Feb</t>
        </is>
      </c>
    </row>
    <row r="78">
      <c r="A78" s="41" t="n">
        <v>46071</v>
      </c>
      <c r="B78" s="105">
        <f>IFERROR(IF(INDEX(Polymarket!$B$25:$B$275,MATCH($A78,Polymarket!$A$25:$A$275,0))=0,"",INDEX(Polymarket!$B$25:$B$275,MATCH($A78,Polymarket!$A$25:$A$275,0))),"")</f>
        <v/>
      </c>
      <c r="C78" s="105">
        <f>IFERROR(IF(INDEX(Kalshi!$D$31:$D$458,MATCH($A78,Kalshi!$A$31:$A$458,0))=0,"",INDEX(Kalshi!$D$31:$D$458,MATCH($A78,Kalshi!$A$31:$A$458,0))),"")</f>
        <v/>
      </c>
      <c r="D78" s="31">
        <f>IF(AND(ISNUMBER(B78),ISNUMBER(C78)),B78-C78,"")</f>
        <v/>
      </c>
      <c r="E78" s="29">
        <f>IF(ISNUMBER(D78),ABS(D78),"")</f>
        <v/>
      </c>
      <c r="F78" s="105">
        <f>IFERROR(IF(INDEX(Polymarket!$C$25:$C$275,MATCH($A78,Polymarket!$A$25:$A$275,0))=0,"",INDEX(Polymarket!$C$25:$C$275,MATCH($A78,Polymarket!$A$25:$A$275,0))),"")</f>
        <v/>
      </c>
      <c r="G78" s="105">
        <f>IFERROR(IF(INDEX(Kalshi!$G$31:$G$458,MATCH($A78,Kalshi!$A$31:$A$458,0))=0,"",INDEX(Kalshi!$G$31:$G$458,MATCH($A78,Kalshi!$A$31:$A$458,0))),"")</f>
        <v/>
      </c>
      <c r="H78" s="30">
        <f>IF(AND(ISNUMBER(B78),ISNUMBER(C78)),MIN(B78,C78),"")</f>
        <v/>
      </c>
      <c r="I78" s="30">
        <f>IF(AND(ISNUMBER(F78),ISNUMBER(G78)),MIN(F78,G78),"")</f>
        <v/>
      </c>
      <c r="J78" s="29">
        <f>IF(AND(ISNUMBER(H78),ISNUMBER(I78)),H78+I78,"")</f>
        <v/>
      </c>
      <c r="K78" s="28" t="n">
        <v>0.5</v>
      </c>
      <c r="L78" s="38" t="inlineStr">
        <is>
          <t>18 Feb</t>
        </is>
      </c>
    </row>
    <row r="79">
      <c r="A79" s="39" t="n">
        <v>46072</v>
      </c>
      <c r="B79" s="104">
        <f>IFERROR(IF(INDEX(Polymarket!$B$25:$B$275,MATCH($A79,Polymarket!$A$25:$A$275,0))=0,"",INDEX(Polymarket!$B$25:$B$275,MATCH($A79,Polymarket!$A$25:$A$275,0))),"")</f>
        <v/>
      </c>
      <c r="C79" s="104">
        <f>IFERROR(IF(INDEX(Kalshi!$D$31:$D$458,MATCH($A79,Kalshi!$A$31:$A$458,0))=0,"",INDEX(Kalshi!$D$31:$D$458,MATCH($A79,Kalshi!$A$31:$A$458,0))),"")</f>
        <v/>
      </c>
      <c r="D79" s="18">
        <f>IF(AND(ISNUMBER(B79),ISNUMBER(C79)),B79-C79,"")</f>
        <v/>
      </c>
      <c r="E79" s="17">
        <f>IF(ISNUMBER(D79),ABS(D79),"")</f>
        <v/>
      </c>
      <c r="F79" s="104">
        <f>IFERROR(IF(INDEX(Polymarket!$C$25:$C$275,MATCH($A79,Polymarket!$A$25:$A$275,0))=0,"",INDEX(Polymarket!$C$25:$C$275,MATCH($A79,Polymarket!$A$25:$A$275,0))),"")</f>
        <v/>
      </c>
      <c r="G79" s="104">
        <f>IFERROR(IF(INDEX(Kalshi!$G$31:$G$458,MATCH($A79,Kalshi!$A$31:$A$458,0))=0,"",INDEX(Kalshi!$G$31:$G$458,MATCH($A79,Kalshi!$A$31:$A$458,0))),"")</f>
        <v/>
      </c>
      <c r="H79" s="20">
        <f>IF(AND(ISNUMBER(B79),ISNUMBER(C79)),MIN(B79,C79),"")</f>
        <v/>
      </c>
      <c r="I79" s="20">
        <f>IF(AND(ISNUMBER(F79),ISNUMBER(G79)),MIN(F79,G79),"")</f>
        <v/>
      </c>
      <c r="J79" s="17">
        <f>IF(AND(ISNUMBER(H79),ISNUMBER(I79)),H79+I79,"")</f>
        <v/>
      </c>
      <c r="K79" s="16" t="n">
        <v>0.5</v>
      </c>
      <c r="L79" s="26" t="inlineStr">
        <is>
          <t>19 Feb</t>
        </is>
      </c>
    </row>
    <row r="80">
      <c r="A80" s="41" t="n">
        <v>46073</v>
      </c>
      <c r="B80" s="105">
        <f>IFERROR(IF(INDEX(Polymarket!$B$25:$B$275,MATCH($A80,Polymarket!$A$25:$A$275,0))=0,"",INDEX(Polymarket!$B$25:$B$275,MATCH($A80,Polymarket!$A$25:$A$275,0))),"")</f>
        <v/>
      </c>
      <c r="C80" s="105">
        <f>IFERROR(IF(INDEX(Kalshi!$D$31:$D$458,MATCH($A80,Kalshi!$A$31:$A$458,0))=0,"",INDEX(Kalshi!$D$31:$D$458,MATCH($A80,Kalshi!$A$31:$A$458,0))),"")</f>
        <v/>
      </c>
      <c r="D80" s="31">
        <f>IF(AND(ISNUMBER(B80),ISNUMBER(C80)),B80-C80,"")</f>
        <v/>
      </c>
      <c r="E80" s="29">
        <f>IF(ISNUMBER(D80),ABS(D80),"")</f>
        <v/>
      </c>
      <c r="F80" s="105">
        <f>IFERROR(IF(INDEX(Polymarket!$C$25:$C$275,MATCH($A80,Polymarket!$A$25:$A$275,0))=0,"",INDEX(Polymarket!$C$25:$C$275,MATCH($A80,Polymarket!$A$25:$A$275,0))),"")</f>
        <v/>
      </c>
      <c r="G80" s="105">
        <f>IFERROR(IF(INDEX(Kalshi!$G$31:$G$458,MATCH($A80,Kalshi!$A$31:$A$458,0))=0,"",INDEX(Kalshi!$G$31:$G$458,MATCH($A80,Kalshi!$A$31:$A$458,0))),"")</f>
        <v/>
      </c>
      <c r="H80" s="30">
        <f>IF(AND(ISNUMBER(B80),ISNUMBER(C80)),MIN(B80,C80),"")</f>
        <v/>
      </c>
      <c r="I80" s="30">
        <f>IF(AND(ISNUMBER(F80),ISNUMBER(G80)),MIN(F80,G80),"")</f>
        <v/>
      </c>
      <c r="J80" s="29">
        <f>IF(AND(ISNUMBER(H80),ISNUMBER(I80)),H80+I80,"")</f>
        <v/>
      </c>
      <c r="K80" s="28" t="n">
        <v>0.5</v>
      </c>
      <c r="L80" s="38" t="inlineStr">
        <is>
          <t>20 Feb</t>
        </is>
      </c>
    </row>
    <row r="81">
      <c r="A81" s="39" t="n">
        <v>46074</v>
      </c>
      <c r="B81" s="104">
        <f>IFERROR(IF(INDEX(Polymarket!$B$25:$B$275,MATCH($A81,Polymarket!$A$25:$A$275,0))=0,"",INDEX(Polymarket!$B$25:$B$275,MATCH($A81,Polymarket!$A$25:$A$275,0))),"")</f>
        <v/>
      </c>
      <c r="C81" s="104">
        <f>IFERROR(IF(INDEX(Kalshi!$D$31:$D$458,MATCH($A81,Kalshi!$A$31:$A$458,0))=0,"",INDEX(Kalshi!$D$31:$D$458,MATCH($A81,Kalshi!$A$31:$A$458,0))),"")</f>
        <v/>
      </c>
      <c r="D81" s="18">
        <f>IF(AND(ISNUMBER(B81),ISNUMBER(C81)),B81-C81,"")</f>
        <v/>
      </c>
      <c r="E81" s="17">
        <f>IF(ISNUMBER(D81),ABS(D81),"")</f>
        <v/>
      </c>
      <c r="F81" s="104">
        <f>IFERROR(IF(INDEX(Polymarket!$C$25:$C$275,MATCH($A81,Polymarket!$A$25:$A$275,0))=0,"",INDEX(Polymarket!$C$25:$C$275,MATCH($A81,Polymarket!$A$25:$A$275,0))),"")</f>
        <v/>
      </c>
      <c r="G81" s="104">
        <f>IFERROR(IF(INDEX(Kalshi!$G$31:$G$458,MATCH($A81,Kalshi!$A$31:$A$458,0))=0,"",INDEX(Kalshi!$G$31:$G$458,MATCH($A81,Kalshi!$A$31:$A$458,0))),"")</f>
        <v/>
      </c>
      <c r="H81" s="20">
        <f>IF(AND(ISNUMBER(B81),ISNUMBER(C81)),MIN(B81,C81),"")</f>
        <v/>
      </c>
      <c r="I81" s="20">
        <f>IF(AND(ISNUMBER(F81),ISNUMBER(G81)),MIN(F81,G81),"")</f>
        <v/>
      </c>
      <c r="J81" s="17">
        <f>IF(AND(ISNUMBER(H81),ISNUMBER(I81)),H81+I81,"")</f>
        <v/>
      </c>
      <c r="K81" s="16" t="n">
        <v>0.5</v>
      </c>
      <c r="L81" s="26" t="inlineStr">
        <is>
          <t>21 Feb</t>
        </is>
      </c>
    </row>
    <row r="82">
      <c r="A82" s="41" t="n">
        <v>46075</v>
      </c>
      <c r="B82" s="105">
        <f>IFERROR(IF(INDEX(Polymarket!$B$25:$B$275,MATCH($A82,Polymarket!$A$25:$A$275,0))=0,"",INDEX(Polymarket!$B$25:$B$275,MATCH($A82,Polymarket!$A$25:$A$275,0))),"")</f>
        <v/>
      </c>
      <c r="C82" s="105">
        <f>IFERROR(IF(INDEX(Kalshi!$D$31:$D$458,MATCH($A82,Kalshi!$A$31:$A$458,0))=0,"",INDEX(Kalshi!$D$31:$D$458,MATCH($A82,Kalshi!$A$31:$A$458,0))),"")</f>
        <v/>
      </c>
      <c r="D82" s="31">
        <f>IF(AND(ISNUMBER(B82),ISNUMBER(C82)),B82-C82,"")</f>
        <v/>
      </c>
      <c r="E82" s="29">
        <f>IF(ISNUMBER(D82),ABS(D82),"")</f>
        <v/>
      </c>
      <c r="F82" s="105">
        <f>IFERROR(IF(INDEX(Polymarket!$C$25:$C$275,MATCH($A82,Polymarket!$A$25:$A$275,0))=0,"",INDEX(Polymarket!$C$25:$C$275,MATCH($A82,Polymarket!$A$25:$A$275,0))),"")</f>
        <v/>
      </c>
      <c r="G82" s="105">
        <f>IFERROR(IF(INDEX(Kalshi!$G$31:$G$458,MATCH($A82,Kalshi!$A$31:$A$458,0))=0,"",INDEX(Kalshi!$G$31:$G$458,MATCH($A82,Kalshi!$A$31:$A$458,0))),"")</f>
        <v/>
      </c>
      <c r="H82" s="30">
        <f>IF(AND(ISNUMBER(B82),ISNUMBER(C82)),MIN(B82,C82),"")</f>
        <v/>
      </c>
      <c r="I82" s="30">
        <f>IF(AND(ISNUMBER(F82),ISNUMBER(G82)),MIN(F82,G82),"")</f>
        <v/>
      </c>
      <c r="J82" s="29">
        <f>IF(AND(ISNUMBER(H82),ISNUMBER(I82)),H82+I82,"")</f>
        <v/>
      </c>
      <c r="K82" s="28" t="n">
        <v>0.5</v>
      </c>
      <c r="L82" s="38" t="inlineStr">
        <is>
          <t>22 Feb</t>
        </is>
      </c>
    </row>
    <row r="83">
      <c r="A83" s="39" t="n">
        <v>46076</v>
      </c>
      <c r="B83" s="104">
        <f>IFERROR(IF(INDEX(Polymarket!$B$25:$B$275,MATCH($A83,Polymarket!$A$25:$A$275,0))=0,"",INDEX(Polymarket!$B$25:$B$275,MATCH($A83,Polymarket!$A$25:$A$275,0))),"")</f>
        <v/>
      </c>
      <c r="C83" s="104">
        <f>IFERROR(IF(INDEX(Kalshi!$D$31:$D$458,MATCH($A83,Kalshi!$A$31:$A$458,0))=0,"",INDEX(Kalshi!$D$31:$D$458,MATCH($A83,Kalshi!$A$31:$A$458,0))),"")</f>
        <v/>
      </c>
      <c r="D83" s="18">
        <f>IF(AND(ISNUMBER(B83),ISNUMBER(C83)),B83-C83,"")</f>
        <v/>
      </c>
      <c r="E83" s="17">
        <f>IF(ISNUMBER(D83),ABS(D83),"")</f>
        <v/>
      </c>
      <c r="F83" s="104">
        <f>IFERROR(IF(INDEX(Polymarket!$C$25:$C$275,MATCH($A83,Polymarket!$A$25:$A$275,0))=0,"",INDEX(Polymarket!$C$25:$C$275,MATCH($A83,Polymarket!$A$25:$A$275,0))),"")</f>
        <v/>
      </c>
      <c r="G83" s="104">
        <f>IFERROR(IF(INDEX(Kalshi!$G$31:$G$458,MATCH($A83,Kalshi!$A$31:$A$458,0))=0,"",INDEX(Kalshi!$G$31:$G$458,MATCH($A83,Kalshi!$A$31:$A$458,0))),"")</f>
        <v/>
      </c>
      <c r="H83" s="20">
        <f>IF(AND(ISNUMBER(B83),ISNUMBER(C83)),MIN(B83,C83),"")</f>
        <v/>
      </c>
      <c r="I83" s="20">
        <f>IF(AND(ISNUMBER(F83),ISNUMBER(G83)),MIN(F83,G83),"")</f>
        <v/>
      </c>
      <c r="J83" s="17">
        <f>IF(AND(ISNUMBER(H83),ISNUMBER(I83)),H83+I83,"")</f>
        <v/>
      </c>
      <c r="K83" s="16" t="n">
        <v>0.5</v>
      </c>
      <c r="L83" s="26" t="inlineStr">
        <is>
          <t>23 Feb</t>
        </is>
      </c>
    </row>
    <row r="84">
      <c r="A84" s="41" t="n">
        <v>46077</v>
      </c>
      <c r="B84" s="105">
        <f>IFERROR(IF(INDEX(Polymarket!$B$25:$B$275,MATCH($A84,Polymarket!$A$25:$A$275,0))=0,"",INDEX(Polymarket!$B$25:$B$275,MATCH($A84,Polymarket!$A$25:$A$275,0))),"")</f>
        <v/>
      </c>
      <c r="C84" s="105">
        <f>IFERROR(IF(INDEX(Kalshi!$D$31:$D$458,MATCH($A84,Kalshi!$A$31:$A$458,0))=0,"",INDEX(Kalshi!$D$31:$D$458,MATCH($A84,Kalshi!$A$31:$A$458,0))),"")</f>
        <v/>
      </c>
      <c r="D84" s="31">
        <f>IF(AND(ISNUMBER(B84),ISNUMBER(C84)),B84-C84,"")</f>
        <v/>
      </c>
      <c r="E84" s="29">
        <f>IF(ISNUMBER(D84),ABS(D84),"")</f>
        <v/>
      </c>
      <c r="F84" s="105">
        <f>IFERROR(IF(INDEX(Polymarket!$C$25:$C$275,MATCH($A84,Polymarket!$A$25:$A$275,0))=0,"",INDEX(Polymarket!$C$25:$C$275,MATCH($A84,Polymarket!$A$25:$A$275,0))),"")</f>
        <v/>
      </c>
      <c r="G84" s="105">
        <f>IFERROR(IF(INDEX(Kalshi!$G$31:$G$458,MATCH($A84,Kalshi!$A$31:$A$458,0))=0,"",INDEX(Kalshi!$G$31:$G$458,MATCH($A84,Kalshi!$A$31:$A$458,0))),"")</f>
        <v/>
      </c>
      <c r="H84" s="30">
        <f>IF(AND(ISNUMBER(B84),ISNUMBER(C84)),MIN(B84,C84),"")</f>
        <v/>
      </c>
      <c r="I84" s="30">
        <f>IF(AND(ISNUMBER(F84),ISNUMBER(G84)),MIN(F84,G84),"")</f>
        <v/>
      </c>
      <c r="J84" s="29">
        <f>IF(AND(ISNUMBER(H84),ISNUMBER(I84)),H84+I84,"")</f>
        <v/>
      </c>
      <c r="K84" s="28" t="n">
        <v>0.5</v>
      </c>
      <c r="L84" s="38" t="inlineStr">
        <is>
          <t>24 Feb</t>
        </is>
      </c>
    </row>
    <row r="85">
      <c r="A85" s="39" t="n">
        <v>46078</v>
      </c>
      <c r="B85" s="104">
        <f>IFERROR(IF(INDEX(Polymarket!$B$25:$B$275,MATCH($A85,Polymarket!$A$25:$A$275,0))=0,"",INDEX(Polymarket!$B$25:$B$275,MATCH($A85,Polymarket!$A$25:$A$275,0))),"")</f>
        <v/>
      </c>
      <c r="C85" s="104">
        <f>IFERROR(IF(INDEX(Kalshi!$D$31:$D$458,MATCH($A85,Kalshi!$A$31:$A$458,0))=0,"",INDEX(Kalshi!$D$31:$D$458,MATCH($A85,Kalshi!$A$31:$A$458,0))),"")</f>
        <v/>
      </c>
      <c r="D85" s="18">
        <f>IF(AND(ISNUMBER(B85),ISNUMBER(C85)),B85-C85,"")</f>
        <v/>
      </c>
      <c r="E85" s="17">
        <f>IF(ISNUMBER(D85),ABS(D85),"")</f>
        <v/>
      </c>
      <c r="F85" s="104">
        <f>IFERROR(IF(INDEX(Polymarket!$C$25:$C$275,MATCH($A85,Polymarket!$A$25:$A$275,0))=0,"",INDEX(Polymarket!$C$25:$C$275,MATCH($A85,Polymarket!$A$25:$A$275,0))),"")</f>
        <v/>
      </c>
      <c r="G85" s="104">
        <f>IFERROR(IF(INDEX(Kalshi!$G$31:$G$458,MATCH($A85,Kalshi!$A$31:$A$458,0))=0,"",INDEX(Kalshi!$G$31:$G$458,MATCH($A85,Kalshi!$A$31:$A$458,0))),"")</f>
        <v/>
      </c>
      <c r="H85" s="20">
        <f>IF(AND(ISNUMBER(B85),ISNUMBER(C85)),MIN(B85,C85),"")</f>
        <v/>
      </c>
      <c r="I85" s="20">
        <f>IF(AND(ISNUMBER(F85),ISNUMBER(G85)),MIN(F85,G85),"")</f>
        <v/>
      </c>
      <c r="J85" s="17">
        <f>IF(AND(ISNUMBER(H85),ISNUMBER(I85)),H85+I85,"")</f>
        <v/>
      </c>
      <c r="K85" s="16" t="n">
        <v>0.5</v>
      </c>
      <c r="L85" s="26" t="inlineStr">
        <is>
          <t>25 Feb</t>
        </is>
      </c>
    </row>
    <row r="86">
      <c r="A86" s="41" t="n">
        <v>46079</v>
      </c>
      <c r="B86" s="105">
        <f>IFERROR(IF(INDEX(Polymarket!$B$25:$B$275,MATCH($A86,Polymarket!$A$25:$A$275,0))=0,"",INDEX(Polymarket!$B$25:$B$275,MATCH($A86,Polymarket!$A$25:$A$275,0))),"")</f>
        <v/>
      </c>
      <c r="C86" s="105">
        <f>IFERROR(IF(INDEX(Kalshi!$D$31:$D$458,MATCH($A86,Kalshi!$A$31:$A$458,0))=0,"",INDEX(Kalshi!$D$31:$D$458,MATCH($A86,Kalshi!$A$31:$A$458,0))),"")</f>
        <v/>
      </c>
      <c r="D86" s="31">
        <f>IF(AND(ISNUMBER(B86),ISNUMBER(C86)),B86-C86,"")</f>
        <v/>
      </c>
      <c r="E86" s="29">
        <f>IF(ISNUMBER(D86),ABS(D86),"")</f>
        <v/>
      </c>
      <c r="F86" s="105">
        <f>IFERROR(IF(INDEX(Polymarket!$C$25:$C$275,MATCH($A86,Polymarket!$A$25:$A$275,0))=0,"",INDEX(Polymarket!$C$25:$C$275,MATCH($A86,Polymarket!$A$25:$A$275,0))),"")</f>
        <v/>
      </c>
      <c r="G86" s="105">
        <f>IFERROR(IF(INDEX(Kalshi!$G$31:$G$458,MATCH($A86,Kalshi!$A$31:$A$458,0))=0,"",INDEX(Kalshi!$G$31:$G$458,MATCH($A86,Kalshi!$A$31:$A$458,0))),"")</f>
        <v/>
      </c>
      <c r="H86" s="30">
        <f>IF(AND(ISNUMBER(B86),ISNUMBER(C86)),MIN(B86,C86),"")</f>
        <v/>
      </c>
      <c r="I86" s="30">
        <f>IF(AND(ISNUMBER(F86),ISNUMBER(G86)),MIN(F86,G86),"")</f>
        <v/>
      </c>
      <c r="J86" s="29">
        <f>IF(AND(ISNUMBER(H86),ISNUMBER(I86)),H86+I86,"")</f>
        <v/>
      </c>
      <c r="K86" s="28" t="n">
        <v>0.5</v>
      </c>
      <c r="L86" s="38" t="inlineStr">
        <is>
          <t>26 Feb</t>
        </is>
      </c>
    </row>
    <row r="87">
      <c r="A87" s="39" t="n">
        <v>46080</v>
      </c>
      <c r="B87" s="104">
        <f>IFERROR(IF(INDEX(Polymarket!$B$25:$B$275,MATCH($A87,Polymarket!$A$25:$A$275,0))=0,"",INDEX(Polymarket!$B$25:$B$275,MATCH($A87,Polymarket!$A$25:$A$275,0))),"")</f>
        <v/>
      </c>
      <c r="C87" s="104">
        <f>IFERROR(IF(INDEX(Kalshi!$D$31:$D$458,MATCH($A87,Kalshi!$A$31:$A$458,0))=0,"",INDEX(Kalshi!$D$31:$D$458,MATCH($A87,Kalshi!$A$31:$A$458,0))),"")</f>
        <v/>
      </c>
      <c r="D87" s="18">
        <f>IF(AND(ISNUMBER(B87),ISNUMBER(C87)),B87-C87,"")</f>
        <v/>
      </c>
      <c r="E87" s="17">
        <f>IF(ISNUMBER(D87),ABS(D87),"")</f>
        <v/>
      </c>
      <c r="F87" s="104">
        <f>IFERROR(IF(INDEX(Polymarket!$C$25:$C$275,MATCH($A87,Polymarket!$A$25:$A$275,0))=0,"",INDEX(Polymarket!$C$25:$C$275,MATCH($A87,Polymarket!$A$25:$A$275,0))),"")</f>
        <v/>
      </c>
      <c r="G87" s="104">
        <f>IFERROR(IF(INDEX(Kalshi!$G$31:$G$458,MATCH($A87,Kalshi!$A$31:$A$458,0))=0,"",INDEX(Kalshi!$G$31:$G$458,MATCH($A87,Kalshi!$A$31:$A$458,0))),"")</f>
        <v/>
      </c>
      <c r="H87" s="20">
        <f>IF(AND(ISNUMBER(B87),ISNUMBER(C87)),MIN(B87,C87),"")</f>
        <v/>
      </c>
      <c r="I87" s="20">
        <f>IF(AND(ISNUMBER(F87),ISNUMBER(G87)),MIN(F87,G87),"")</f>
        <v/>
      </c>
      <c r="J87" s="17">
        <f>IF(AND(ISNUMBER(H87),ISNUMBER(I87)),H87+I87,"")</f>
        <v/>
      </c>
      <c r="K87" s="16" t="n">
        <v>0.5</v>
      </c>
      <c r="L87" s="26" t="inlineStr">
        <is>
          <t>27 Feb</t>
        </is>
      </c>
    </row>
    <row r="88">
      <c r="A88" s="41" t="n">
        <v>46081</v>
      </c>
      <c r="B88" s="105">
        <f>IFERROR(IF(INDEX(Polymarket!$B$25:$B$275,MATCH($A88,Polymarket!$A$25:$A$275,0))=0,"",INDEX(Polymarket!$B$25:$B$275,MATCH($A88,Polymarket!$A$25:$A$275,0))),"")</f>
        <v/>
      </c>
      <c r="C88" s="105">
        <f>IFERROR(IF(INDEX(Kalshi!$D$31:$D$458,MATCH($A88,Kalshi!$A$31:$A$458,0))=0,"",INDEX(Kalshi!$D$31:$D$458,MATCH($A88,Kalshi!$A$31:$A$458,0))),"")</f>
        <v/>
      </c>
      <c r="D88" s="31">
        <f>IF(AND(ISNUMBER(B88),ISNUMBER(C88)),B88-C88,"")</f>
        <v/>
      </c>
      <c r="E88" s="29">
        <f>IF(ISNUMBER(D88),ABS(D88),"")</f>
        <v/>
      </c>
      <c r="F88" s="105">
        <f>IFERROR(IF(INDEX(Polymarket!$C$25:$C$275,MATCH($A88,Polymarket!$A$25:$A$275,0))=0,"",INDEX(Polymarket!$C$25:$C$275,MATCH($A88,Polymarket!$A$25:$A$275,0))),"")</f>
        <v/>
      </c>
      <c r="G88" s="105">
        <f>IFERROR(IF(INDEX(Kalshi!$G$31:$G$458,MATCH($A88,Kalshi!$A$31:$A$458,0))=0,"",INDEX(Kalshi!$G$31:$G$458,MATCH($A88,Kalshi!$A$31:$A$458,0))),"")</f>
        <v/>
      </c>
      <c r="H88" s="30">
        <f>IF(AND(ISNUMBER(B88),ISNUMBER(C88)),MIN(B88,C88),"")</f>
        <v/>
      </c>
      <c r="I88" s="30">
        <f>IF(AND(ISNUMBER(F88),ISNUMBER(G88)),MIN(F88,G88),"")</f>
        <v/>
      </c>
      <c r="J88" s="29">
        <f>IF(AND(ISNUMBER(H88),ISNUMBER(I88)),H88+I88,"")</f>
        <v/>
      </c>
      <c r="K88" s="28" t="n">
        <v>0.5</v>
      </c>
      <c r="L88" s="38" t="inlineStr">
        <is>
          <t>28 Feb</t>
        </is>
      </c>
    </row>
    <row r="89">
      <c r="A89" s="39" t="n">
        <v>46082</v>
      </c>
      <c r="B89" s="104">
        <f>IFERROR(IF(INDEX(Polymarket!$B$25:$B$275,MATCH($A89,Polymarket!$A$25:$A$275,0))=0,"",INDEX(Polymarket!$B$25:$B$275,MATCH($A89,Polymarket!$A$25:$A$275,0))),"")</f>
        <v/>
      </c>
      <c r="C89" s="104">
        <f>IFERROR(IF(INDEX(Kalshi!$D$31:$D$458,MATCH($A89,Kalshi!$A$31:$A$458,0))=0,"",INDEX(Kalshi!$D$31:$D$458,MATCH($A89,Kalshi!$A$31:$A$458,0))),"")</f>
        <v/>
      </c>
      <c r="D89" s="18">
        <f>IF(AND(ISNUMBER(B89),ISNUMBER(C89)),B89-C89,"")</f>
        <v/>
      </c>
      <c r="E89" s="17">
        <f>IF(ISNUMBER(D89),ABS(D89),"")</f>
        <v/>
      </c>
      <c r="F89" s="104">
        <f>IFERROR(IF(INDEX(Polymarket!$C$25:$C$275,MATCH($A89,Polymarket!$A$25:$A$275,0))=0,"",INDEX(Polymarket!$C$25:$C$275,MATCH($A89,Polymarket!$A$25:$A$275,0))),"")</f>
        <v/>
      </c>
      <c r="G89" s="104">
        <f>IFERROR(IF(INDEX(Kalshi!$G$31:$G$458,MATCH($A89,Kalshi!$A$31:$A$458,0))=0,"",INDEX(Kalshi!$G$31:$G$458,MATCH($A89,Kalshi!$A$31:$A$458,0))),"")</f>
        <v/>
      </c>
      <c r="H89" s="20">
        <f>IF(AND(ISNUMBER(B89),ISNUMBER(C89)),MIN(B89,C89),"")</f>
        <v/>
      </c>
      <c r="I89" s="20">
        <f>IF(AND(ISNUMBER(F89),ISNUMBER(G89)),MIN(F89,G89),"")</f>
        <v/>
      </c>
      <c r="J89" s="17">
        <f>IF(AND(ISNUMBER(H89),ISNUMBER(I89)),H89+I89,"")</f>
        <v/>
      </c>
      <c r="K89" s="16" t="n">
        <v>0.5</v>
      </c>
      <c r="L89" s="26" t="inlineStr">
        <is>
          <t>01 Mar</t>
        </is>
      </c>
    </row>
    <row r="90">
      <c r="A90" s="41" t="n">
        <v>46083</v>
      </c>
      <c r="B90" s="105">
        <f>IFERROR(IF(INDEX(Polymarket!$B$25:$B$275,MATCH($A90,Polymarket!$A$25:$A$275,0))=0,"",INDEX(Polymarket!$B$25:$B$275,MATCH($A90,Polymarket!$A$25:$A$275,0))),"")</f>
        <v/>
      </c>
      <c r="C90" s="105">
        <f>IFERROR(IF(INDEX(Kalshi!$D$31:$D$458,MATCH($A90,Kalshi!$A$31:$A$458,0))=0,"",INDEX(Kalshi!$D$31:$D$458,MATCH($A90,Kalshi!$A$31:$A$458,0))),"")</f>
        <v/>
      </c>
      <c r="D90" s="31">
        <f>IF(AND(ISNUMBER(B90),ISNUMBER(C90)),B90-C90,"")</f>
        <v/>
      </c>
      <c r="E90" s="29">
        <f>IF(ISNUMBER(D90),ABS(D90),"")</f>
        <v/>
      </c>
      <c r="F90" s="105">
        <f>IFERROR(IF(INDEX(Polymarket!$C$25:$C$275,MATCH($A90,Polymarket!$A$25:$A$275,0))=0,"",INDEX(Polymarket!$C$25:$C$275,MATCH($A90,Polymarket!$A$25:$A$275,0))),"")</f>
        <v/>
      </c>
      <c r="G90" s="105">
        <f>IFERROR(IF(INDEX(Kalshi!$G$31:$G$458,MATCH($A90,Kalshi!$A$31:$A$458,0))=0,"",INDEX(Kalshi!$G$31:$G$458,MATCH($A90,Kalshi!$A$31:$A$458,0))),"")</f>
        <v/>
      </c>
      <c r="H90" s="30">
        <f>IF(AND(ISNUMBER(B90),ISNUMBER(C90)),MIN(B90,C90),"")</f>
        <v/>
      </c>
      <c r="I90" s="30">
        <f>IF(AND(ISNUMBER(F90),ISNUMBER(G90)),MIN(F90,G90),"")</f>
        <v/>
      </c>
      <c r="J90" s="29">
        <f>IF(AND(ISNUMBER(H90),ISNUMBER(I90)),H90+I90,"")</f>
        <v/>
      </c>
      <c r="K90" s="28" t="n">
        <v>0.5</v>
      </c>
      <c r="L90" s="38" t="inlineStr">
        <is>
          <t>02 Mar</t>
        </is>
      </c>
    </row>
    <row r="91">
      <c r="A91" s="39" t="n">
        <v>46084</v>
      </c>
      <c r="B91" s="104">
        <f>IFERROR(IF(INDEX(Polymarket!$B$25:$B$275,MATCH($A91,Polymarket!$A$25:$A$275,0))=0,"",INDEX(Polymarket!$B$25:$B$275,MATCH($A91,Polymarket!$A$25:$A$275,0))),"")</f>
        <v/>
      </c>
      <c r="C91" s="104">
        <f>IFERROR(IF(INDEX(Kalshi!$D$31:$D$458,MATCH($A91,Kalshi!$A$31:$A$458,0))=0,"",INDEX(Kalshi!$D$31:$D$458,MATCH($A91,Kalshi!$A$31:$A$458,0))),"")</f>
        <v/>
      </c>
      <c r="D91" s="18">
        <f>IF(AND(ISNUMBER(B91),ISNUMBER(C91)),B91-C91,"")</f>
        <v/>
      </c>
      <c r="E91" s="17">
        <f>IF(ISNUMBER(D91),ABS(D91),"")</f>
        <v/>
      </c>
      <c r="F91" s="104">
        <f>IFERROR(IF(INDEX(Polymarket!$C$25:$C$275,MATCH($A91,Polymarket!$A$25:$A$275,0))=0,"",INDEX(Polymarket!$C$25:$C$275,MATCH($A91,Polymarket!$A$25:$A$275,0))),"")</f>
        <v/>
      </c>
      <c r="G91" s="104">
        <f>IFERROR(IF(INDEX(Kalshi!$G$31:$G$458,MATCH($A91,Kalshi!$A$31:$A$458,0))=0,"",INDEX(Kalshi!$G$31:$G$458,MATCH($A91,Kalshi!$A$31:$A$458,0))),"")</f>
        <v/>
      </c>
      <c r="H91" s="20">
        <f>IF(AND(ISNUMBER(B91),ISNUMBER(C91)),MIN(B91,C91),"")</f>
        <v/>
      </c>
      <c r="I91" s="20">
        <f>IF(AND(ISNUMBER(F91),ISNUMBER(G91)),MIN(F91,G91),"")</f>
        <v/>
      </c>
      <c r="J91" s="17">
        <f>IF(AND(ISNUMBER(H91),ISNUMBER(I91)),H91+I91,"")</f>
        <v/>
      </c>
      <c r="K91" s="16" t="n">
        <v>0.5</v>
      </c>
      <c r="L91" s="26" t="inlineStr">
        <is>
          <t>03 Mar</t>
        </is>
      </c>
    </row>
    <row r="92">
      <c r="A92" s="41" t="n">
        <v>46085</v>
      </c>
      <c r="B92" s="105">
        <f>IFERROR(IF(INDEX(Polymarket!$B$25:$B$275,MATCH($A92,Polymarket!$A$25:$A$275,0))=0,"",INDEX(Polymarket!$B$25:$B$275,MATCH($A92,Polymarket!$A$25:$A$275,0))),"")</f>
        <v/>
      </c>
      <c r="C92" s="105">
        <f>IFERROR(IF(INDEX(Kalshi!$D$31:$D$458,MATCH($A92,Kalshi!$A$31:$A$458,0))=0,"",INDEX(Kalshi!$D$31:$D$458,MATCH($A92,Kalshi!$A$31:$A$458,0))),"")</f>
        <v/>
      </c>
      <c r="D92" s="31">
        <f>IF(AND(ISNUMBER(B92),ISNUMBER(C92)),B92-C92,"")</f>
        <v/>
      </c>
      <c r="E92" s="29">
        <f>IF(ISNUMBER(D92),ABS(D92),"")</f>
        <v/>
      </c>
      <c r="F92" s="105">
        <f>IFERROR(IF(INDEX(Polymarket!$C$25:$C$275,MATCH($A92,Polymarket!$A$25:$A$275,0))=0,"",INDEX(Polymarket!$C$25:$C$275,MATCH($A92,Polymarket!$A$25:$A$275,0))),"")</f>
        <v/>
      </c>
      <c r="G92" s="105">
        <f>IFERROR(IF(INDEX(Kalshi!$G$31:$G$458,MATCH($A92,Kalshi!$A$31:$A$458,0))=0,"",INDEX(Kalshi!$G$31:$G$458,MATCH($A92,Kalshi!$A$31:$A$458,0))),"")</f>
        <v/>
      </c>
      <c r="H92" s="30">
        <f>IF(AND(ISNUMBER(B92),ISNUMBER(C92)),MIN(B92,C92),"")</f>
        <v/>
      </c>
      <c r="I92" s="30">
        <f>IF(AND(ISNUMBER(F92),ISNUMBER(G92)),MIN(F92,G92),"")</f>
        <v/>
      </c>
      <c r="J92" s="29">
        <f>IF(AND(ISNUMBER(H92),ISNUMBER(I92)),H92+I92,"")</f>
        <v/>
      </c>
      <c r="K92" s="28" t="n">
        <v>0.5</v>
      </c>
      <c r="L92" s="38" t="inlineStr">
        <is>
          <t>04 Mar</t>
        </is>
      </c>
    </row>
    <row r="93">
      <c r="A93" s="39" t="n">
        <v>46086</v>
      </c>
      <c r="B93" s="104">
        <f>IFERROR(IF(INDEX(Polymarket!$B$25:$B$275,MATCH($A93,Polymarket!$A$25:$A$275,0))=0,"",INDEX(Polymarket!$B$25:$B$275,MATCH($A93,Polymarket!$A$25:$A$275,0))),"")</f>
        <v/>
      </c>
      <c r="C93" s="104">
        <f>IFERROR(IF(INDEX(Kalshi!$D$31:$D$458,MATCH($A93,Kalshi!$A$31:$A$458,0))=0,"",INDEX(Kalshi!$D$31:$D$458,MATCH($A93,Kalshi!$A$31:$A$458,0))),"")</f>
        <v/>
      </c>
      <c r="D93" s="18">
        <f>IF(AND(ISNUMBER(B93),ISNUMBER(C93)),B93-C93,"")</f>
        <v/>
      </c>
      <c r="E93" s="17">
        <f>IF(ISNUMBER(D93),ABS(D93),"")</f>
        <v/>
      </c>
      <c r="F93" s="104">
        <f>IFERROR(IF(INDEX(Polymarket!$C$25:$C$275,MATCH($A93,Polymarket!$A$25:$A$275,0))=0,"",INDEX(Polymarket!$C$25:$C$275,MATCH($A93,Polymarket!$A$25:$A$275,0))),"")</f>
        <v/>
      </c>
      <c r="G93" s="104">
        <f>IFERROR(IF(INDEX(Kalshi!$G$31:$G$458,MATCH($A93,Kalshi!$A$31:$A$458,0))=0,"",INDEX(Kalshi!$G$31:$G$458,MATCH($A93,Kalshi!$A$31:$A$458,0))),"")</f>
        <v/>
      </c>
      <c r="H93" s="20">
        <f>IF(AND(ISNUMBER(B93),ISNUMBER(C93)),MIN(B93,C93),"")</f>
        <v/>
      </c>
      <c r="I93" s="20">
        <f>IF(AND(ISNUMBER(F93),ISNUMBER(G93)),MIN(F93,G93),"")</f>
        <v/>
      </c>
      <c r="J93" s="17">
        <f>IF(AND(ISNUMBER(H93),ISNUMBER(I93)),H93+I93,"")</f>
        <v/>
      </c>
      <c r="K93" s="16" t="n">
        <v>0.5</v>
      </c>
      <c r="L93" s="26" t="inlineStr">
        <is>
          <t>05 Mar</t>
        </is>
      </c>
    </row>
    <row r="94">
      <c r="A94" s="41" t="n">
        <v>46087</v>
      </c>
      <c r="B94" s="105">
        <f>IFERROR(IF(INDEX(Polymarket!$B$25:$B$275,MATCH($A94,Polymarket!$A$25:$A$275,0))=0,"",INDEX(Polymarket!$B$25:$B$275,MATCH($A94,Polymarket!$A$25:$A$275,0))),"")</f>
        <v/>
      </c>
      <c r="C94" s="105">
        <f>IFERROR(IF(INDEX(Kalshi!$D$31:$D$458,MATCH($A94,Kalshi!$A$31:$A$458,0))=0,"",INDEX(Kalshi!$D$31:$D$458,MATCH($A94,Kalshi!$A$31:$A$458,0))),"")</f>
        <v/>
      </c>
      <c r="D94" s="31">
        <f>IF(AND(ISNUMBER(B94),ISNUMBER(C94)),B94-C94,"")</f>
        <v/>
      </c>
      <c r="E94" s="29">
        <f>IF(ISNUMBER(D94),ABS(D94),"")</f>
        <v/>
      </c>
      <c r="F94" s="105">
        <f>IFERROR(IF(INDEX(Polymarket!$C$25:$C$275,MATCH($A94,Polymarket!$A$25:$A$275,0))=0,"",INDEX(Polymarket!$C$25:$C$275,MATCH($A94,Polymarket!$A$25:$A$275,0))),"")</f>
        <v/>
      </c>
      <c r="G94" s="105">
        <f>IFERROR(IF(INDEX(Kalshi!$G$31:$G$458,MATCH($A94,Kalshi!$A$31:$A$458,0))=0,"",INDEX(Kalshi!$G$31:$G$458,MATCH($A94,Kalshi!$A$31:$A$458,0))),"")</f>
        <v/>
      </c>
      <c r="H94" s="30">
        <f>IF(AND(ISNUMBER(B94),ISNUMBER(C94)),MIN(B94,C94),"")</f>
        <v/>
      </c>
      <c r="I94" s="30">
        <f>IF(AND(ISNUMBER(F94),ISNUMBER(G94)),MIN(F94,G94),"")</f>
        <v/>
      </c>
      <c r="J94" s="29">
        <f>IF(AND(ISNUMBER(H94),ISNUMBER(I94)),H94+I94,"")</f>
        <v/>
      </c>
      <c r="K94" s="28" t="n">
        <v>0.5</v>
      </c>
      <c r="L94" s="38" t="inlineStr">
        <is>
          <t>06 Mar</t>
        </is>
      </c>
    </row>
    <row r="95">
      <c r="A95" s="39" t="n">
        <v>46088</v>
      </c>
      <c r="B95" s="104">
        <f>IFERROR(IF(INDEX(Polymarket!$B$25:$B$275,MATCH($A95,Polymarket!$A$25:$A$275,0))=0,"",INDEX(Polymarket!$B$25:$B$275,MATCH($A95,Polymarket!$A$25:$A$275,0))),"")</f>
        <v/>
      </c>
      <c r="C95" s="104">
        <f>IFERROR(IF(INDEX(Kalshi!$D$31:$D$458,MATCH($A95,Kalshi!$A$31:$A$458,0))=0,"",INDEX(Kalshi!$D$31:$D$458,MATCH($A95,Kalshi!$A$31:$A$458,0))),"")</f>
        <v/>
      </c>
      <c r="D95" s="18">
        <f>IF(AND(ISNUMBER(B95),ISNUMBER(C95)),B95-C95,"")</f>
        <v/>
      </c>
      <c r="E95" s="17">
        <f>IF(ISNUMBER(D95),ABS(D95),"")</f>
        <v/>
      </c>
      <c r="F95" s="104">
        <f>IFERROR(IF(INDEX(Polymarket!$C$25:$C$275,MATCH($A95,Polymarket!$A$25:$A$275,0))=0,"",INDEX(Polymarket!$C$25:$C$275,MATCH($A95,Polymarket!$A$25:$A$275,0))),"")</f>
        <v/>
      </c>
      <c r="G95" s="104">
        <f>IFERROR(IF(INDEX(Kalshi!$G$31:$G$458,MATCH($A95,Kalshi!$A$31:$A$458,0))=0,"",INDEX(Kalshi!$G$31:$G$458,MATCH($A95,Kalshi!$A$31:$A$458,0))),"")</f>
        <v/>
      </c>
      <c r="H95" s="20">
        <f>IF(AND(ISNUMBER(B95),ISNUMBER(C95)),MIN(B95,C95),"")</f>
        <v/>
      </c>
      <c r="I95" s="20">
        <f>IF(AND(ISNUMBER(F95),ISNUMBER(G95)),MIN(F95,G95),"")</f>
        <v/>
      </c>
      <c r="J95" s="17">
        <f>IF(AND(ISNUMBER(H95),ISNUMBER(I95)),H95+I95,"")</f>
        <v/>
      </c>
      <c r="K95" s="16" t="n">
        <v>0.5</v>
      </c>
      <c r="L95" s="26" t="inlineStr">
        <is>
          <t>07 Mar</t>
        </is>
      </c>
    </row>
    <row r="96">
      <c r="A96" s="41" t="n">
        <v>46089</v>
      </c>
      <c r="B96" s="105">
        <f>IFERROR(IF(INDEX(Polymarket!$B$25:$B$275,MATCH($A96,Polymarket!$A$25:$A$275,0))=0,"",INDEX(Polymarket!$B$25:$B$275,MATCH($A96,Polymarket!$A$25:$A$275,0))),"")</f>
        <v/>
      </c>
      <c r="C96" s="105">
        <f>IFERROR(IF(INDEX(Kalshi!$D$31:$D$458,MATCH($A96,Kalshi!$A$31:$A$458,0))=0,"",INDEX(Kalshi!$D$31:$D$458,MATCH($A96,Kalshi!$A$31:$A$458,0))),"")</f>
        <v/>
      </c>
      <c r="D96" s="31">
        <f>IF(AND(ISNUMBER(B96),ISNUMBER(C96)),B96-C96,"")</f>
        <v/>
      </c>
      <c r="E96" s="29">
        <f>IF(ISNUMBER(D96),ABS(D96),"")</f>
        <v/>
      </c>
      <c r="F96" s="105">
        <f>IFERROR(IF(INDEX(Polymarket!$C$25:$C$275,MATCH($A96,Polymarket!$A$25:$A$275,0))=0,"",INDEX(Polymarket!$C$25:$C$275,MATCH($A96,Polymarket!$A$25:$A$275,0))),"")</f>
        <v/>
      </c>
      <c r="G96" s="105">
        <f>IFERROR(IF(INDEX(Kalshi!$G$31:$G$458,MATCH($A96,Kalshi!$A$31:$A$458,0))=0,"",INDEX(Kalshi!$G$31:$G$458,MATCH($A96,Kalshi!$A$31:$A$458,0))),"")</f>
        <v/>
      </c>
      <c r="H96" s="30">
        <f>IF(AND(ISNUMBER(B96),ISNUMBER(C96)),MIN(B96,C96),"")</f>
        <v/>
      </c>
      <c r="I96" s="30">
        <f>IF(AND(ISNUMBER(F96),ISNUMBER(G96)),MIN(F96,G96),"")</f>
        <v/>
      </c>
      <c r="J96" s="29">
        <f>IF(AND(ISNUMBER(H96),ISNUMBER(I96)),H96+I96,"")</f>
        <v/>
      </c>
      <c r="K96" s="28" t="n">
        <v>0.5</v>
      </c>
      <c r="L96" s="38" t="inlineStr">
        <is>
          <t>08 Mar</t>
        </is>
      </c>
    </row>
    <row r="97">
      <c r="A97" s="39" t="n">
        <v>46090</v>
      </c>
      <c r="B97" s="104">
        <f>IFERROR(IF(INDEX(Polymarket!$B$25:$B$275,MATCH($A97,Polymarket!$A$25:$A$275,0))=0,"",INDEX(Polymarket!$B$25:$B$275,MATCH($A97,Polymarket!$A$25:$A$275,0))),"")</f>
        <v/>
      </c>
      <c r="C97" s="104">
        <f>IFERROR(IF(INDEX(Kalshi!$D$31:$D$458,MATCH($A97,Kalshi!$A$31:$A$458,0))=0,"",INDEX(Kalshi!$D$31:$D$458,MATCH($A97,Kalshi!$A$31:$A$458,0))),"")</f>
        <v/>
      </c>
      <c r="D97" s="18">
        <f>IF(AND(ISNUMBER(B97),ISNUMBER(C97)),B97-C97,"")</f>
        <v/>
      </c>
      <c r="E97" s="17">
        <f>IF(ISNUMBER(D97),ABS(D97),"")</f>
        <v/>
      </c>
      <c r="F97" s="104">
        <f>IFERROR(IF(INDEX(Polymarket!$C$25:$C$275,MATCH($A97,Polymarket!$A$25:$A$275,0))=0,"",INDEX(Polymarket!$C$25:$C$275,MATCH($A97,Polymarket!$A$25:$A$275,0))),"")</f>
        <v/>
      </c>
      <c r="G97" s="104">
        <f>IFERROR(IF(INDEX(Kalshi!$G$31:$G$458,MATCH($A97,Kalshi!$A$31:$A$458,0))=0,"",INDEX(Kalshi!$G$31:$G$458,MATCH($A97,Kalshi!$A$31:$A$458,0))),"")</f>
        <v/>
      </c>
      <c r="H97" s="20">
        <f>IF(AND(ISNUMBER(B97),ISNUMBER(C97)),MIN(B97,C97),"")</f>
        <v/>
      </c>
      <c r="I97" s="20">
        <f>IF(AND(ISNUMBER(F97),ISNUMBER(G97)),MIN(F97,G97),"")</f>
        <v/>
      </c>
      <c r="J97" s="17">
        <f>IF(AND(ISNUMBER(H97),ISNUMBER(I97)),H97+I97,"")</f>
        <v/>
      </c>
      <c r="K97" s="16" t="n">
        <v>0.5</v>
      </c>
      <c r="L97" s="26" t="inlineStr">
        <is>
          <t>09 Mar</t>
        </is>
      </c>
    </row>
    <row r="98">
      <c r="A98" s="41" t="n">
        <v>46091</v>
      </c>
      <c r="B98" s="105">
        <f>IFERROR(IF(INDEX(Polymarket!$B$25:$B$275,MATCH($A98,Polymarket!$A$25:$A$275,0))=0,"",INDEX(Polymarket!$B$25:$B$275,MATCH($A98,Polymarket!$A$25:$A$275,0))),"")</f>
        <v/>
      </c>
      <c r="C98" s="105">
        <f>IFERROR(IF(INDEX(Kalshi!$D$31:$D$458,MATCH($A98,Kalshi!$A$31:$A$458,0))=0,"",INDEX(Kalshi!$D$31:$D$458,MATCH($A98,Kalshi!$A$31:$A$458,0))),"")</f>
        <v/>
      </c>
      <c r="D98" s="31">
        <f>IF(AND(ISNUMBER(B98),ISNUMBER(C98)),B98-C98,"")</f>
        <v/>
      </c>
      <c r="E98" s="29">
        <f>IF(ISNUMBER(D98),ABS(D98),"")</f>
        <v/>
      </c>
      <c r="F98" s="105">
        <f>IFERROR(IF(INDEX(Polymarket!$C$25:$C$275,MATCH($A98,Polymarket!$A$25:$A$275,0))=0,"",INDEX(Polymarket!$C$25:$C$275,MATCH($A98,Polymarket!$A$25:$A$275,0))),"")</f>
        <v/>
      </c>
      <c r="G98" s="105">
        <f>IFERROR(IF(INDEX(Kalshi!$G$31:$G$458,MATCH($A98,Kalshi!$A$31:$A$458,0))=0,"",INDEX(Kalshi!$G$31:$G$458,MATCH($A98,Kalshi!$A$31:$A$458,0))),"")</f>
        <v/>
      </c>
      <c r="H98" s="30">
        <f>IF(AND(ISNUMBER(B98),ISNUMBER(C98)),MIN(B98,C98),"")</f>
        <v/>
      </c>
      <c r="I98" s="30">
        <f>IF(AND(ISNUMBER(F98),ISNUMBER(G98)),MIN(F98,G98),"")</f>
        <v/>
      </c>
      <c r="J98" s="29">
        <f>IF(AND(ISNUMBER(H98),ISNUMBER(I98)),H98+I98,"")</f>
        <v/>
      </c>
      <c r="K98" s="28" t="n">
        <v>0.5</v>
      </c>
      <c r="L98" s="38" t="inlineStr">
        <is>
          <t>10 Mar</t>
        </is>
      </c>
    </row>
    <row r="99">
      <c r="A99" s="39" t="n">
        <v>46092</v>
      </c>
      <c r="B99" s="104">
        <f>IFERROR(IF(INDEX(Polymarket!$B$25:$B$275,MATCH($A99,Polymarket!$A$25:$A$275,0))=0,"",INDEX(Polymarket!$B$25:$B$275,MATCH($A99,Polymarket!$A$25:$A$275,0))),"")</f>
        <v/>
      </c>
      <c r="C99" s="104">
        <f>IFERROR(IF(INDEX(Kalshi!$D$31:$D$458,MATCH($A99,Kalshi!$A$31:$A$458,0))=0,"",INDEX(Kalshi!$D$31:$D$458,MATCH($A99,Kalshi!$A$31:$A$458,0))),"")</f>
        <v/>
      </c>
      <c r="D99" s="18">
        <f>IF(AND(ISNUMBER(B99),ISNUMBER(C99)),B99-C99,"")</f>
        <v/>
      </c>
      <c r="E99" s="17">
        <f>IF(ISNUMBER(D99),ABS(D99),"")</f>
        <v/>
      </c>
      <c r="F99" s="104">
        <f>IFERROR(IF(INDEX(Polymarket!$C$25:$C$275,MATCH($A99,Polymarket!$A$25:$A$275,0))=0,"",INDEX(Polymarket!$C$25:$C$275,MATCH($A99,Polymarket!$A$25:$A$275,0))),"")</f>
        <v/>
      </c>
      <c r="G99" s="104">
        <f>IFERROR(IF(INDEX(Kalshi!$G$31:$G$458,MATCH($A99,Kalshi!$A$31:$A$458,0))=0,"",INDEX(Kalshi!$G$31:$G$458,MATCH($A99,Kalshi!$A$31:$A$458,0))),"")</f>
        <v/>
      </c>
      <c r="H99" s="20">
        <f>IF(AND(ISNUMBER(B99),ISNUMBER(C99)),MIN(B99,C99),"")</f>
        <v/>
      </c>
      <c r="I99" s="20">
        <f>IF(AND(ISNUMBER(F99),ISNUMBER(G99)),MIN(F99,G99),"")</f>
        <v/>
      </c>
      <c r="J99" s="17">
        <f>IF(AND(ISNUMBER(H99),ISNUMBER(I99)),H99+I99,"")</f>
        <v/>
      </c>
      <c r="K99" s="16" t="n">
        <v>0.5</v>
      </c>
      <c r="L99" s="26" t="inlineStr">
        <is>
          <t>11 Mar</t>
        </is>
      </c>
    </row>
    <row r="100">
      <c r="A100" s="41" t="n">
        <v>46093</v>
      </c>
      <c r="B100" s="105">
        <f>IFERROR(IF(INDEX(Polymarket!$B$25:$B$275,MATCH($A100,Polymarket!$A$25:$A$275,0))=0,"",INDEX(Polymarket!$B$25:$B$275,MATCH($A100,Polymarket!$A$25:$A$275,0))),"")</f>
        <v/>
      </c>
      <c r="C100" s="105">
        <f>IFERROR(IF(INDEX(Kalshi!$D$31:$D$458,MATCH($A100,Kalshi!$A$31:$A$458,0))=0,"",INDEX(Kalshi!$D$31:$D$458,MATCH($A100,Kalshi!$A$31:$A$458,0))),"")</f>
        <v/>
      </c>
      <c r="D100" s="31">
        <f>IF(AND(ISNUMBER(B100),ISNUMBER(C100)),B100-C100,"")</f>
        <v/>
      </c>
      <c r="E100" s="29">
        <f>IF(ISNUMBER(D100),ABS(D100),"")</f>
        <v/>
      </c>
      <c r="F100" s="105">
        <f>IFERROR(IF(INDEX(Polymarket!$C$25:$C$275,MATCH($A100,Polymarket!$A$25:$A$275,0))=0,"",INDEX(Polymarket!$C$25:$C$275,MATCH($A100,Polymarket!$A$25:$A$275,0))),"")</f>
        <v/>
      </c>
      <c r="G100" s="105">
        <f>IFERROR(IF(INDEX(Kalshi!$G$31:$G$458,MATCH($A100,Kalshi!$A$31:$A$458,0))=0,"",INDEX(Kalshi!$G$31:$G$458,MATCH($A100,Kalshi!$A$31:$A$458,0))),"")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4">
        <f>IFERROR(IF(INDEX(Polymarket!$B$25:$B$275,MATCH($A101,Polymarket!$A$25:$A$275,0))=0,"",INDEX(Polymarket!$B$25:$B$275,MATCH($A101,Polymarket!$A$25:$A$275,0))),"")</f>
        <v/>
      </c>
      <c r="C101" s="104">
        <f>IFERROR(IF(INDEX(Kalshi!$D$31:$D$458,MATCH($A101,Kalshi!$A$31:$A$458,0))=0,"",INDEX(Kalshi!$D$31:$D$458,MATCH($A101,Kalshi!$A$31:$A$458,0))),"")</f>
        <v/>
      </c>
      <c r="D101" s="18">
        <f>IF(AND(ISNUMBER(B101),ISNUMBER(C101)),B101-C101,"")</f>
        <v/>
      </c>
      <c r="E101" s="17">
        <f>IF(ISNUMBER(D101),ABS(D101),"")</f>
        <v/>
      </c>
      <c r="F101" s="104">
        <f>IFERROR(IF(INDEX(Polymarket!$C$25:$C$275,MATCH($A101,Polymarket!$A$25:$A$275,0))=0,"",INDEX(Polymarket!$C$25:$C$275,MATCH($A101,Polymarket!$A$25:$A$275,0))),"")</f>
        <v/>
      </c>
      <c r="G101" s="104">
        <f>IFERROR(IF(INDEX(Kalshi!$G$31:$G$458,MATCH($A101,Kalshi!$A$31:$A$458,0))=0,"",INDEX(Kalshi!$G$31:$G$458,MATCH($A101,Kalshi!$A$31:$A$458,0))),"")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5">
        <f>IFERROR(IF(INDEX(Polymarket!$B$25:$B$275,MATCH($A102,Polymarket!$A$25:$A$275,0))=0,"",INDEX(Polymarket!$B$25:$B$275,MATCH($A102,Polymarket!$A$25:$A$275,0))),"")</f>
        <v/>
      </c>
      <c r="C102" s="105">
        <f>IFERROR(IF(INDEX(Kalshi!$D$31:$D$458,MATCH($A102,Kalshi!$A$31:$A$458,0))=0,"",INDEX(Kalshi!$D$31:$D$458,MATCH($A102,Kalshi!$A$31:$A$458,0))),"")</f>
        <v/>
      </c>
      <c r="D102" s="31">
        <f>IF(AND(ISNUMBER(B102),ISNUMBER(C102)),B102-C102,"")</f>
        <v/>
      </c>
      <c r="E102" s="29">
        <f>IF(ISNUMBER(D102),ABS(D102),"")</f>
        <v/>
      </c>
      <c r="F102" s="105">
        <f>IFERROR(IF(INDEX(Polymarket!$C$25:$C$275,MATCH($A102,Polymarket!$A$25:$A$275,0))=0,"",INDEX(Polymarket!$C$25:$C$275,MATCH($A102,Polymarket!$A$25:$A$275,0))),"")</f>
        <v/>
      </c>
      <c r="G102" s="105">
        <f>IFERROR(IF(INDEX(Kalshi!$G$31:$G$458,MATCH($A102,Kalshi!$A$31:$A$458,0))=0,"",INDEX(Kalshi!$G$31:$G$458,MATCH($A102,Kalshi!$A$31:$A$458,0))),"")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4">
        <f>IFERROR(IF(INDEX(Polymarket!$B$25:$B$275,MATCH($A103,Polymarket!$A$25:$A$275,0))=0,"",INDEX(Polymarket!$B$25:$B$275,MATCH($A103,Polymarket!$A$25:$A$275,0))),"")</f>
        <v/>
      </c>
      <c r="C103" s="104">
        <f>IFERROR(IF(INDEX(Kalshi!$D$31:$D$458,MATCH($A103,Kalshi!$A$31:$A$458,0))=0,"",INDEX(Kalshi!$D$31:$D$458,MATCH($A103,Kalshi!$A$31:$A$458,0))),"")</f>
        <v/>
      </c>
      <c r="D103" s="18">
        <f>IF(AND(ISNUMBER(B103),ISNUMBER(C103)),B103-C103,"")</f>
        <v/>
      </c>
      <c r="E103" s="17">
        <f>IF(ISNUMBER(D103),ABS(D103),"")</f>
        <v/>
      </c>
      <c r="F103" s="104">
        <f>IFERROR(IF(INDEX(Polymarket!$C$25:$C$275,MATCH($A103,Polymarket!$A$25:$A$275,0))=0,"",INDEX(Polymarket!$C$25:$C$275,MATCH($A103,Polymarket!$A$25:$A$275,0))),"")</f>
        <v/>
      </c>
      <c r="G103" s="104">
        <f>IFERROR(IF(INDEX(Kalshi!$G$31:$G$458,MATCH($A103,Kalshi!$A$31:$A$458,0))=0,"",INDEX(Kalshi!$G$31:$G$458,MATCH($A103,Kalshi!$A$31:$A$458,0))),"")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5">
        <f>IFERROR(IF(INDEX(Polymarket!$B$25:$B$275,MATCH($A104,Polymarket!$A$25:$A$275,0))=0,"",INDEX(Polymarket!$B$25:$B$275,MATCH($A104,Polymarket!$A$25:$A$275,0))),"")</f>
        <v/>
      </c>
      <c r="C104" s="105">
        <f>IFERROR(IF(INDEX(Kalshi!$D$31:$D$458,MATCH($A104,Kalshi!$A$31:$A$458,0))=0,"",INDEX(Kalshi!$D$31:$D$458,MATCH($A104,Kalshi!$A$31:$A$458,0))),"")</f>
        <v/>
      </c>
      <c r="D104" s="31">
        <f>IF(AND(ISNUMBER(B104),ISNUMBER(C104)),B104-C104,"")</f>
        <v/>
      </c>
      <c r="E104" s="29">
        <f>IF(ISNUMBER(D104),ABS(D104),"")</f>
        <v/>
      </c>
      <c r="F104" s="105">
        <f>IFERROR(IF(INDEX(Polymarket!$C$25:$C$275,MATCH($A104,Polymarket!$A$25:$A$275,0))=0,"",INDEX(Polymarket!$C$25:$C$275,MATCH($A104,Polymarket!$A$25:$A$275,0))),"")</f>
        <v/>
      </c>
      <c r="G104" s="105">
        <f>IFERROR(IF(INDEX(Kalshi!$G$31:$G$458,MATCH($A104,Kalshi!$A$31:$A$458,0))=0,"",INDEX(Kalshi!$G$31:$G$458,MATCH($A104,Kalshi!$A$31:$A$458,0))),"")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4">
        <f>IFERROR(IF(INDEX(Polymarket!$B$25:$B$275,MATCH($A105,Polymarket!$A$25:$A$275,0))=0,"",INDEX(Polymarket!$B$25:$B$275,MATCH($A105,Polymarket!$A$25:$A$275,0))),"")</f>
        <v/>
      </c>
      <c r="C105" s="104">
        <f>IFERROR(IF(INDEX(Kalshi!$D$31:$D$458,MATCH($A105,Kalshi!$A$31:$A$458,0))=0,"",INDEX(Kalshi!$D$31:$D$458,MATCH($A105,Kalshi!$A$31:$A$458,0))),"")</f>
        <v/>
      </c>
      <c r="D105" s="18">
        <f>IF(AND(ISNUMBER(B105),ISNUMBER(C105)),B105-C105,"")</f>
        <v/>
      </c>
      <c r="E105" s="17">
        <f>IF(ISNUMBER(D105),ABS(D105),"")</f>
        <v/>
      </c>
      <c r="F105" s="104">
        <f>IFERROR(IF(INDEX(Polymarket!$C$25:$C$275,MATCH($A105,Polymarket!$A$25:$A$275,0))=0,"",INDEX(Polymarket!$C$25:$C$275,MATCH($A105,Polymarket!$A$25:$A$275,0))),"")</f>
        <v/>
      </c>
      <c r="G105" s="104">
        <f>IFERROR(IF(INDEX(Kalshi!$G$31:$G$458,MATCH($A105,Kalshi!$A$31:$A$458,0))=0,"",INDEX(Kalshi!$G$31:$G$458,MATCH($A105,Kalshi!$A$31:$A$458,0))),"")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5">
        <f>IFERROR(IF(INDEX(Polymarket!$B$25:$B$275,MATCH($A106,Polymarket!$A$25:$A$275,0))=0,"",INDEX(Polymarket!$B$25:$B$275,MATCH($A106,Polymarket!$A$25:$A$275,0))),"")</f>
        <v/>
      </c>
      <c r="C106" s="105">
        <f>IFERROR(IF(INDEX(Kalshi!$D$31:$D$458,MATCH($A106,Kalshi!$A$31:$A$458,0))=0,"",INDEX(Kalshi!$D$31:$D$458,MATCH($A106,Kalshi!$A$31:$A$458,0))),"")</f>
        <v/>
      </c>
      <c r="D106" s="31">
        <f>IF(AND(ISNUMBER(B106),ISNUMBER(C106)),B106-C106,"")</f>
        <v/>
      </c>
      <c r="E106" s="29">
        <f>IF(ISNUMBER(D106),ABS(D106),"")</f>
        <v/>
      </c>
      <c r="F106" s="105">
        <f>IFERROR(IF(INDEX(Polymarket!$C$25:$C$275,MATCH($A106,Polymarket!$A$25:$A$275,0))=0,"",INDEX(Polymarket!$C$25:$C$275,MATCH($A106,Polymarket!$A$25:$A$275,0))),"")</f>
        <v/>
      </c>
      <c r="G106" s="105">
        <f>IFERROR(IF(INDEX(Kalshi!$G$31:$G$458,MATCH($A106,Kalshi!$A$31:$A$458,0))=0,"",INDEX(Kalshi!$G$31:$G$458,MATCH($A106,Kalshi!$A$31:$A$458,0))),"")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4">
        <f>IFERROR(IF(INDEX(Polymarket!$B$25:$B$275,MATCH($A107,Polymarket!$A$25:$A$275,0))=0,"",INDEX(Polymarket!$B$25:$B$275,MATCH($A107,Polymarket!$A$25:$A$275,0))),"")</f>
        <v/>
      </c>
      <c r="C107" s="104">
        <f>IFERROR(IF(INDEX(Kalshi!$D$31:$D$458,MATCH($A107,Kalshi!$A$31:$A$458,0))=0,"",INDEX(Kalshi!$D$31:$D$458,MATCH($A107,Kalshi!$A$31:$A$458,0))),"")</f>
        <v/>
      </c>
      <c r="D107" s="18">
        <f>IF(AND(ISNUMBER(B107),ISNUMBER(C107)),B107-C107,"")</f>
        <v/>
      </c>
      <c r="E107" s="17">
        <f>IF(ISNUMBER(D107),ABS(D107),"")</f>
        <v/>
      </c>
      <c r="F107" s="104">
        <f>IFERROR(IF(INDEX(Polymarket!$C$25:$C$275,MATCH($A107,Polymarket!$A$25:$A$275,0))=0,"",INDEX(Polymarket!$C$25:$C$275,MATCH($A107,Polymarket!$A$25:$A$275,0))),"")</f>
        <v/>
      </c>
      <c r="G107" s="104">
        <f>IFERROR(IF(INDEX(Kalshi!$G$31:$G$458,MATCH($A107,Kalshi!$A$31:$A$458,0))=0,"",INDEX(Kalshi!$G$31:$G$458,MATCH($A107,Kalshi!$A$31:$A$458,0))),"")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5">
        <f>IFERROR(IF(INDEX(Polymarket!$B$25:$B$275,MATCH($A108,Polymarket!$A$25:$A$275,0))=0,"",INDEX(Polymarket!$B$25:$B$275,MATCH($A108,Polymarket!$A$25:$A$275,0))),"")</f>
        <v/>
      </c>
      <c r="C108" s="105">
        <f>IFERROR(IF(INDEX(Kalshi!$D$31:$D$458,MATCH($A108,Kalshi!$A$31:$A$458,0))=0,"",INDEX(Kalshi!$D$31:$D$458,MATCH($A108,Kalshi!$A$31:$A$458,0))),"")</f>
        <v/>
      </c>
      <c r="D108" s="31">
        <f>IF(AND(ISNUMBER(B108),ISNUMBER(C108)),B108-C108,"")</f>
        <v/>
      </c>
      <c r="E108" s="29">
        <f>IF(ISNUMBER(D108),ABS(D108),"")</f>
        <v/>
      </c>
      <c r="F108" s="105">
        <f>IFERROR(IF(INDEX(Polymarket!$C$25:$C$275,MATCH($A108,Polymarket!$A$25:$A$275,0))=0,"",INDEX(Polymarket!$C$25:$C$275,MATCH($A108,Polymarket!$A$25:$A$275,0))),"")</f>
        <v/>
      </c>
      <c r="G108" s="105">
        <f>IFERROR(IF(INDEX(Kalshi!$G$31:$G$458,MATCH($A108,Kalshi!$A$31:$A$458,0))=0,"",INDEX(Kalshi!$G$31:$G$458,MATCH($A108,Kalshi!$A$31:$A$458,0))),"")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4">
        <f>IFERROR(IF(INDEX(Polymarket!$B$25:$B$275,MATCH($A109,Polymarket!$A$25:$A$275,0))=0,"",INDEX(Polymarket!$B$25:$B$275,MATCH($A109,Polymarket!$A$25:$A$275,0))),"")</f>
        <v/>
      </c>
      <c r="C109" s="104">
        <f>IFERROR(IF(INDEX(Kalshi!$D$31:$D$458,MATCH($A109,Kalshi!$A$31:$A$458,0))=0,"",INDEX(Kalshi!$D$31:$D$458,MATCH($A109,Kalshi!$A$31:$A$458,0))),"")</f>
        <v/>
      </c>
      <c r="D109" s="18">
        <f>IF(AND(ISNUMBER(B109),ISNUMBER(C109)),B109-C109,"")</f>
        <v/>
      </c>
      <c r="E109" s="17">
        <f>IF(ISNUMBER(D109),ABS(D109),"")</f>
        <v/>
      </c>
      <c r="F109" s="104">
        <f>IFERROR(IF(INDEX(Polymarket!$C$25:$C$275,MATCH($A109,Polymarket!$A$25:$A$275,0))=0,"",INDEX(Polymarket!$C$25:$C$275,MATCH($A109,Polymarket!$A$25:$A$275,0))),"")</f>
        <v/>
      </c>
      <c r="G109" s="104">
        <f>IFERROR(IF(INDEX(Kalshi!$G$31:$G$458,MATCH($A109,Kalshi!$A$31:$A$458,0))=0,"",INDEX(Kalshi!$G$31:$G$458,MATCH($A109,Kalshi!$A$31:$A$458,0))),"")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5">
        <f>IFERROR(IF(INDEX(Polymarket!$B$25:$B$275,MATCH($A110,Polymarket!$A$25:$A$275,0))=0,"",INDEX(Polymarket!$B$25:$B$275,MATCH($A110,Polymarket!$A$25:$A$275,0))),"")</f>
        <v/>
      </c>
      <c r="C110" s="105">
        <f>IFERROR(IF(INDEX(Kalshi!$D$31:$D$458,MATCH($A110,Kalshi!$A$31:$A$458,0))=0,"",INDEX(Kalshi!$D$31:$D$458,MATCH($A110,Kalshi!$A$31:$A$458,0))),"")</f>
        <v/>
      </c>
      <c r="D110" s="31">
        <f>IF(AND(ISNUMBER(B110),ISNUMBER(C110)),B110-C110,"")</f>
        <v/>
      </c>
      <c r="E110" s="29">
        <f>IF(ISNUMBER(D110),ABS(D110),"")</f>
        <v/>
      </c>
      <c r="F110" s="105">
        <f>IFERROR(IF(INDEX(Polymarket!$C$25:$C$275,MATCH($A110,Polymarket!$A$25:$A$275,0))=0,"",INDEX(Polymarket!$C$25:$C$275,MATCH($A110,Polymarket!$A$25:$A$275,0))),"")</f>
        <v/>
      </c>
      <c r="G110" s="105">
        <f>IFERROR(IF(INDEX(Kalshi!$G$31:$G$458,MATCH($A110,Kalshi!$A$31:$A$458,0))=0,"",INDEX(Kalshi!$G$31:$G$458,MATCH($A110,Kalshi!$A$31:$A$458,0))),"")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4">
        <f>IFERROR(IF(INDEX(Polymarket!$B$25:$B$275,MATCH($A111,Polymarket!$A$25:$A$275,0))=0,"",INDEX(Polymarket!$B$25:$B$275,MATCH($A111,Polymarket!$A$25:$A$275,0))),"")</f>
        <v/>
      </c>
      <c r="C111" s="104">
        <f>IFERROR(IF(INDEX(Kalshi!$D$31:$D$458,MATCH($A111,Kalshi!$A$31:$A$458,0))=0,"",INDEX(Kalshi!$D$31:$D$458,MATCH($A111,Kalshi!$A$31:$A$458,0))),"")</f>
        <v/>
      </c>
      <c r="D111" s="18">
        <f>IF(AND(ISNUMBER(B111),ISNUMBER(C111)),B111-C111,"")</f>
        <v/>
      </c>
      <c r="E111" s="17">
        <f>IF(ISNUMBER(D111),ABS(D111),"")</f>
        <v/>
      </c>
      <c r="F111" s="104">
        <f>IFERROR(IF(INDEX(Polymarket!$C$25:$C$275,MATCH($A111,Polymarket!$A$25:$A$275,0))=0,"",INDEX(Polymarket!$C$25:$C$275,MATCH($A111,Polymarket!$A$25:$A$275,0))),"")</f>
        <v/>
      </c>
      <c r="G111" s="104">
        <f>IFERROR(IF(INDEX(Kalshi!$G$31:$G$458,MATCH($A111,Kalshi!$A$31:$A$458,0))=0,"",INDEX(Kalshi!$G$31:$G$458,MATCH($A111,Kalshi!$A$31:$A$458,0))),"")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5">
        <f>IFERROR(IF(INDEX(Polymarket!$B$25:$B$275,MATCH($A112,Polymarket!$A$25:$A$275,0))=0,"",INDEX(Polymarket!$B$25:$B$275,MATCH($A112,Polymarket!$A$25:$A$275,0))),"")</f>
        <v/>
      </c>
      <c r="C112" s="105">
        <f>IFERROR(IF(INDEX(Kalshi!$D$31:$D$458,MATCH($A112,Kalshi!$A$31:$A$458,0))=0,"",INDEX(Kalshi!$D$31:$D$458,MATCH($A112,Kalshi!$A$31:$A$458,0))),"")</f>
        <v/>
      </c>
      <c r="D112" s="31">
        <f>IF(AND(ISNUMBER(B112),ISNUMBER(C112)),B112-C112,"")</f>
        <v/>
      </c>
      <c r="E112" s="29">
        <f>IF(ISNUMBER(D112),ABS(D112),"")</f>
        <v/>
      </c>
      <c r="F112" s="105">
        <f>IFERROR(IF(INDEX(Polymarket!$C$25:$C$275,MATCH($A112,Polymarket!$A$25:$A$275,0))=0,"",INDEX(Polymarket!$C$25:$C$275,MATCH($A112,Polymarket!$A$25:$A$275,0))),"")</f>
        <v/>
      </c>
      <c r="G112" s="105">
        <f>IFERROR(IF(INDEX(Kalshi!$G$31:$G$458,MATCH($A112,Kalshi!$A$31:$A$458,0))=0,"",INDEX(Kalshi!$G$31:$G$458,MATCH($A112,Kalshi!$A$31:$A$458,0))),"")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4">
        <f>IFERROR(IF(INDEX(Polymarket!$B$25:$B$275,MATCH($A113,Polymarket!$A$25:$A$275,0))=0,"",INDEX(Polymarket!$B$25:$B$275,MATCH($A113,Polymarket!$A$25:$A$275,0))),"")</f>
        <v/>
      </c>
      <c r="C113" s="104">
        <f>IFERROR(IF(INDEX(Kalshi!$D$31:$D$458,MATCH($A113,Kalshi!$A$31:$A$458,0))=0,"",INDEX(Kalshi!$D$31:$D$458,MATCH($A113,Kalshi!$A$31:$A$458,0))),"")</f>
        <v/>
      </c>
      <c r="D113" s="18">
        <f>IF(AND(ISNUMBER(B113),ISNUMBER(C113)),B113-C113,"")</f>
        <v/>
      </c>
      <c r="E113" s="17">
        <f>IF(ISNUMBER(D113),ABS(D113),"")</f>
        <v/>
      </c>
      <c r="F113" s="104">
        <f>IFERROR(IF(INDEX(Polymarket!$C$25:$C$275,MATCH($A113,Polymarket!$A$25:$A$275,0))=0,"",INDEX(Polymarket!$C$25:$C$275,MATCH($A113,Polymarket!$A$25:$A$275,0))),"")</f>
        <v/>
      </c>
      <c r="G113" s="104">
        <f>IFERROR(IF(INDEX(Kalshi!$G$31:$G$458,MATCH($A113,Kalshi!$A$31:$A$458,0))=0,"",INDEX(Kalshi!$G$31:$G$458,MATCH($A113,Kalshi!$A$31:$A$458,0))),"")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5">
        <f>IFERROR(IF(INDEX(Polymarket!$B$25:$B$275,MATCH($A114,Polymarket!$A$25:$A$275,0))=0,"",INDEX(Polymarket!$B$25:$B$275,MATCH($A114,Polymarket!$A$25:$A$275,0))),"")</f>
        <v/>
      </c>
      <c r="C114" s="105">
        <f>IFERROR(IF(INDEX(Kalshi!$D$31:$D$458,MATCH($A114,Kalshi!$A$31:$A$458,0))=0,"",INDEX(Kalshi!$D$31:$D$458,MATCH($A114,Kalshi!$A$31:$A$458,0))),"")</f>
        <v/>
      </c>
      <c r="D114" s="31">
        <f>IF(AND(ISNUMBER(B114),ISNUMBER(C114)),B114-C114,"")</f>
        <v/>
      </c>
      <c r="E114" s="29">
        <f>IF(ISNUMBER(D114),ABS(D114),"")</f>
        <v/>
      </c>
      <c r="F114" s="105">
        <f>IFERROR(IF(INDEX(Polymarket!$C$25:$C$275,MATCH($A114,Polymarket!$A$25:$A$275,0))=0,"",INDEX(Polymarket!$C$25:$C$275,MATCH($A114,Polymarket!$A$25:$A$275,0))),"")</f>
        <v/>
      </c>
      <c r="G114" s="105">
        <f>IFERROR(IF(INDEX(Kalshi!$G$31:$G$458,MATCH($A114,Kalshi!$A$31:$A$458,0))=0,"",INDEX(Kalshi!$G$31:$G$458,MATCH($A114,Kalshi!$A$31:$A$458,0))),"")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4">
        <f>IFERROR(IF(INDEX(Polymarket!$B$25:$B$275,MATCH($A115,Polymarket!$A$25:$A$275,0))=0,"",INDEX(Polymarket!$B$25:$B$275,MATCH($A115,Polymarket!$A$25:$A$275,0))),"")</f>
        <v/>
      </c>
      <c r="C115" s="104">
        <f>IFERROR(IF(INDEX(Kalshi!$D$31:$D$458,MATCH($A115,Kalshi!$A$31:$A$458,0))=0,"",INDEX(Kalshi!$D$31:$D$458,MATCH($A115,Kalshi!$A$31:$A$458,0))),"")</f>
        <v/>
      </c>
      <c r="D115" s="18">
        <f>IF(AND(ISNUMBER(B115),ISNUMBER(C115)),B115-C115,"")</f>
        <v/>
      </c>
      <c r="E115" s="17">
        <f>IF(ISNUMBER(D115),ABS(D115),"")</f>
        <v/>
      </c>
      <c r="F115" s="104">
        <f>IFERROR(IF(INDEX(Polymarket!$C$25:$C$275,MATCH($A115,Polymarket!$A$25:$A$275,0))=0,"",INDEX(Polymarket!$C$25:$C$275,MATCH($A115,Polymarket!$A$25:$A$275,0))),"")</f>
        <v/>
      </c>
      <c r="G115" s="104">
        <f>IFERROR(IF(INDEX(Kalshi!$G$31:$G$458,MATCH($A115,Kalshi!$A$31:$A$458,0))=0,"",INDEX(Kalshi!$G$31:$G$458,MATCH($A115,Kalshi!$A$31:$A$458,0))),"")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5">
        <f>IFERROR(IF(INDEX(Polymarket!$B$25:$B$275,MATCH($A116,Polymarket!$A$25:$A$275,0))=0,"",INDEX(Polymarket!$B$25:$B$275,MATCH($A116,Polymarket!$A$25:$A$275,0))),"")</f>
        <v/>
      </c>
      <c r="C116" s="105">
        <f>IFERROR(IF(INDEX(Kalshi!$D$31:$D$458,MATCH($A116,Kalshi!$A$31:$A$458,0))=0,"",INDEX(Kalshi!$D$31:$D$458,MATCH($A116,Kalshi!$A$31:$A$458,0))),"")</f>
        <v/>
      </c>
      <c r="D116" s="31">
        <f>IF(AND(ISNUMBER(B116),ISNUMBER(C116)),B116-C116,"")</f>
        <v/>
      </c>
      <c r="E116" s="29">
        <f>IF(ISNUMBER(D116),ABS(D116),"")</f>
        <v/>
      </c>
      <c r="F116" s="105">
        <f>IFERROR(IF(INDEX(Polymarket!$C$25:$C$275,MATCH($A116,Polymarket!$A$25:$A$275,0))=0,"",INDEX(Polymarket!$C$25:$C$275,MATCH($A116,Polymarket!$A$25:$A$275,0))),"")</f>
        <v/>
      </c>
      <c r="G116" s="105">
        <f>IFERROR(IF(INDEX(Kalshi!$G$31:$G$458,MATCH($A116,Kalshi!$A$31:$A$458,0))=0,"",INDEX(Kalshi!$G$31:$G$458,MATCH($A116,Kalshi!$A$31:$A$458,0))),"")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4">
        <f>IFERROR(IF(INDEX(Polymarket!$B$25:$B$275,MATCH($A117,Polymarket!$A$25:$A$275,0))=0,"",INDEX(Polymarket!$B$25:$B$275,MATCH($A117,Polymarket!$A$25:$A$275,0))),"")</f>
        <v/>
      </c>
      <c r="C117" s="104">
        <f>IFERROR(IF(INDEX(Kalshi!$D$31:$D$458,MATCH($A117,Kalshi!$A$31:$A$458,0))=0,"",INDEX(Kalshi!$D$31:$D$458,MATCH($A117,Kalshi!$A$31:$A$458,0))),"")</f>
        <v/>
      </c>
      <c r="D117" s="18">
        <f>IF(AND(ISNUMBER(B117),ISNUMBER(C117)),B117-C117,"")</f>
        <v/>
      </c>
      <c r="E117" s="17">
        <f>IF(ISNUMBER(D117),ABS(D117),"")</f>
        <v/>
      </c>
      <c r="F117" s="104">
        <f>IFERROR(IF(INDEX(Polymarket!$C$25:$C$275,MATCH($A117,Polymarket!$A$25:$A$275,0))=0,"",INDEX(Polymarket!$C$25:$C$275,MATCH($A117,Polymarket!$A$25:$A$275,0))),"")</f>
        <v/>
      </c>
      <c r="G117" s="104">
        <f>IFERROR(IF(INDEX(Kalshi!$G$31:$G$458,MATCH($A117,Kalshi!$A$31:$A$458,0))=0,"",INDEX(Kalshi!$G$31:$G$458,MATCH($A117,Kalshi!$A$31:$A$458,0))),"")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5">
        <f>IFERROR(IF(INDEX(Polymarket!$B$25:$B$275,MATCH($A118,Polymarket!$A$25:$A$275,0))=0,"",INDEX(Polymarket!$B$25:$B$275,MATCH($A118,Polymarket!$A$25:$A$275,0))),"")</f>
        <v/>
      </c>
      <c r="C118" s="105">
        <f>IFERROR(IF(INDEX(Kalshi!$D$31:$D$458,MATCH($A118,Kalshi!$A$31:$A$458,0))=0,"",INDEX(Kalshi!$D$31:$D$458,MATCH($A118,Kalshi!$A$31:$A$458,0))),"")</f>
        <v/>
      </c>
      <c r="D118" s="31">
        <f>IF(AND(ISNUMBER(B118),ISNUMBER(C118)),B118-C118,"")</f>
        <v/>
      </c>
      <c r="E118" s="29">
        <f>IF(ISNUMBER(D118),ABS(D118),"")</f>
        <v/>
      </c>
      <c r="F118" s="105">
        <f>IFERROR(IF(INDEX(Polymarket!$C$25:$C$275,MATCH($A118,Polymarket!$A$25:$A$275,0))=0,"",INDEX(Polymarket!$C$25:$C$275,MATCH($A118,Polymarket!$A$25:$A$275,0))),"")</f>
        <v/>
      </c>
      <c r="G118" s="105">
        <f>IFERROR(IF(INDEX(Kalshi!$G$31:$G$458,MATCH($A118,Kalshi!$A$31:$A$458,0))=0,"",INDEX(Kalshi!$G$31:$G$458,MATCH($A118,Kalshi!$A$31:$A$458,0))),"")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4">
        <f>IFERROR(IF(INDEX(Polymarket!$B$25:$B$275,MATCH($A119,Polymarket!$A$25:$A$275,0))=0,"",INDEX(Polymarket!$B$25:$B$275,MATCH($A119,Polymarket!$A$25:$A$275,0))),"")</f>
        <v/>
      </c>
      <c r="C119" s="104">
        <f>IFERROR(IF(INDEX(Kalshi!$D$31:$D$458,MATCH($A119,Kalshi!$A$31:$A$458,0))=0,"",INDEX(Kalshi!$D$31:$D$458,MATCH($A119,Kalshi!$A$31:$A$458,0))),"")</f>
        <v/>
      </c>
      <c r="D119" s="18">
        <f>IF(AND(ISNUMBER(B119),ISNUMBER(C119)),B119-C119,"")</f>
        <v/>
      </c>
      <c r="E119" s="17">
        <f>IF(ISNUMBER(D119),ABS(D119),"")</f>
        <v/>
      </c>
      <c r="F119" s="104">
        <f>IFERROR(IF(INDEX(Polymarket!$C$25:$C$275,MATCH($A119,Polymarket!$A$25:$A$275,0))=0,"",INDEX(Polymarket!$C$25:$C$275,MATCH($A119,Polymarket!$A$25:$A$275,0))),"")</f>
        <v/>
      </c>
      <c r="G119" s="104">
        <f>IFERROR(IF(INDEX(Kalshi!$G$31:$G$458,MATCH($A119,Kalshi!$A$31:$A$458,0))=0,"",INDEX(Kalshi!$G$31:$G$458,MATCH($A119,Kalshi!$A$31:$A$458,0))),"")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5">
        <f>IFERROR(IF(INDEX(Polymarket!$B$25:$B$275,MATCH($A120,Polymarket!$A$25:$A$275,0))=0,"",INDEX(Polymarket!$B$25:$B$275,MATCH($A120,Polymarket!$A$25:$A$275,0))),"")</f>
        <v/>
      </c>
      <c r="C120" s="105">
        <f>IFERROR(IF(INDEX(Kalshi!$D$31:$D$458,MATCH($A120,Kalshi!$A$31:$A$458,0))=0,"",INDEX(Kalshi!$D$31:$D$458,MATCH($A120,Kalshi!$A$31:$A$458,0))),"")</f>
        <v/>
      </c>
      <c r="D120" s="31">
        <f>IF(AND(ISNUMBER(B120),ISNUMBER(C120)),B120-C120,"")</f>
        <v/>
      </c>
      <c r="E120" s="29">
        <f>IF(ISNUMBER(D120),ABS(D120),"")</f>
        <v/>
      </c>
      <c r="F120" s="105">
        <f>IFERROR(IF(INDEX(Polymarket!$C$25:$C$275,MATCH($A120,Polymarket!$A$25:$A$275,0))=0,"",INDEX(Polymarket!$C$25:$C$275,MATCH($A120,Polymarket!$A$25:$A$275,0))),"")</f>
        <v/>
      </c>
      <c r="G120" s="105">
        <f>IFERROR(IF(INDEX(Kalshi!$G$31:$G$458,MATCH($A120,Kalshi!$A$31:$A$458,0))=0,"",INDEX(Kalshi!$G$31:$G$458,MATCH($A120,Kalshi!$A$31:$A$458,0))),"")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4">
        <f>IFERROR(IF(INDEX(Polymarket!$B$25:$B$275,MATCH($A121,Polymarket!$A$25:$A$275,0))=0,"",INDEX(Polymarket!$B$25:$B$275,MATCH($A121,Polymarket!$A$25:$A$275,0))),"")</f>
        <v/>
      </c>
      <c r="C121" s="104">
        <f>IFERROR(IF(INDEX(Kalshi!$D$31:$D$458,MATCH($A121,Kalshi!$A$31:$A$458,0))=0,"",INDEX(Kalshi!$D$31:$D$458,MATCH($A121,Kalshi!$A$31:$A$458,0))),"")</f>
        <v/>
      </c>
      <c r="D121" s="18">
        <f>IF(AND(ISNUMBER(B121),ISNUMBER(C121)),B121-C121,"")</f>
        <v/>
      </c>
      <c r="E121" s="17">
        <f>IF(ISNUMBER(D121),ABS(D121),"")</f>
        <v/>
      </c>
      <c r="F121" s="104">
        <f>IFERROR(IF(INDEX(Polymarket!$C$25:$C$275,MATCH($A121,Polymarket!$A$25:$A$275,0))=0,"",INDEX(Polymarket!$C$25:$C$275,MATCH($A121,Polymarket!$A$25:$A$275,0))),"")</f>
        <v/>
      </c>
      <c r="G121" s="104">
        <f>IFERROR(IF(INDEX(Kalshi!$G$31:$G$458,MATCH($A121,Kalshi!$A$31:$A$458,0))=0,"",INDEX(Kalshi!$G$31:$G$458,MATCH($A121,Kalshi!$A$31:$A$458,0))),"")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5">
        <f>IFERROR(IF(INDEX(Polymarket!$B$25:$B$275,MATCH($A122,Polymarket!$A$25:$A$275,0))=0,"",INDEX(Polymarket!$B$25:$B$275,MATCH($A122,Polymarket!$A$25:$A$275,0))),"")</f>
        <v/>
      </c>
      <c r="C122" s="105">
        <f>IFERROR(IF(INDEX(Kalshi!$D$31:$D$458,MATCH($A122,Kalshi!$A$31:$A$458,0))=0,"",INDEX(Kalshi!$D$31:$D$458,MATCH($A122,Kalshi!$A$31:$A$458,0))),"")</f>
        <v/>
      </c>
      <c r="D122" s="31">
        <f>IF(AND(ISNUMBER(B122),ISNUMBER(C122)),B122-C122,"")</f>
        <v/>
      </c>
      <c r="E122" s="29">
        <f>IF(ISNUMBER(D122),ABS(D122),"")</f>
        <v/>
      </c>
      <c r="F122" s="105">
        <f>IFERROR(IF(INDEX(Polymarket!$C$25:$C$275,MATCH($A122,Polymarket!$A$25:$A$275,0))=0,"",INDEX(Polymarket!$C$25:$C$275,MATCH($A122,Polymarket!$A$25:$A$275,0))),"")</f>
        <v/>
      </c>
      <c r="G122" s="105">
        <f>IFERROR(IF(INDEX(Kalshi!$G$31:$G$458,MATCH($A122,Kalshi!$A$31:$A$458,0))=0,"",INDEX(Kalshi!$G$31:$G$458,MATCH($A122,Kalshi!$A$31:$A$458,0))),"")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4">
        <f>IFERROR(IF(INDEX(Polymarket!$B$25:$B$275,MATCH($A123,Polymarket!$A$25:$A$275,0))=0,"",INDEX(Polymarket!$B$25:$B$275,MATCH($A123,Polymarket!$A$25:$A$275,0))),"")</f>
        <v/>
      </c>
      <c r="C123" s="104">
        <f>IFERROR(IF(INDEX(Kalshi!$D$31:$D$458,MATCH($A123,Kalshi!$A$31:$A$458,0))=0,"",INDEX(Kalshi!$D$31:$D$458,MATCH($A123,Kalshi!$A$31:$A$458,0))),"")</f>
        <v/>
      </c>
      <c r="D123" s="18">
        <f>IF(AND(ISNUMBER(B123),ISNUMBER(C123)),B123-C123,"")</f>
        <v/>
      </c>
      <c r="E123" s="17">
        <f>IF(ISNUMBER(D123),ABS(D123),"")</f>
        <v/>
      </c>
      <c r="F123" s="104">
        <f>IFERROR(IF(INDEX(Polymarket!$C$25:$C$275,MATCH($A123,Polymarket!$A$25:$A$275,0))=0,"",INDEX(Polymarket!$C$25:$C$275,MATCH($A123,Polymarket!$A$25:$A$275,0))),"")</f>
        <v/>
      </c>
      <c r="G123" s="104">
        <f>IFERROR(IF(INDEX(Kalshi!$G$31:$G$458,MATCH($A123,Kalshi!$A$31:$A$458,0))=0,"",INDEX(Kalshi!$G$31:$G$458,MATCH($A123,Kalshi!$A$31:$A$458,0))),"")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5">
        <f>IFERROR(IF(INDEX(Polymarket!$B$25:$B$275,MATCH($A124,Polymarket!$A$25:$A$275,0))=0,"",INDEX(Polymarket!$B$25:$B$275,MATCH($A124,Polymarket!$A$25:$A$275,0))),"")</f>
        <v/>
      </c>
      <c r="C124" s="105">
        <f>IFERROR(IF(INDEX(Kalshi!$D$31:$D$458,MATCH($A124,Kalshi!$A$31:$A$458,0))=0,"",INDEX(Kalshi!$D$31:$D$458,MATCH($A124,Kalshi!$A$31:$A$458,0))),"")</f>
        <v/>
      </c>
      <c r="D124" s="31">
        <f>IF(AND(ISNUMBER(B124),ISNUMBER(C124)),B124-C124,"")</f>
        <v/>
      </c>
      <c r="E124" s="29">
        <f>IF(ISNUMBER(D124),ABS(D124),"")</f>
        <v/>
      </c>
      <c r="F124" s="105">
        <f>IFERROR(IF(INDEX(Polymarket!$C$25:$C$275,MATCH($A124,Polymarket!$A$25:$A$275,0))=0,"",INDEX(Polymarket!$C$25:$C$275,MATCH($A124,Polymarket!$A$25:$A$275,0))),"")</f>
        <v/>
      </c>
      <c r="G124" s="105">
        <f>IFERROR(IF(INDEX(Kalshi!$G$31:$G$458,MATCH($A124,Kalshi!$A$31:$A$458,0))=0,"",INDEX(Kalshi!$G$31:$G$458,MATCH($A124,Kalshi!$A$31:$A$458,0))),"")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4">
        <f>IFERROR(IF(INDEX(Polymarket!$B$25:$B$275,MATCH($A125,Polymarket!$A$25:$A$275,0))=0,"",INDEX(Polymarket!$B$25:$B$275,MATCH($A125,Polymarket!$A$25:$A$275,0))),"")</f>
        <v/>
      </c>
      <c r="C125" s="104">
        <f>IFERROR(IF(INDEX(Kalshi!$D$31:$D$458,MATCH($A125,Kalshi!$A$31:$A$458,0))=0,"",INDEX(Kalshi!$D$31:$D$458,MATCH($A125,Kalshi!$A$31:$A$458,0))),"")</f>
        <v/>
      </c>
      <c r="D125" s="18">
        <f>IF(AND(ISNUMBER(B125),ISNUMBER(C125)),B125-C125,"")</f>
        <v/>
      </c>
      <c r="E125" s="17">
        <f>IF(ISNUMBER(D125),ABS(D125),"")</f>
        <v/>
      </c>
      <c r="F125" s="104">
        <f>IFERROR(IF(INDEX(Polymarket!$C$25:$C$275,MATCH($A125,Polymarket!$A$25:$A$275,0))=0,"",INDEX(Polymarket!$C$25:$C$275,MATCH($A125,Polymarket!$A$25:$A$275,0))),"")</f>
        <v/>
      </c>
      <c r="G125" s="104">
        <f>IFERROR(IF(INDEX(Kalshi!$G$31:$G$458,MATCH($A125,Kalshi!$A$31:$A$458,0))=0,"",INDEX(Kalshi!$G$31:$G$458,MATCH($A125,Kalshi!$A$31:$A$458,0))),"")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5">
        <f>IFERROR(IF(INDEX(Polymarket!$B$25:$B$275,MATCH($A126,Polymarket!$A$25:$A$275,0))=0,"",INDEX(Polymarket!$B$25:$B$275,MATCH($A126,Polymarket!$A$25:$A$275,0))),"")</f>
        <v/>
      </c>
      <c r="C126" s="105">
        <f>IFERROR(IF(INDEX(Kalshi!$D$31:$D$458,MATCH($A126,Kalshi!$A$31:$A$458,0))=0,"",INDEX(Kalshi!$D$31:$D$458,MATCH($A126,Kalshi!$A$31:$A$458,0))),"")</f>
        <v/>
      </c>
      <c r="D126" s="31">
        <f>IF(AND(ISNUMBER(B126),ISNUMBER(C126)),B126-C126,"")</f>
        <v/>
      </c>
      <c r="E126" s="29">
        <f>IF(ISNUMBER(D126),ABS(D126),"")</f>
        <v/>
      </c>
      <c r="F126" s="105">
        <f>IFERROR(IF(INDEX(Polymarket!$C$25:$C$275,MATCH($A126,Polymarket!$A$25:$A$275,0))=0,"",INDEX(Polymarket!$C$25:$C$275,MATCH($A126,Polymarket!$A$25:$A$275,0))),"")</f>
        <v/>
      </c>
      <c r="G126" s="105">
        <f>IFERROR(IF(INDEX(Kalshi!$G$31:$G$458,MATCH($A126,Kalshi!$A$31:$A$458,0))=0,"",INDEX(Kalshi!$G$31:$G$458,MATCH($A126,Kalshi!$A$31:$A$458,0))),"")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4">
        <f>IFERROR(IF(INDEX(Polymarket!$B$25:$B$275,MATCH($A127,Polymarket!$A$25:$A$275,0))=0,"",INDEX(Polymarket!$B$25:$B$275,MATCH($A127,Polymarket!$A$25:$A$275,0))),"")</f>
        <v/>
      </c>
      <c r="C127" s="104">
        <f>IFERROR(IF(INDEX(Kalshi!$D$31:$D$458,MATCH($A127,Kalshi!$A$31:$A$458,0))=0,"",INDEX(Kalshi!$D$31:$D$458,MATCH($A127,Kalshi!$A$31:$A$458,0))),"")</f>
        <v/>
      </c>
      <c r="D127" s="18">
        <f>IF(AND(ISNUMBER(B127),ISNUMBER(C127)),B127-C127,"")</f>
        <v/>
      </c>
      <c r="E127" s="17">
        <f>IF(ISNUMBER(D127),ABS(D127),"")</f>
        <v/>
      </c>
      <c r="F127" s="104">
        <f>IFERROR(IF(INDEX(Polymarket!$C$25:$C$275,MATCH($A127,Polymarket!$A$25:$A$275,0))=0,"",INDEX(Polymarket!$C$25:$C$275,MATCH($A127,Polymarket!$A$25:$A$275,0))),"")</f>
        <v/>
      </c>
      <c r="G127" s="104">
        <f>IFERROR(IF(INDEX(Kalshi!$G$31:$G$458,MATCH($A127,Kalshi!$A$31:$A$458,0))=0,"",INDEX(Kalshi!$G$31:$G$458,MATCH($A127,Kalshi!$A$31:$A$458,0))),"")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5">
        <f>IFERROR(IF(INDEX(Polymarket!$B$25:$B$275,MATCH($A128,Polymarket!$A$25:$A$275,0))=0,"",INDEX(Polymarket!$B$25:$B$275,MATCH($A128,Polymarket!$A$25:$A$275,0))),"")</f>
        <v/>
      </c>
      <c r="C128" s="105">
        <f>IFERROR(IF(INDEX(Kalshi!$D$31:$D$458,MATCH($A128,Kalshi!$A$31:$A$458,0))=0,"",INDEX(Kalshi!$D$31:$D$458,MATCH($A128,Kalshi!$A$31:$A$458,0))),"")</f>
        <v/>
      </c>
      <c r="D128" s="31">
        <f>IF(AND(ISNUMBER(B128),ISNUMBER(C128)),B128-C128,"")</f>
        <v/>
      </c>
      <c r="E128" s="29">
        <f>IF(ISNUMBER(D128),ABS(D128),"")</f>
        <v/>
      </c>
      <c r="F128" s="105">
        <f>IFERROR(IF(INDEX(Polymarket!$C$25:$C$275,MATCH($A128,Polymarket!$A$25:$A$275,0))=0,"",INDEX(Polymarket!$C$25:$C$275,MATCH($A128,Polymarket!$A$25:$A$275,0))),"")</f>
        <v/>
      </c>
      <c r="G128" s="105">
        <f>IFERROR(IF(INDEX(Kalshi!$G$31:$G$458,MATCH($A128,Kalshi!$A$31:$A$458,0))=0,"",INDEX(Kalshi!$G$31:$G$458,MATCH($A128,Kalshi!$A$31:$A$458,0))),"")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4">
        <f>IFERROR(IF(INDEX(Polymarket!$B$25:$B$275,MATCH($A129,Polymarket!$A$25:$A$275,0))=0,"",INDEX(Polymarket!$B$25:$B$275,MATCH($A129,Polymarket!$A$25:$A$275,0))),"")</f>
        <v/>
      </c>
      <c r="C129" s="104">
        <f>IFERROR(IF(INDEX(Kalshi!$D$31:$D$458,MATCH($A129,Kalshi!$A$31:$A$458,0))=0,"",INDEX(Kalshi!$D$31:$D$458,MATCH($A129,Kalshi!$A$31:$A$458,0))),"")</f>
        <v/>
      </c>
      <c r="D129" s="18">
        <f>IF(AND(ISNUMBER(B129),ISNUMBER(C129)),B129-C129,"")</f>
        <v/>
      </c>
      <c r="E129" s="17">
        <f>IF(ISNUMBER(D129),ABS(D129),"")</f>
        <v/>
      </c>
      <c r="F129" s="104">
        <f>IFERROR(IF(INDEX(Polymarket!$C$25:$C$275,MATCH($A129,Polymarket!$A$25:$A$275,0))=0,"",INDEX(Polymarket!$C$25:$C$275,MATCH($A129,Polymarket!$A$25:$A$275,0))),"")</f>
        <v/>
      </c>
      <c r="G129" s="104">
        <f>IFERROR(IF(INDEX(Kalshi!$G$31:$G$458,MATCH($A129,Kalshi!$A$31:$A$458,0))=0,"",INDEX(Kalshi!$G$31:$G$458,MATCH($A129,Kalshi!$A$31:$A$458,0))),"")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5">
        <f>IFERROR(IF(INDEX(Polymarket!$B$25:$B$275,MATCH($A130,Polymarket!$A$25:$A$275,0))=0,"",INDEX(Polymarket!$B$25:$B$275,MATCH($A130,Polymarket!$A$25:$A$275,0))),"")</f>
        <v/>
      </c>
      <c r="C130" s="105">
        <f>IFERROR(IF(INDEX(Kalshi!$D$31:$D$458,MATCH($A130,Kalshi!$A$31:$A$458,0))=0,"",INDEX(Kalshi!$D$31:$D$458,MATCH($A130,Kalshi!$A$31:$A$458,0))),"")</f>
        <v/>
      </c>
      <c r="D130" s="31">
        <f>IF(AND(ISNUMBER(B130),ISNUMBER(C130)),B130-C130,"")</f>
        <v/>
      </c>
      <c r="E130" s="29">
        <f>IF(ISNUMBER(D130),ABS(D130),"")</f>
        <v/>
      </c>
      <c r="F130" s="105">
        <f>IFERROR(IF(INDEX(Polymarket!$C$25:$C$275,MATCH($A130,Polymarket!$A$25:$A$275,0))=0,"",INDEX(Polymarket!$C$25:$C$275,MATCH($A130,Polymarket!$A$25:$A$275,0))),"")</f>
        <v/>
      </c>
      <c r="G130" s="105">
        <f>IFERROR(IF(INDEX(Kalshi!$G$31:$G$458,MATCH($A130,Kalshi!$A$31:$A$458,0))=0,"",INDEX(Kalshi!$G$31:$G$458,MATCH($A130,Kalshi!$A$31:$A$458,0))),"")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4">
        <f>IFERROR(IF(INDEX(Polymarket!$B$25:$B$275,MATCH($A131,Polymarket!$A$25:$A$275,0))=0,"",INDEX(Polymarket!$B$25:$B$275,MATCH($A131,Polymarket!$A$25:$A$275,0))),"")</f>
        <v/>
      </c>
      <c r="C131" s="104">
        <f>IFERROR(IF(INDEX(Kalshi!$D$31:$D$458,MATCH($A131,Kalshi!$A$31:$A$458,0))=0,"",INDEX(Kalshi!$D$31:$D$458,MATCH($A131,Kalshi!$A$31:$A$458,0))),"")</f>
        <v/>
      </c>
      <c r="D131" s="18">
        <f>IF(AND(ISNUMBER(B131),ISNUMBER(C131)),B131-C131,"")</f>
        <v/>
      </c>
      <c r="E131" s="17">
        <f>IF(ISNUMBER(D131),ABS(D131),"")</f>
        <v/>
      </c>
      <c r="F131" s="104">
        <f>IFERROR(IF(INDEX(Polymarket!$C$25:$C$275,MATCH($A131,Polymarket!$A$25:$A$275,0))=0,"",INDEX(Polymarket!$C$25:$C$275,MATCH($A131,Polymarket!$A$25:$A$275,0))),"")</f>
        <v/>
      </c>
      <c r="G131" s="104">
        <f>IFERROR(IF(INDEX(Kalshi!$G$31:$G$458,MATCH($A131,Kalshi!$A$31:$A$458,0))=0,"",INDEX(Kalshi!$G$31:$G$458,MATCH($A131,Kalshi!$A$31:$A$458,0))),"")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5">
        <f>IFERROR(IF(INDEX(Polymarket!$B$25:$B$275,MATCH($A132,Polymarket!$A$25:$A$275,0))=0,"",INDEX(Polymarket!$B$25:$B$275,MATCH($A132,Polymarket!$A$25:$A$275,0))),"")</f>
        <v/>
      </c>
      <c r="C132" s="105">
        <f>IFERROR(IF(INDEX(Kalshi!$D$31:$D$458,MATCH($A132,Kalshi!$A$31:$A$458,0))=0,"",INDEX(Kalshi!$D$31:$D$458,MATCH($A132,Kalshi!$A$31:$A$458,0))),"")</f>
        <v/>
      </c>
      <c r="D132" s="31">
        <f>IF(AND(ISNUMBER(B132),ISNUMBER(C132)),B132-C132,"")</f>
        <v/>
      </c>
      <c r="E132" s="29">
        <f>IF(ISNUMBER(D132),ABS(D132),"")</f>
        <v/>
      </c>
      <c r="F132" s="105">
        <f>IFERROR(IF(INDEX(Polymarket!$C$25:$C$275,MATCH($A132,Polymarket!$A$25:$A$275,0))=0,"",INDEX(Polymarket!$C$25:$C$275,MATCH($A132,Polymarket!$A$25:$A$275,0))),"")</f>
        <v/>
      </c>
      <c r="G132" s="105">
        <f>IFERROR(IF(INDEX(Kalshi!$G$31:$G$458,MATCH($A132,Kalshi!$A$31:$A$458,0))=0,"",INDEX(Kalshi!$G$31:$G$458,MATCH($A132,Kalshi!$A$31:$A$458,0))),"")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4">
        <f>IFERROR(IF(INDEX(Polymarket!$B$25:$B$275,MATCH($A133,Polymarket!$A$25:$A$275,0))=0,"",INDEX(Polymarket!$B$25:$B$275,MATCH($A133,Polymarket!$A$25:$A$275,0))),"")</f>
        <v/>
      </c>
      <c r="C133" s="104">
        <f>IFERROR(IF(INDEX(Kalshi!$D$31:$D$458,MATCH($A133,Kalshi!$A$31:$A$458,0))=0,"",INDEX(Kalshi!$D$31:$D$458,MATCH($A133,Kalshi!$A$31:$A$458,0))),"")</f>
        <v/>
      </c>
      <c r="D133" s="18">
        <f>IF(AND(ISNUMBER(B133),ISNUMBER(C133)),B133-C133,"")</f>
        <v/>
      </c>
      <c r="E133" s="17">
        <f>IF(ISNUMBER(D133),ABS(D133),"")</f>
        <v/>
      </c>
      <c r="F133" s="104">
        <f>IFERROR(IF(INDEX(Polymarket!$C$25:$C$275,MATCH($A133,Polymarket!$A$25:$A$275,0))=0,"",INDEX(Polymarket!$C$25:$C$275,MATCH($A133,Polymarket!$A$25:$A$275,0))),"")</f>
        <v/>
      </c>
      <c r="G133" s="104">
        <f>IFERROR(IF(INDEX(Kalshi!$G$31:$G$458,MATCH($A133,Kalshi!$A$31:$A$458,0))=0,"",INDEX(Kalshi!$G$31:$G$458,MATCH($A133,Kalshi!$A$31:$A$458,0))),"")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5">
        <f>IFERROR(IF(INDEX(Polymarket!$B$25:$B$275,MATCH($A134,Polymarket!$A$25:$A$275,0))=0,"",INDEX(Polymarket!$B$25:$B$275,MATCH($A134,Polymarket!$A$25:$A$275,0))),"")</f>
        <v/>
      </c>
      <c r="C134" s="105">
        <f>IFERROR(IF(INDEX(Kalshi!$D$31:$D$458,MATCH($A134,Kalshi!$A$31:$A$458,0))=0,"",INDEX(Kalshi!$D$31:$D$458,MATCH($A134,Kalshi!$A$31:$A$458,0))),"")</f>
        <v/>
      </c>
      <c r="D134" s="31">
        <f>IF(AND(ISNUMBER(B134),ISNUMBER(C134)),B134-C134,"")</f>
        <v/>
      </c>
      <c r="E134" s="29">
        <f>IF(ISNUMBER(D134),ABS(D134),"")</f>
        <v/>
      </c>
      <c r="F134" s="105">
        <f>IFERROR(IF(INDEX(Polymarket!$C$25:$C$275,MATCH($A134,Polymarket!$A$25:$A$275,0))=0,"",INDEX(Polymarket!$C$25:$C$275,MATCH($A134,Polymarket!$A$25:$A$275,0))),"")</f>
        <v/>
      </c>
      <c r="G134" s="105">
        <f>IFERROR(IF(INDEX(Kalshi!$G$31:$G$458,MATCH($A134,Kalshi!$A$31:$A$458,0))=0,"",INDEX(Kalshi!$G$31:$G$458,MATCH($A134,Kalshi!$A$31:$A$458,0))),"")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4">
        <f>IFERROR(IF(INDEX(Polymarket!$B$25:$B$275,MATCH($A135,Polymarket!$A$25:$A$275,0))=0,"",INDEX(Polymarket!$B$25:$B$275,MATCH($A135,Polymarket!$A$25:$A$275,0))),"")</f>
        <v/>
      </c>
      <c r="C135" s="104">
        <f>IFERROR(IF(INDEX(Kalshi!$D$31:$D$458,MATCH($A135,Kalshi!$A$31:$A$458,0))=0,"",INDEX(Kalshi!$D$31:$D$458,MATCH($A135,Kalshi!$A$31:$A$458,0))),"")</f>
        <v/>
      </c>
      <c r="D135" s="18">
        <f>IF(AND(ISNUMBER(B135),ISNUMBER(C135)),B135-C135,"")</f>
        <v/>
      </c>
      <c r="E135" s="17">
        <f>IF(ISNUMBER(D135),ABS(D135),"")</f>
        <v/>
      </c>
      <c r="F135" s="104">
        <f>IFERROR(IF(INDEX(Polymarket!$C$25:$C$275,MATCH($A135,Polymarket!$A$25:$A$275,0))=0,"",INDEX(Polymarket!$C$25:$C$275,MATCH($A135,Polymarket!$A$25:$A$275,0))),"")</f>
        <v/>
      </c>
      <c r="G135" s="104">
        <f>IFERROR(IF(INDEX(Kalshi!$G$31:$G$458,MATCH($A135,Kalshi!$A$31:$A$458,0))=0,"",INDEX(Kalshi!$G$31:$G$458,MATCH($A135,Kalshi!$A$31:$A$458,0))),"")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5">
        <f>IFERROR(IF(INDEX(Polymarket!$B$25:$B$275,MATCH($A136,Polymarket!$A$25:$A$275,0))=0,"",INDEX(Polymarket!$B$25:$B$275,MATCH($A136,Polymarket!$A$25:$A$275,0))),"")</f>
        <v/>
      </c>
      <c r="C136" s="105">
        <f>IFERROR(IF(INDEX(Kalshi!$D$31:$D$458,MATCH($A136,Kalshi!$A$31:$A$458,0))=0,"",INDEX(Kalshi!$D$31:$D$458,MATCH($A136,Kalshi!$A$31:$A$458,0))),"")</f>
        <v/>
      </c>
      <c r="D136" s="31">
        <f>IF(AND(ISNUMBER(B136),ISNUMBER(C136)),B136-C136,"")</f>
        <v/>
      </c>
      <c r="E136" s="29">
        <f>IF(ISNUMBER(D136),ABS(D136),"")</f>
        <v/>
      </c>
      <c r="F136" s="105">
        <f>IFERROR(IF(INDEX(Polymarket!$C$25:$C$275,MATCH($A136,Polymarket!$A$25:$A$275,0))=0,"",INDEX(Polymarket!$C$25:$C$275,MATCH($A136,Polymarket!$A$25:$A$275,0))),"")</f>
        <v/>
      </c>
      <c r="G136" s="105">
        <f>IFERROR(IF(INDEX(Kalshi!$G$31:$G$458,MATCH($A136,Kalshi!$A$31:$A$458,0))=0,"",INDEX(Kalshi!$G$31:$G$458,MATCH($A136,Kalshi!$A$31:$A$458,0))),"")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4">
        <f>IFERROR(IF(INDEX(Polymarket!$B$25:$B$275,MATCH($A137,Polymarket!$A$25:$A$275,0))=0,"",INDEX(Polymarket!$B$25:$B$275,MATCH($A137,Polymarket!$A$25:$A$275,0))),"")</f>
        <v/>
      </c>
      <c r="C137" s="104">
        <f>IFERROR(IF(INDEX(Kalshi!$D$31:$D$458,MATCH($A137,Kalshi!$A$31:$A$458,0))=0,"",INDEX(Kalshi!$D$31:$D$458,MATCH($A137,Kalshi!$A$31:$A$458,0))),"")</f>
        <v/>
      </c>
      <c r="D137" s="18">
        <f>IF(AND(ISNUMBER(B137),ISNUMBER(C137)),B137-C137,"")</f>
        <v/>
      </c>
      <c r="E137" s="17">
        <f>IF(ISNUMBER(D137),ABS(D137),"")</f>
        <v/>
      </c>
      <c r="F137" s="104">
        <f>IFERROR(IF(INDEX(Polymarket!$C$25:$C$275,MATCH($A137,Polymarket!$A$25:$A$275,0))=0,"",INDEX(Polymarket!$C$25:$C$275,MATCH($A137,Polymarket!$A$25:$A$275,0))),"")</f>
        <v/>
      </c>
      <c r="G137" s="104">
        <f>IFERROR(IF(INDEX(Kalshi!$G$31:$G$458,MATCH($A137,Kalshi!$A$31:$A$458,0))=0,"",INDEX(Kalshi!$G$31:$G$458,MATCH($A137,Kalshi!$A$31:$A$458,0))),"")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5">
        <f>IFERROR(IF(INDEX(Polymarket!$B$25:$B$275,MATCH($A138,Polymarket!$A$25:$A$275,0))=0,"",INDEX(Polymarket!$B$25:$B$275,MATCH($A138,Polymarket!$A$25:$A$275,0))),"")</f>
        <v/>
      </c>
      <c r="C138" s="105">
        <f>IFERROR(IF(INDEX(Kalshi!$D$31:$D$458,MATCH($A138,Kalshi!$A$31:$A$458,0))=0,"",INDEX(Kalshi!$D$31:$D$458,MATCH($A138,Kalshi!$A$31:$A$458,0))),"")</f>
        <v/>
      </c>
      <c r="D138" s="31">
        <f>IF(AND(ISNUMBER(B138),ISNUMBER(C138)),B138-C138,"")</f>
        <v/>
      </c>
      <c r="E138" s="29">
        <f>IF(ISNUMBER(D138),ABS(D138),"")</f>
        <v/>
      </c>
      <c r="F138" s="105">
        <f>IFERROR(IF(INDEX(Polymarket!$C$25:$C$275,MATCH($A138,Polymarket!$A$25:$A$275,0))=0,"",INDEX(Polymarket!$C$25:$C$275,MATCH($A138,Polymarket!$A$25:$A$275,0))),"")</f>
        <v/>
      </c>
      <c r="G138" s="105">
        <f>IFERROR(IF(INDEX(Kalshi!$G$31:$G$458,MATCH($A138,Kalshi!$A$31:$A$458,0))=0,"",INDEX(Kalshi!$G$31:$G$458,MATCH($A138,Kalshi!$A$31:$A$458,0))),"")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4">
        <f>IFERROR(IF(INDEX(Polymarket!$B$25:$B$275,MATCH($A139,Polymarket!$A$25:$A$275,0))=0,"",INDEX(Polymarket!$B$25:$B$275,MATCH($A139,Polymarket!$A$25:$A$275,0))),"")</f>
        <v/>
      </c>
      <c r="C139" s="104">
        <f>IFERROR(IF(INDEX(Kalshi!$D$31:$D$458,MATCH($A139,Kalshi!$A$31:$A$458,0))=0,"",INDEX(Kalshi!$D$31:$D$458,MATCH($A139,Kalshi!$A$31:$A$458,0))),"")</f>
        <v/>
      </c>
      <c r="D139" s="18">
        <f>IF(AND(ISNUMBER(B139),ISNUMBER(C139)),B139-C139,"")</f>
        <v/>
      </c>
      <c r="E139" s="17">
        <f>IF(ISNUMBER(D139),ABS(D139),"")</f>
        <v/>
      </c>
      <c r="F139" s="104">
        <f>IFERROR(IF(INDEX(Polymarket!$C$25:$C$275,MATCH($A139,Polymarket!$A$25:$A$275,0))=0,"",INDEX(Polymarket!$C$25:$C$275,MATCH($A139,Polymarket!$A$25:$A$275,0))),"")</f>
        <v/>
      </c>
      <c r="G139" s="104">
        <f>IFERROR(IF(INDEX(Kalshi!$G$31:$G$458,MATCH($A139,Kalshi!$A$31:$A$458,0))=0,"",INDEX(Kalshi!$G$31:$G$458,MATCH($A139,Kalshi!$A$31:$A$458,0))),"")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5">
        <f>IFERROR(IF(INDEX(Polymarket!$B$25:$B$275,MATCH($A140,Polymarket!$A$25:$A$275,0))=0,"",INDEX(Polymarket!$B$25:$B$275,MATCH($A140,Polymarket!$A$25:$A$275,0))),"")</f>
        <v/>
      </c>
      <c r="C140" s="105">
        <f>IFERROR(IF(INDEX(Kalshi!$D$31:$D$458,MATCH($A140,Kalshi!$A$31:$A$458,0))=0,"",INDEX(Kalshi!$D$31:$D$458,MATCH($A140,Kalshi!$A$31:$A$458,0))),"")</f>
        <v/>
      </c>
      <c r="D140" s="31">
        <f>IF(AND(ISNUMBER(B140),ISNUMBER(C140)),B140-C140,"")</f>
        <v/>
      </c>
      <c r="E140" s="29">
        <f>IF(ISNUMBER(D140),ABS(D140),"")</f>
        <v/>
      </c>
      <c r="F140" s="105">
        <f>IFERROR(IF(INDEX(Polymarket!$C$25:$C$275,MATCH($A140,Polymarket!$A$25:$A$275,0))=0,"",INDEX(Polymarket!$C$25:$C$275,MATCH($A140,Polymarket!$A$25:$A$275,0))),"")</f>
        <v/>
      </c>
      <c r="G140" s="105">
        <f>IFERROR(IF(INDEX(Kalshi!$G$31:$G$458,MATCH($A140,Kalshi!$A$31:$A$458,0))=0,"",INDEX(Kalshi!$G$31:$G$458,MATCH($A140,Kalshi!$A$31:$A$458,0))),"")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4">
        <f>IFERROR(IF(INDEX(Polymarket!$B$25:$B$275,MATCH($A141,Polymarket!$A$25:$A$275,0))=0,"",INDEX(Polymarket!$B$25:$B$275,MATCH($A141,Polymarket!$A$25:$A$275,0))),"")</f>
        <v/>
      </c>
      <c r="C141" s="104">
        <f>IFERROR(IF(INDEX(Kalshi!$D$31:$D$458,MATCH($A141,Kalshi!$A$31:$A$458,0))=0,"",INDEX(Kalshi!$D$31:$D$458,MATCH($A141,Kalshi!$A$31:$A$458,0))),"")</f>
        <v/>
      </c>
      <c r="D141" s="18">
        <f>IF(AND(ISNUMBER(B141),ISNUMBER(C141)),B141-C141,"")</f>
        <v/>
      </c>
      <c r="E141" s="17">
        <f>IF(ISNUMBER(D141),ABS(D141),"")</f>
        <v/>
      </c>
      <c r="F141" s="104">
        <f>IFERROR(IF(INDEX(Polymarket!$C$25:$C$275,MATCH($A141,Polymarket!$A$25:$A$275,0))=0,"",INDEX(Polymarket!$C$25:$C$275,MATCH($A141,Polymarket!$A$25:$A$275,0))),"")</f>
        <v/>
      </c>
      <c r="G141" s="104">
        <f>IFERROR(IF(INDEX(Kalshi!$G$31:$G$458,MATCH($A141,Kalshi!$A$31:$A$458,0))=0,"",INDEX(Kalshi!$G$31:$G$458,MATCH($A141,Kalshi!$A$31:$A$458,0))),"")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5">
        <f>IFERROR(IF(INDEX(Polymarket!$B$25:$B$275,MATCH($A142,Polymarket!$A$25:$A$275,0))=0,"",INDEX(Polymarket!$B$25:$B$275,MATCH($A142,Polymarket!$A$25:$A$275,0))),"")</f>
        <v/>
      </c>
      <c r="C142" s="105">
        <f>IFERROR(IF(INDEX(Kalshi!$D$31:$D$458,MATCH($A142,Kalshi!$A$31:$A$458,0))=0,"",INDEX(Kalshi!$D$31:$D$458,MATCH($A142,Kalshi!$A$31:$A$458,0))),"")</f>
        <v/>
      </c>
      <c r="D142" s="31">
        <f>IF(AND(ISNUMBER(B142),ISNUMBER(C142)),B142-C142,"")</f>
        <v/>
      </c>
      <c r="E142" s="29">
        <f>IF(ISNUMBER(D142),ABS(D142),"")</f>
        <v/>
      </c>
      <c r="F142" s="105">
        <f>IFERROR(IF(INDEX(Polymarket!$C$25:$C$275,MATCH($A142,Polymarket!$A$25:$A$275,0))=0,"",INDEX(Polymarket!$C$25:$C$275,MATCH($A142,Polymarket!$A$25:$A$275,0))),"")</f>
        <v/>
      </c>
      <c r="G142" s="105">
        <f>IFERROR(IF(INDEX(Kalshi!$G$31:$G$458,MATCH($A142,Kalshi!$A$31:$A$458,0))=0,"",INDEX(Kalshi!$G$31:$G$458,MATCH($A142,Kalshi!$A$31:$A$458,0))),"")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4">
        <f>IFERROR(IF(INDEX(Polymarket!$B$25:$B$275,MATCH($A143,Polymarket!$A$25:$A$275,0))=0,"",INDEX(Polymarket!$B$25:$B$275,MATCH($A143,Polymarket!$A$25:$A$275,0))),"")</f>
        <v/>
      </c>
      <c r="C143" s="104">
        <f>IFERROR(IF(INDEX(Kalshi!$D$31:$D$458,MATCH($A143,Kalshi!$A$31:$A$458,0))=0,"",INDEX(Kalshi!$D$31:$D$458,MATCH($A143,Kalshi!$A$31:$A$458,0))),"")</f>
        <v/>
      </c>
      <c r="D143" s="18">
        <f>IF(AND(ISNUMBER(B143),ISNUMBER(C143)),B143-C143,"")</f>
        <v/>
      </c>
      <c r="E143" s="17">
        <f>IF(ISNUMBER(D143),ABS(D143),"")</f>
        <v/>
      </c>
      <c r="F143" s="104">
        <f>IFERROR(IF(INDEX(Polymarket!$C$25:$C$275,MATCH($A143,Polymarket!$A$25:$A$275,0))=0,"",INDEX(Polymarket!$C$25:$C$275,MATCH($A143,Polymarket!$A$25:$A$275,0))),"")</f>
        <v/>
      </c>
      <c r="G143" s="104">
        <f>IFERROR(IF(INDEX(Kalshi!$G$31:$G$458,MATCH($A143,Kalshi!$A$31:$A$458,0))=0,"",INDEX(Kalshi!$G$31:$G$458,MATCH($A143,Kalshi!$A$31:$A$458,0))),"")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5">
        <f>IFERROR(IF(INDEX(Polymarket!$B$25:$B$275,MATCH($A144,Polymarket!$A$25:$A$275,0))=0,"",INDEX(Polymarket!$B$25:$B$275,MATCH($A144,Polymarket!$A$25:$A$275,0))),"")</f>
        <v/>
      </c>
      <c r="C144" s="105">
        <f>IFERROR(IF(INDEX(Kalshi!$D$31:$D$458,MATCH($A144,Kalshi!$A$31:$A$458,0))=0,"",INDEX(Kalshi!$D$31:$D$458,MATCH($A144,Kalshi!$A$31:$A$458,0))),"")</f>
        <v/>
      </c>
      <c r="D144" s="31">
        <f>IF(AND(ISNUMBER(B144),ISNUMBER(C144)),B144-C144,"")</f>
        <v/>
      </c>
      <c r="E144" s="29">
        <f>IF(ISNUMBER(D144),ABS(D144),"")</f>
        <v/>
      </c>
      <c r="F144" s="105">
        <f>IFERROR(IF(INDEX(Polymarket!$C$25:$C$275,MATCH($A144,Polymarket!$A$25:$A$275,0))=0,"",INDEX(Polymarket!$C$25:$C$275,MATCH($A144,Polymarket!$A$25:$A$275,0))),"")</f>
        <v/>
      </c>
      <c r="G144" s="105">
        <f>IFERROR(IF(INDEX(Kalshi!$G$31:$G$458,MATCH($A144,Kalshi!$A$31:$A$458,0))=0,"",INDEX(Kalshi!$G$31:$G$458,MATCH($A144,Kalshi!$A$31:$A$458,0))),"")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4">
        <f>IFERROR(IF(INDEX(Polymarket!$B$25:$B$275,MATCH($A145,Polymarket!$A$25:$A$275,0))=0,"",INDEX(Polymarket!$B$25:$B$275,MATCH($A145,Polymarket!$A$25:$A$275,0))),"")</f>
        <v/>
      </c>
      <c r="C145" s="104">
        <f>IFERROR(IF(INDEX(Kalshi!$D$31:$D$458,MATCH($A145,Kalshi!$A$31:$A$458,0))=0,"",INDEX(Kalshi!$D$31:$D$458,MATCH($A145,Kalshi!$A$31:$A$458,0))),"")</f>
        <v/>
      </c>
      <c r="D145" s="18">
        <f>IF(AND(ISNUMBER(B145),ISNUMBER(C145)),B145-C145,"")</f>
        <v/>
      </c>
      <c r="E145" s="17">
        <f>IF(ISNUMBER(D145),ABS(D145),"")</f>
        <v/>
      </c>
      <c r="F145" s="104">
        <f>IFERROR(IF(INDEX(Polymarket!$C$25:$C$275,MATCH($A145,Polymarket!$A$25:$A$275,0))=0,"",INDEX(Polymarket!$C$25:$C$275,MATCH($A145,Polymarket!$A$25:$A$275,0))),"")</f>
        <v/>
      </c>
      <c r="G145" s="104">
        <f>IFERROR(IF(INDEX(Kalshi!$G$31:$G$458,MATCH($A145,Kalshi!$A$31:$A$458,0))=0,"",INDEX(Kalshi!$G$31:$G$458,MATCH($A145,Kalshi!$A$31:$A$458,0))),"")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5">
        <f>IFERROR(IF(INDEX(Polymarket!$B$25:$B$275,MATCH($A146,Polymarket!$A$25:$A$275,0))=0,"",INDEX(Polymarket!$B$25:$B$275,MATCH($A146,Polymarket!$A$25:$A$275,0))),"")</f>
        <v/>
      </c>
      <c r="C146" s="105">
        <f>IFERROR(IF(INDEX(Kalshi!$D$31:$D$458,MATCH($A146,Kalshi!$A$31:$A$458,0))=0,"",INDEX(Kalshi!$D$31:$D$458,MATCH($A146,Kalshi!$A$31:$A$458,0))),"")</f>
        <v/>
      </c>
      <c r="D146" s="31">
        <f>IF(AND(ISNUMBER(B146),ISNUMBER(C146)),B146-C146,"")</f>
        <v/>
      </c>
      <c r="E146" s="29">
        <f>IF(ISNUMBER(D146),ABS(D146),"")</f>
        <v/>
      </c>
      <c r="F146" s="105">
        <f>IFERROR(IF(INDEX(Polymarket!$C$25:$C$275,MATCH($A146,Polymarket!$A$25:$A$275,0))=0,"",INDEX(Polymarket!$C$25:$C$275,MATCH($A146,Polymarket!$A$25:$A$275,0))),"")</f>
        <v/>
      </c>
      <c r="G146" s="105">
        <f>IFERROR(IF(INDEX(Kalshi!$G$31:$G$458,MATCH($A146,Kalshi!$A$31:$A$458,0))=0,"",INDEX(Kalshi!$G$31:$G$458,MATCH($A146,Kalshi!$A$31:$A$458,0))),"")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4">
        <f>IFERROR(IF(INDEX(Polymarket!$B$25:$B$275,MATCH($A147,Polymarket!$A$25:$A$275,0))=0,"",INDEX(Polymarket!$B$25:$B$275,MATCH($A147,Polymarket!$A$25:$A$275,0))),"")</f>
        <v/>
      </c>
      <c r="C147" s="104">
        <f>IFERROR(IF(INDEX(Kalshi!$D$31:$D$458,MATCH($A147,Kalshi!$A$31:$A$458,0))=0,"",INDEX(Kalshi!$D$31:$D$458,MATCH($A147,Kalshi!$A$31:$A$458,0))),"")</f>
        <v/>
      </c>
      <c r="D147" s="18">
        <f>IF(AND(ISNUMBER(B147),ISNUMBER(C147)),B147-C147,"")</f>
        <v/>
      </c>
      <c r="E147" s="17">
        <f>IF(ISNUMBER(D147),ABS(D147),"")</f>
        <v/>
      </c>
      <c r="F147" s="104">
        <f>IFERROR(IF(INDEX(Polymarket!$C$25:$C$275,MATCH($A147,Polymarket!$A$25:$A$275,0))=0,"",INDEX(Polymarket!$C$25:$C$275,MATCH($A147,Polymarket!$A$25:$A$275,0))),"")</f>
        <v/>
      </c>
      <c r="G147" s="104">
        <f>IFERROR(IF(INDEX(Kalshi!$G$31:$G$458,MATCH($A147,Kalshi!$A$31:$A$458,0))=0,"",INDEX(Kalshi!$G$31:$G$458,MATCH($A147,Kalshi!$A$31:$A$458,0))),"")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5">
        <f>IFERROR(IF(INDEX(Polymarket!$B$25:$B$275,MATCH($A148,Polymarket!$A$25:$A$275,0))=0,"",INDEX(Polymarket!$B$25:$B$275,MATCH($A148,Polymarket!$A$25:$A$275,0))),"")</f>
        <v/>
      </c>
      <c r="C148" s="105">
        <f>IFERROR(IF(INDEX(Kalshi!$D$31:$D$458,MATCH($A148,Kalshi!$A$31:$A$458,0))=0,"",INDEX(Kalshi!$D$31:$D$458,MATCH($A148,Kalshi!$A$31:$A$458,0))),"")</f>
        <v/>
      </c>
      <c r="D148" s="31">
        <f>IF(AND(ISNUMBER(B148),ISNUMBER(C148)),B148-C148,"")</f>
        <v/>
      </c>
      <c r="E148" s="29">
        <f>IF(ISNUMBER(D148),ABS(D148),"")</f>
        <v/>
      </c>
      <c r="F148" s="105">
        <f>IFERROR(IF(INDEX(Polymarket!$C$25:$C$275,MATCH($A148,Polymarket!$A$25:$A$275,0))=0,"",INDEX(Polymarket!$C$25:$C$275,MATCH($A148,Polymarket!$A$25:$A$275,0))),"")</f>
        <v/>
      </c>
      <c r="G148" s="105">
        <f>IFERROR(IF(INDEX(Kalshi!$G$31:$G$458,MATCH($A148,Kalshi!$A$31:$A$458,0))=0,"",INDEX(Kalshi!$G$31:$G$458,MATCH($A148,Kalshi!$A$31:$A$458,0))),"")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4">
        <f>IFERROR(IF(INDEX(Polymarket!$B$25:$B$275,MATCH($A149,Polymarket!$A$25:$A$275,0))=0,"",INDEX(Polymarket!$B$25:$B$275,MATCH($A149,Polymarket!$A$25:$A$275,0))),"")</f>
        <v/>
      </c>
      <c r="C149" s="104">
        <f>IFERROR(IF(INDEX(Kalshi!$D$31:$D$458,MATCH($A149,Kalshi!$A$31:$A$458,0))=0,"",INDEX(Kalshi!$D$31:$D$458,MATCH($A149,Kalshi!$A$31:$A$458,0))),"")</f>
        <v/>
      </c>
      <c r="D149" s="18">
        <f>IF(AND(ISNUMBER(B149),ISNUMBER(C149)),B149-C149,"")</f>
        <v/>
      </c>
      <c r="E149" s="17">
        <f>IF(ISNUMBER(D149),ABS(D149),"")</f>
        <v/>
      </c>
      <c r="F149" s="104">
        <f>IFERROR(IF(INDEX(Polymarket!$C$25:$C$275,MATCH($A149,Polymarket!$A$25:$A$275,0))=0,"",INDEX(Polymarket!$C$25:$C$275,MATCH($A149,Polymarket!$A$25:$A$275,0))),"")</f>
        <v/>
      </c>
      <c r="G149" s="104">
        <f>IFERROR(IF(INDEX(Kalshi!$G$31:$G$458,MATCH($A149,Kalshi!$A$31:$A$458,0))=0,"",INDEX(Kalshi!$G$31:$G$458,MATCH($A149,Kalshi!$A$31:$A$458,0))),"")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5">
        <f>IFERROR(IF(INDEX(Polymarket!$B$25:$B$275,MATCH($A150,Polymarket!$A$25:$A$275,0))=0,"",INDEX(Polymarket!$B$25:$B$275,MATCH($A150,Polymarket!$A$25:$A$275,0))),"")</f>
        <v/>
      </c>
      <c r="C150" s="105">
        <f>IFERROR(IF(INDEX(Kalshi!$D$31:$D$458,MATCH($A150,Kalshi!$A$31:$A$458,0))=0,"",INDEX(Kalshi!$D$31:$D$458,MATCH($A150,Kalshi!$A$31:$A$458,0))),"")</f>
        <v/>
      </c>
      <c r="D150" s="31">
        <f>IF(AND(ISNUMBER(B150),ISNUMBER(C150)),B150-C150,"")</f>
        <v/>
      </c>
      <c r="E150" s="29">
        <f>IF(ISNUMBER(D150),ABS(D150),"")</f>
        <v/>
      </c>
      <c r="F150" s="105">
        <f>IFERROR(IF(INDEX(Polymarket!$C$25:$C$275,MATCH($A150,Polymarket!$A$25:$A$275,0))=0,"",INDEX(Polymarket!$C$25:$C$275,MATCH($A150,Polymarket!$A$25:$A$275,0))),"")</f>
        <v/>
      </c>
      <c r="G150" s="105">
        <f>IFERROR(IF(INDEX(Kalshi!$G$31:$G$458,MATCH($A150,Kalshi!$A$31:$A$458,0))=0,"",INDEX(Kalshi!$G$31:$G$458,MATCH($A150,Kalshi!$A$31:$A$458,0))),"")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4">
        <f>IFERROR(IF(INDEX(Polymarket!$B$25:$B$275,MATCH($A151,Polymarket!$A$25:$A$275,0))=0,"",INDEX(Polymarket!$B$25:$B$275,MATCH($A151,Polymarket!$A$25:$A$275,0))),"")</f>
        <v/>
      </c>
      <c r="C151" s="104">
        <f>IFERROR(IF(INDEX(Kalshi!$D$31:$D$458,MATCH($A151,Kalshi!$A$31:$A$458,0))=0,"",INDEX(Kalshi!$D$31:$D$458,MATCH($A151,Kalshi!$A$31:$A$458,0))),"")</f>
        <v/>
      </c>
      <c r="D151" s="18">
        <f>IF(AND(ISNUMBER(B151),ISNUMBER(C151)),B151-C151,"")</f>
        <v/>
      </c>
      <c r="E151" s="17">
        <f>IF(ISNUMBER(D151),ABS(D151),"")</f>
        <v/>
      </c>
      <c r="F151" s="104">
        <f>IFERROR(IF(INDEX(Polymarket!$C$25:$C$275,MATCH($A151,Polymarket!$A$25:$A$275,0))=0,"",INDEX(Polymarket!$C$25:$C$275,MATCH($A151,Polymarket!$A$25:$A$275,0))),"")</f>
        <v/>
      </c>
      <c r="G151" s="104">
        <f>IFERROR(IF(INDEX(Kalshi!$G$31:$G$458,MATCH($A151,Kalshi!$A$31:$A$458,0))=0,"",INDEX(Kalshi!$G$31:$G$458,MATCH($A151,Kalshi!$A$31:$A$458,0))),"")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5">
        <f>IFERROR(IF(INDEX(Polymarket!$B$25:$B$275,MATCH($A152,Polymarket!$A$25:$A$275,0))=0,"",INDEX(Polymarket!$B$25:$B$275,MATCH($A152,Polymarket!$A$25:$A$275,0))),"")</f>
        <v/>
      </c>
      <c r="C152" s="105">
        <f>IFERROR(IF(INDEX(Kalshi!$D$31:$D$458,MATCH($A152,Kalshi!$A$31:$A$458,0))=0,"",INDEX(Kalshi!$D$31:$D$458,MATCH($A152,Kalshi!$A$31:$A$458,0))),"")</f>
        <v/>
      </c>
      <c r="D152" s="31">
        <f>IF(AND(ISNUMBER(B152),ISNUMBER(C152)),B152-C152,"")</f>
        <v/>
      </c>
      <c r="E152" s="29">
        <f>IF(ISNUMBER(D152),ABS(D152),"")</f>
        <v/>
      </c>
      <c r="F152" s="105">
        <f>IFERROR(IF(INDEX(Polymarket!$C$25:$C$275,MATCH($A152,Polymarket!$A$25:$A$275,0))=0,"",INDEX(Polymarket!$C$25:$C$275,MATCH($A152,Polymarket!$A$25:$A$275,0))),"")</f>
        <v/>
      </c>
      <c r="G152" s="105">
        <f>IFERROR(IF(INDEX(Kalshi!$G$31:$G$458,MATCH($A152,Kalshi!$A$31:$A$458,0))=0,"",INDEX(Kalshi!$G$31:$G$458,MATCH($A152,Kalshi!$A$31:$A$458,0))),"")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4">
        <f>IFERROR(IF(INDEX(Polymarket!$B$25:$B$275,MATCH($A153,Polymarket!$A$25:$A$275,0))=0,"",INDEX(Polymarket!$B$25:$B$275,MATCH($A153,Polymarket!$A$25:$A$275,0))),"")</f>
        <v/>
      </c>
      <c r="C153" s="104">
        <f>IFERROR(IF(INDEX(Kalshi!$D$31:$D$458,MATCH($A153,Kalshi!$A$31:$A$458,0))=0,"",INDEX(Kalshi!$D$31:$D$458,MATCH($A153,Kalshi!$A$31:$A$458,0))),"")</f>
        <v/>
      </c>
      <c r="D153" s="18">
        <f>IF(AND(ISNUMBER(B153),ISNUMBER(C153)),B153-C153,"")</f>
        <v/>
      </c>
      <c r="E153" s="17">
        <f>IF(ISNUMBER(D153),ABS(D153),"")</f>
        <v/>
      </c>
      <c r="F153" s="104">
        <f>IFERROR(IF(INDEX(Polymarket!$C$25:$C$275,MATCH($A153,Polymarket!$A$25:$A$275,0))=0,"",INDEX(Polymarket!$C$25:$C$275,MATCH($A153,Polymarket!$A$25:$A$275,0))),"")</f>
        <v/>
      </c>
      <c r="G153" s="104">
        <f>IFERROR(IF(INDEX(Kalshi!$G$31:$G$458,MATCH($A153,Kalshi!$A$31:$A$458,0))=0,"",INDEX(Kalshi!$G$31:$G$458,MATCH($A153,Kalshi!$A$31:$A$458,0))),"")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5">
        <f>IFERROR(IF(INDEX(Polymarket!$B$25:$B$275,MATCH($A154,Polymarket!$A$25:$A$275,0))=0,"",INDEX(Polymarket!$B$25:$B$275,MATCH($A154,Polymarket!$A$25:$A$275,0))),"")</f>
        <v/>
      </c>
      <c r="C154" s="105">
        <f>IFERROR(IF(INDEX(Kalshi!$D$31:$D$458,MATCH($A154,Kalshi!$A$31:$A$458,0))=0,"",INDEX(Kalshi!$D$31:$D$458,MATCH($A154,Kalshi!$A$31:$A$458,0))),"")</f>
        <v/>
      </c>
      <c r="D154" s="31">
        <f>IF(AND(ISNUMBER(B154),ISNUMBER(C154)),B154-C154,"")</f>
        <v/>
      </c>
      <c r="E154" s="29">
        <f>IF(ISNUMBER(D154),ABS(D154),"")</f>
        <v/>
      </c>
      <c r="F154" s="105">
        <f>IFERROR(IF(INDEX(Polymarket!$C$25:$C$275,MATCH($A154,Polymarket!$A$25:$A$275,0))=0,"",INDEX(Polymarket!$C$25:$C$275,MATCH($A154,Polymarket!$A$25:$A$275,0))),"")</f>
        <v/>
      </c>
      <c r="G154" s="105">
        <f>IFERROR(IF(INDEX(Kalshi!$G$31:$G$458,MATCH($A154,Kalshi!$A$31:$A$458,0))=0,"",INDEX(Kalshi!$G$31:$G$458,MATCH($A154,Kalshi!$A$31:$A$458,0))),"")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4">
        <f>IFERROR(IF(INDEX(Polymarket!$B$25:$B$275,MATCH($A155,Polymarket!$A$25:$A$275,0))=0,"",INDEX(Polymarket!$B$25:$B$275,MATCH($A155,Polymarket!$A$25:$A$275,0))),"")</f>
        <v/>
      </c>
      <c r="C155" s="104">
        <f>IFERROR(IF(INDEX(Kalshi!$D$31:$D$458,MATCH($A155,Kalshi!$A$31:$A$458,0))=0,"",INDEX(Kalshi!$D$31:$D$458,MATCH($A155,Kalshi!$A$31:$A$458,0))),"")</f>
        <v/>
      </c>
      <c r="D155" s="18">
        <f>IF(AND(ISNUMBER(B155),ISNUMBER(C155)),B155-C155,"")</f>
        <v/>
      </c>
      <c r="E155" s="17">
        <f>IF(ISNUMBER(D155),ABS(D155),"")</f>
        <v/>
      </c>
      <c r="F155" s="104">
        <f>IFERROR(IF(INDEX(Polymarket!$C$25:$C$275,MATCH($A155,Polymarket!$A$25:$A$275,0))=0,"",INDEX(Polymarket!$C$25:$C$275,MATCH($A155,Polymarket!$A$25:$A$275,0))),"")</f>
        <v/>
      </c>
      <c r="G155" s="104">
        <f>IFERROR(IF(INDEX(Kalshi!$G$31:$G$458,MATCH($A155,Kalshi!$A$31:$A$458,0))=0,"",INDEX(Kalshi!$G$31:$G$458,MATCH($A155,Kalshi!$A$31:$A$458,0))),"")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5">
        <f>IFERROR(IF(INDEX(Polymarket!$B$25:$B$275,MATCH($A156,Polymarket!$A$25:$A$275,0))=0,"",INDEX(Polymarket!$B$25:$B$275,MATCH($A156,Polymarket!$A$25:$A$275,0))),"")</f>
        <v/>
      </c>
      <c r="C156" s="105">
        <f>IFERROR(IF(INDEX(Kalshi!$D$31:$D$458,MATCH($A156,Kalshi!$A$31:$A$458,0))=0,"",INDEX(Kalshi!$D$31:$D$458,MATCH($A156,Kalshi!$A$31:$A$458,0))),"")</f>
        <v/>
      </c>
      <c r="D156" s="31">
        <f>IF(AND(ISNUMBER(B156),ISNUMBER(C156)),B156-C156,"")</f>
        <v/>
      </c>
      <c r="E156" s="29">
        <f>IF(ISNUMBER(D156),ABS(D156),"")</f>
        <v/>
      </c>
      <c r="F156" s="105">
        <f>IFERROR(IF(INDEX(Polymarket!$C$25:$C$275,MATCH($A156,Polymarket!$A$25:$A$275,0))=0,"",INDEX(Polymarket!$C$25:$C$275,MATCH($A156,Polymarket!$A$25:$A$275,0))),"")</f>
        <v/>
      </c>
      <c r="G156" s="105">
        <f>IFERROR(IF(INDEX(Kalshi!$G$31:$G$458,MATCH($A156,Kalshi!$A$31:$A$458,0))=0,"",INDEX(Kalshi!$G$31:$G$458,MATCH($A156,Kalshi!$A$31:$A$458,0))),"")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4">
        <f>IFERROR(IF(INDEX(Polymarket!$B$25:$B$275,MATCH($A157,Polymarket!$A$25:$A$275,0))=0,"",INDEX(Polymarket!$B$25:$B$275,MATCH($A157,Polymarket!$A$25:$A$275,0))),"")</f>
        <v/>
      </c>
      <c r="C157" s="104">
        <f>IFERROR(IF(INDEX(Kalshi!$D$31:$D$458,MATCH($A157,Kalshi!$A$31:$A$458,0))=0,"",INDEX(Kalshi!$D$31:$D$458,MATCH($A157,Kalshi!$A$31:$A$458,0))),"")</f>
        <v/>
      </c>
      <c r="D157" s="18">
        <f>IF(AND(ISNUMBER(B157),ISNUMBER(C157)),B157-C157,"")</f>
        <v/>
      </c>
      <c r="E157" s="17">
        <f>IF(ISNUMBER(D157),ABS(D157),"")</f>
        <v/>
      </c>
      <c r="F157" s="104">
        <f>IFERROR(IF(INDEX(Polymarket!$C$25:$C$275,MATCH($A157,Polymarket!$A$25:$A$275,0))=0,"",INDEX(Polymarket!$C$25:$C$275,MATCH($A157,Polymarket!$A$25:$A$275,0))),"")</f>
        <v/>
      </c>
      <c r="G157" s="104">
        <f>IFERROR(IF(INDEX(Kalshi!$G$31:$G$458,MATCH($A157,Kalshi!$A$31:$A$458,0))=0,"",INDEX(Kalshi!$G$31:$G$458,MATCH($A157,Kalshi!$A$31:$A$458,0))),"")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5">
        <f>IFERROR(IF(INDEX(Polymarket!$B$25:$B$275,MATCH($A158,Polymarket!$A$25:$A$275,0))=0,"",INDEX(Polymarket!$B$25:$B$275,MATCH($A158,Polymarket!$A$25:$A$275,0))),"")</f>
        <v/>
      </c>
      <c r="C158" s="105">
        <f>IFERROR(IF(INDEX(Kalshi!$D$31:$D$458,MATCH($A158,Kalshi!$A$31:$A$458,0))=0,"",INDEX(Kalshi!$D$31:$D$458,MATCH($A158,Kalshi!$A$31:$A$458,0))),"")</f>
        <v/>
      </c>
      <c r="D158" s="31">
        <f>IF(AND(ISNUMBER(B158),ISNUMBER(C158)),B158-C158,"")</f>
        <v/>
      </c>
      <c r="E158" s="29">
        <f>IF(ISNUMBER(D158),ABS(D158),"")</f>
        <v/>
      </c>
      <c r="F158" s="105">
        <f>IFERROR(IF(INDEX(Polymarket!$C$25:$C$275,MATCH($A158,Polymarket!$A$25:$A$275,0))=0,"",INDEX(Polymarket!$C$25:$C$275,MATCH($A158,Polymarket!$A$25:$A$275,0))),"")</f>
        <v/>
      </c>
      <c r="G158" s="105">
        <f>IFERROR(IF(INDEX(Kalshi!$G$31:$G$458,MATCH($A158,Kalshi!$A$31:$A$458,0))=0,"",INDEX(Kalshi!$G$31:$G$458,MATCH($A158,Kalshi!$A$31:$A$458,0))),"")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4">
        <f>IFERROR(IF(INDEX(Polymarket!$B$25:$B$275,MATCH($A159,Polymarket!$A$25:$A$275,0))=0,"",INDEX(Polymarket!$B$25:$B$275,MATCH($A159,Polymarket!$A$25:$A$275,0))),"")</f>
        <v/>
      </c>
      <c r="C159" s="104">
        <f>IFERROR(IF(INDEX(Kalshi!$D$31:$D$458,MATCH($A159,Kalshi!$A$31:$A$458,0))=0,"",INDEX(Kalshi!$D$31:$D$458,MATCH($A159,Kalshi!$A$31:$A$458,0))),"")</f>
        <v/>
      </c>
      <c r="D159" s="18">
        <f>IF(AND(ISNUMBER(B159),ISNUMBER(C159)),B159-C159,"")</f>
        <v/>
      </c>
      <c r="E159" s="17">
        <f>IF(ISNUMBER(D159),ABS(D159),"")</f>
        <v/>
      </c>
      <c r="F159" s="104">
        <f>IFERROR(IF(INDEX(Polymarket!$C$25:$C$275,MATCH($A159,Polymarket!$A$25:$A$275,0))=0,"",INDEX(Polymarket!$C$25:$C$275,MATCH($A159,Polymarket!$A$25:$A$275,0))),"")</f>
        <v/>
      </c>
      <c r="G159" s="104">
        <f>IFERROR(IF(INDEX(Kalshi!$G$31:$G$458,MATCH($A159,Kalshi!$A$31:$A$458,0))=0,"",INDEX(Kalshi!$G$31:$G$458,MATCH($A159,Kalshi!$A$31:$A$458,0))),"")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5">
        <f>IFERROR(IF(INDEX(Polymarket!$B$25:$B$275,MATCH($A160,Polymarket!$A$25:$A$275,0))=0,"",INDEX(Polymarket!$B$25:$B$275,MATCH($A160,Polymarket!$A$25:$A$275,0))),"")</f>
        <v/>
      </c>
      <c r="C160" s="105">
        <f>IFERROR(IF(INDEX(Kalshi!$D$31:$D$458,MATCH($A160,Kalshi!$A$31:$A$458,0))=0,"",INDEX(Kalshi!$D$31:$D$458,MATCH($A160,Kalshi!$A$31:$A$458,0))),"")</f>
        <v/>
      </c>
      <c r="D160" s="31">
        <f>IF(AND(ISNUMBER(B160),ISNUMBER(C160)),B160-C160,"")</f>
        <v/>
      </c>
      <c r="E160" s="29">
        <f>IF(ISNUMBER(D160),ABS(D160),"")</f>
        <v/>
      </c>
      <c r="F160" s="105">
        <f>IFERROR(IF(INDEX(Polymarket!$C$25:$C$275,MATCH($A160,Polymarket!$A$25:$A$275,0))=0,"",INDEX(Polymarket!$C$25:$C$275,MATCH($A160,Polymarket!$A$25:$A$275,0))),"")</f>
        <v/>
      </c>
      <c r="G160" s="105">
        <f>IFERROR(IF(INDEX(Kalshi!$G$31:$G$458,MATCH($A160,Kalshi!$A$31:$A$458,0))=0,"",INDEX(Kalshi!$G$31:$G$458,MATCH($A160,Kalshi!$A$31:$A$458,0))),"")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4">
        <f>IFERROR(IF(INDEX(Polymarket!$B$25:$B$275,MATCH($A161,Polymarket!$A$25:$A$275,0))=0,"",INDEX(Polymarket!$B$25:$B$275,MATCH($A161,Polymarket!$A$25:$A$275,0))),"")</f>
        <v/>
      </c>
      <c r="C161" s="104">
        <f>IFERROR(IF(INDEX(Kalshi!$D$31:$D$458,MATCH($A161,Kalshi!$A$31:$A$458,0))=0,"",INDEX(Kalshi!$D$31:$D$458,MATCH($A161,Kalshi!$A$31:$A$458,0))),"")</f>
        <v/>
      </c>
      <c r="D161" s="18">
        <f>IF(AND(ISNUMBER(B161),ISNUMBER(C161)),B161-C161,"")</f>
        <v/>
      </c>
      <c r="E161" s="17">
        <f>IF(ISNUMBER(D161),ABS(D161),"")</f>
        <v/>
      </c>
      <c r="F161" s="104">
        <f>IFERROR(IF(INDEX(Polymarket!$C$25:$C$275,MATCH($A161,Polymarket!$A$25:$A$275,0))=0,"",INDEX(Polymarket!$C$25:$C$275,MATCH($A161,Polymarket!$A$25:$A$275,0))),"")</f>
        <v/>
      </c>
      <c r="G161" s="104">
        <f>IFERROR(IF(INDEX(Kalshi!$G$31:$G$458,MATCH($A161,Kalshi!$A$31:$A$458,0))=0,"",INDEX(Kalshi!$G$31:$G$458,MATCH($A161,Kalshi!$A$31:$A$458,0))),"")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5">
        <f>IFERROR(IF(INDEX(Polymarket!$B$25:$B$275,MATCH($A162,Polymarket!$A$25:$A$275,0))=0,"",INDEX(Polymarket!$B$25:$B$275,MATCH($A162,Polymarket!$A$25:$A$275,0))),"")</f>
        <v/>
      </c>
      <c r="C162" s="105">
        <f>IFERROR(IF(INDEX(Kalshi!$D$31:$D$458,MATCH($A162,Kalshi!$A$31:$A$458,0))=0,"",INDEX(Kalshi!$D$31:$D$458,MATCH($A162,Kalshi!$A$31:$A$458,0))),"")</f>
        <v/>
      </c>
      <c r="D162" s="31">
        <f>IF(AND(ISNUMBER(B162),ISNUMBER(C162)),B162-C162,"")</f>
        <v/>
      </c>
      <c r="E162" s="29">
        <f>IF(ISNUMBER(D162),ABS(D162),"")</f>
        <v/>
      </c>
      <c r="F162" s="105">
        <f>IFERROR(IF(INDEX(Polymarket!$C$25:$C$275,MATCH($A162,Polymarket!$A$25:$A$275,0))=0,"",INDEX(Polymarket!$C$25:$C$275,MATCH($A162,Polymarket!$A$25:$A$275,0))),"")</f>
        <v/>
      </c>
      <c r="G162" s="105">
        <f>IFERROR(IF(INDEX(Kalshi!$G$31:$G$458,MATCH($A162,Kalshi!$A$31:$A$458,0))=0,"",INDEX(Kalshi!$G$31:$G$458,MATCH($A162,Kalshi!$A$31:$A$458,0))),"")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4">
        <f>IFERROR(IF(INDEX(Polymarket!$B$25:$B$275,MATCH($A163,Polymarket!$A$25:$A$275,0))=0,"",INDEX(Polymarket!$B$25:$B$275,MATCH($A163,Polymarket!$A$25:$A$275,0))),"")</f>
        <v/>
      </c>
      <c r="C163" s="104">
        <f>IFERROR(IF(INDEX(Kalshi!$D$31:$D$458,MATCH($A163,Kalshi!$A$31:$A$458,0))=0,"",INDEX(Kalshi!$D$31:$D$458,MATCH($A163,Kalshi!$A$31:$A$458,0))),"")</f>
        <v/>
      </c>
      <c r="D163" s="18">
        <f>IF(AND(ISNUMBER(B163),ISNUMBER(C163)),B163-C163,"")</f>
        <v/>
      </c>
      <c r="E163" s="17">
        <f>IF(ISNUMBER(D163),ABS(D163),"")</f>
        <v/>
      </c>
      <c r="F163" s="104">
        <f>IFERROR(IF(INDEX(Polymarket!$C$25:$C$275,MATCH($A163,Polymarket!$A$25:$A$275,0))=0,"",INDEX(Polymarket!$C$25:$C$275,MATCH($A163,Polymarket!$A$25:$A$275,0))),"")</f>
        <v/>
      </c>
      <c r="G163" s="104">
        <f>IFERROR(IF(INDEX(Kalshi!$G$31:$G$458,MATCH($A163,Kalshi!$A$31:$A$458,0))=0,"",INDEX(Kalshi!$G$31:$G$458,MATCH($A163,Kalshi!$A$31:$A$458,0))),"")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5">
        <f>IFERROR(IF(INDEX(Polymarket!$B$25:$B$275,MATCH($A164,Polymarket!$A$25:$A$275,0))=0,"",INDEX(Polymarket!$B$25:$B$275,MATCH($A164,Polymarket!$A$25:$A$275,0))),"")</f>
        <v/>
      </c>
      <c r="C164" s="105">
        <f>IFERROR(IF(INDEX(Kalshi!$D$31:$D$458,MATCH($A164,Kalshi!$A$31:$A$458,0))=0,"",INDEX(Kalshi!$D$31:$D$458,MATCH($A164,Kalshi!$A$31:$A$458,0))),"")</f>
        <v/>
      </c>
      <c r="D164" s="31">
        <f>IF(AND(ISNUMBER(B164),ISNUMBER(C164)),B164-C164,"")</f>
        <v/>
      </c>
      <c r="E164" s="29">
        <f>IF(ISNUMBER(D164),ABS(D164),"")</f>
        <v/>
      </c>
      <c r="F164" s="105">
        <f>IFERROR(IF(INDEX(Polymarket!$C$25:$C$275,MATCH($A164,Polymarket!$A$25:$A$275,0))=0,"",INDEX(Polymarket!$C$25:$C$275,MATCH($A164,Polymarket!$A$25:$A$275,0))),"")</f>
        <v/>
      </c>
      <c r="G164" s="105">
        <f>IFERROR(IF(INDEX(Kalshi!$G$31:$G$458,MATCH($A164,Kalshi!$A$31:$A$458,0))=0,"",INDEX(Kalshi!$G$31:$G$458,MATCH($A164,Kalshi!$A$31:$A$458,0))),"")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4">
        <f>IFERROR(IF(INDEX(Polymarket!$B$25:$B$275,MATCH($A165,Polymarket!$A$25:$A$275,0))=0,"",INDEX(Polymarket!$B$25:$B$275,MATCH($A165,Polymarket!$A$25:$A$275,0))),"")</f>
        <v/>
      </c>
      <c r="C165" s="104">
        <f>IFERROR(IF(INDEX(Kalshi!$D$31:$D$458,MATCH($A165,Kalshi!$A$31:$A$458,0))=0,"",INDEX(Kalshi!$D$31:$D$458,MATCH($A165,Kalshi!$A$31:$A$458,0))),"")</f>
        <v/>
      </c>
      <c r="D165" s="18">
        <f>IF(AND(ISNUMBER(B165),ISNUMBER(C165)),B165-C165,"")</f>
        <v/>
      </c>
      <c r="E165" s="17">
        <f>IF(ISNUMBER(D165),ABS(D165),"")</f>
        <v/>
      </c>
      <c r="F165" s="104">
        <f>IFERROR(IF(INDEX(Polymarket!$C$25:$C$275,MATCH($A165,Polymarket!$A$25:$A$275,0))=0,"",INDEX(Polymarket!$C$25:$C$275,MATCH($A165,Polymarket!$A$25:$A$275,0))),"")</f>
        <v/>
      </c>
      <c r="G165" s="104">
        <f>IFERROR(IF(INDEX(Kalshi!$G$31:$G$458,MATCH($A165,Kalshi!$A$31:$A$458,0))=0,"",INDEX(Kalshi!$G$31:$G$458,MATCH($A165,Kalshi!$A$31:$A$458,0))),"")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5">
        <f>IFERROR(IF(INDEX(Polymarket!$B$25:$B$275,MATCH($A166,Polymarket!$A$25:$A$275,0))=0,"",INDEX(Polymarket!$B$25:$B$275,MATCH($A166,Polymarket!$A$25:$A$275,0))),"")</f>
        <v/>
      </c>
      <c r="C166" s="105">
        <f>IFERROR(IF(INDEX(Kalshi!$D$31:$D$458,MATCH($A166,Kalshi!$A$31:$A$458,0))=0,"",INDEX(Kalshi!$D$31:$D$458,MATCH($A166,Kalshi!$A$31:$A$458,0))),"")</f>
        <v/>
      </c>
      <c r="D166" s="31">
        <f>IF(AND(ISNUMBER(B166),ISNUMBER(C166)),B166-C166,"")</f>
        <v/>
      </c>
      <c r="E166" s="29">
        <f>IF(ISNUMBER(D166),ABS(D166),"")</f>
        <v/>
      </c>
      <c r="F166" s="105">
        <f>IFERROR(IF(INDEX(Polymarket!$C$25:$C$275,MATCH($A166,Polymarket!$A$25:$A$275,0))=0,"",INDEX(Polymarket!$C$25:$C$275,MATCH($A166,Polymarket!$A$25:$A$275,0))),"")</f>
        <v/>
      </c>
      <c r="G166" s="105">
        <f>IFERROR(IF(INDEX(Kalshi!$G$31:$G$458,MATCH($A166,Kalshi!$A$31:$A$458,0))=0,"",INDEX(Kalshi!$G$31:$G$458,MATCH($A166,Kalshi!$A$31:$A$458,0))),"")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4">
        <f>IFERROR(IF(INDEX(Polymarket!$B$25:$B$275,MATCH($A167,Polymarket!$A$25:$A$275,0))=0,"",INDEX(Polymarket!$B$25:$B$275,MATCH($A167,Polymarket!$A$25:$A$275,0))),"")</f>
        <v/>
      </c>
      <c r="C167" s="104">
        <f>IFERROR(IF(INDEX(Kalshi!$D$31:$D$458,MATCH($A167,Kalshi!$A$31:$A$458,0))=0,"",INDEX(Kalshi!$D$31:$D$458,MATCH($A167,Kalshi!$A$31:$A$458,0))),"")</f>
        <v/>
      </c>
      <c r="D167" s="18">
        <f>IF(AND(ISNUMBER(B167),ISNUMBER(C167)),B167-C167,"")</f>
        <v/>
      </c>
      <c r="E167" s="17">
        <f>IF(ISNUMBER(D167),ABS(D167),"")</f>
        <v/>
      </c>
      <c r="F167" s="104">
        <f>IFERROR(IF(INDEX(Polymarket!$C$25:$C$275,MATCH($A167,Polymarket!$A$25:$A$275,0))=0,"",INDEX(Polymarket!$C$25:$C$275,MATCH($A167,Polymarket!$A$25:$A$275,0))),"")</f>
        <v/>
      </c>
      <c r="G167" s="104">
        <f>IFERROR(IF(INDEX(Kalshi!$G$31:$G$458,MATCH($A167,Kalshi!$A$31:$A$458,0))=0,"",INDEX(Kalshi!$G$31:$G$458,MATCH($A167,Kalshi!$A$31:$A$458,0))),"")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5">
        <f>IFERROR(IF(INDEX(Polymarket!$B$25:$B$275,MATCH($A168,Polymarket!$A$25:$A$275,0))=0,"",INDEX(Polymarket!$B$25:$B$275,MATCH($A168,Polymarket!$A$25:$A$275,0))),"")</f>
        <v/>
      </c>
      <c r="C168" s="105">
        <f>IFERROR(IF(INDEX(Kalshi!$D$31:$D$458,MATCH($A168,Kalshi!$A$31:$A$458,0))=0,"",INDEX(Kalshi!$D$31:$D$458,MATCH($A168,Kalshi!$A$31:$A$458,0))),"")</f>
        <v/>
      </c>
      <c r="D168" s="31">
        <f>IF(AND(ISNUMBER(B168),ISNUMBER(C168)),B168-C168,"")</f>
        <v/>
      </c>
      <c r="E168" s="29">
        <f>IF(ISNUMBER(D168),ABS(D168),"")</f>
        <v/>
      </c>
      <c r="F168" s="105">
        <f>IFERROR(IF(INDEX(Polymarket!$C$25:$C$275,MATCH($A168,Polymarket!$A$25:$A$275,0))=0,"",INDEX(Polymarket!$C$25:$C$275,MATCH($A168,Polymarket!$A$25:$A$275,0))),"")</f>
        <v/>
      </c>
      <c r="G168" s="105">
        <f>IFERROR(IF(INDEX(Kalshi!$G$31:$G$458,MATCH($A168,Kalshi!$A$31:$A$458,0))=0,"",INDEX(Kalshi!$G$31:$G$458,MATCH($A168,Kalshi!$A$31:$A$458,0))),"")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4">
        <f>IFERROR(IF(INDEX(Polymarket!$B$25:$B$275,MATCH($A169,Polymarket!$A$25:$A$275,0))=0,"",INDEX(Polymarket!$B$25:$B$275,MATCH($A169,Polymarket!$A$25:$A$275,0))),"")</f>
        <v/>
      </c>
      <c r="C169" s="104">
        <f>IFERROR(IF(INDEX(Kalshi!$D$31:$D$458,MATCH($A169,Kalshi!$A$31:$A$458,0))=0,"",INDEX(Kalshi!$D$31:$D$458,MATCH($A169,Kalshi!$A$31:$A$458,0))),"")</f>
        <v/>
      </c>
      <c r="D169" s="18">
        <f>IF(AND(ISNUMBER(B169),ISNUMBER(C169)),B169-C169,"")</f>
        <v/>
      </c>
      <c r="E169" s="17">
        <f>IF(ISNUMBER(D169),ABS(D169),"")</f>
        <v/>
      </c>
      <c r="F169" s="104">
        <f>IFERROR(IF(INDEX(Polymarket!$C$25:$C$275,MATCH($A169,Polymarket!$A$25:$A$275,0))=0,"",INDEX(Polymarket!$C$25:$C$275,MATCH($A169,Polymarket!$A$25:$A$275,0))),"")</f>
        <v/>
      </c>
      <c r="G169" s="104">
        <f>IFERROR(IF(INDEX(Kalshi!$G$31:$G$458,MATCH($A169,Kalshi!$A$31:$A$458,0))=0,"",INDEX(Kalshi!$G$31:$G$458,MATCH($A169,Kalshi!$A$31:$A$458,0))),"")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5">
        <f>IFERROR(IF(INDEX(Polymarket!$B$25:$B$275,MATCH($A170,Polymarket!$A$25:$A$275,0))=0,"",INDEX(Polymarket!$B$25:$B$275,MATCH($A170,Polymarket!$A$25:$A$275,0))),"")</f>
        <v/>
      </c>
      <c r="C170" s="105">
        <f>IFERROR(IF(INDEX(Kalshi!$D$31:$D$458,MATCH($A170,Kalshi!$A$31:$A$458,0))=0,"",INDEX(Kalshi!$D$31:$D$458,MATCH($A170,Kalshi!$A$31:$A$458,0))),"")</f>
        <v/>
      </c>
      <c r="D170" s="31">
        <f>IF(AND(ISNUMBER(B170),ISNUMBER(C170)),B170-C170,"")</f>
        <v/>
      </c>
      <c r="E170" s="29">
        <f>IF(ISNUMBER(D170),ABS(D170),"")</f>
        <v/>
      </c>
      <c r="F170" s="105">
        <f>IFERROR(IF(INDEX(Polymarket!$C$25:$C$275,MATCH($A170,Polymarket!$A$25:$A$275,0))=0,"",INDEX(Polymarket!$C$25:$C$275,MATCH($A170,Polymarket!$A$25:$A$275,0))),"")</f>
        <v/>
      </c>
      <c r="G170" s="105">
        <f>IFERROR(IF(INDEX(Kalshi!$G$31:$G$458,MATCH($A170,Kalshi!$A$31:$A$458,0))=0,"",INDEX(Kalshi!$G$31:$G$458,MATCH($A170,Kalshi!$A$31:$A$458,0))),"")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4">
        <f>IFERROR(IF(INDEX(Polymarket!$B$25:$B$275,MATCH($A171,Polymarket!$A$25:$A$275,0))=0,"",INDEX(Polymarket!$B$25:$B$275,MATCH($A171,Polymarket!$A$25:$A$275,0))),"")</f>
        <v/>
      </c>
      <c r="C171" s="104">
        <f>IFERROR(IF(INDEX(Kalshi!$D$31:$D$458,MATCH($A171,Kalshi!$A$31:$A$458,0))=0,"",INDEX(Kalshi!$D$31:$D$458,MATCH($A171,Kalshi!$A$31:$A$458,0))),"")</f>
        <v/>
      </c>
      <c r="D171" s="18">
        <f>IF(AND(ISNUMBER(B171),ISNUMBER(C171)),B171-C171,"")</f>
        <v/>
      </c>
      <c r="E171" s="17">
        <f>IF(ISNUMBER(D171),ABS(D171),"")</f>
        <v/>
      </c>
      <c r="F171" s="104">
        <f>IFERROR(IF(INDEX(Polymarket!$C$25:$C$275,MATCH($A171,Polymarket!$A$25:$A$275,0))=0,"",INDEX(Polymarket!$C$25:$C$275,MATCH($A171,Polymarket!$A$25:$A$275,0))),"")</f>
        <v/>
      </c>
      <c r="G171" s="104">
        <f>IFERROR(IF(INDEX(Kalshi!$G$31:$G$458,MATCH($A171,Kalshi!$A$31:$A$458,0))=0,"",INDEX(Kalshi!$G$31:$G$458,MATCH($A171,Kalshi!$A$31:$A$458,0))),"")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5">
        <f>IFERROR(IF(INDEX(Polymarket!$B$25:$B$275,MATCH($A172,Polymarket!$A$25:$A$275,0))=0,"",INDEX(Polymarket!$B$25:$B$275,MATCH($A172,Polymarket!$A$25:$A$275,0))),"")</f>
        <v/>
      </c>
      <c r="C172" s="105">
        <f>IFERROR(IF(INDEX(Kalshi!$D$31:$D$458,MATCH($A172,Kalshi!$A$31:$A$458,0))=0,"",INDEX(Kalshi!$D$31:$D$458,MATCH($A172,Kalshi!$A$31:$A$458,0))),"")</f>
        <v/>
      </c>
      <c r="D172" s="31">
        <f>IF(AND(ISNUMBER(B172),ISNUMBER(C172)),B172-C172,"")</f>
        <v/>
      </c>
      <c r="E172" s="29">
        <f>IF(ISNUMBER(D172),ABS(D172),"")</f>
        <v/>
      </c>
      <c r="F172" s="105">
        <f>IFERROR(IF(INDEX(Polymarket!$C$25:$C$275,MATCH($A172,Polymarket!$A$25:$A$275,0))=0,"",INDEX(Polymarket!$C$25:$C$275,MATCH($A172,Polymarket!$A$25:$A$275,0))),"")</f>
        <v/>
      </c>
      <c r="G172" s="105">
        <f>IFERROR(IF(INDEX(Kalshi!$G$31:$G$458,MATCH($A172,Kalshi!$A$31:$A$458,0))=0,"",INDEX(Kalshi!$G$31:$G$458,MATCH($A172,Kalshi!$A$31:$A$458,0))),"")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4">
        <f>IFERROR(IF(INDEX(Polymarket!$B$25:$B$275,MATCH($A173,Polymarket!$A$25:$A$275,0))=0,"",INDEX(Polymarket!$B$25:$B$275,MATCH($A173,Polymarket!$A$25:$A$275,0))),"")</f>
        <v/>
      </c>
      <c r="C173" s="104">
        <f>IFERROR(IF(INDEX(Kalshi!$D$31:$D$458,MATCH($A173,Kalshi!$A$31:$A$458,0))=0,"",INDEX(Kalshi!$D$31:$D$458,MATCH($A173,Kalshi!$A$31:$A$458,0))),"")</f>
        <v/>
      </c>
      <c r="D173" s="18">
        <f>IF(AND(ISNUMBER(B173),ISNUMBER(C173)),B173-C173,"")</f>
        <v/>
      </c>
      <c r="E173" s="17">
        <f>IF(ISNUMBER(D173),ABS(D173),"")</f>
        <v/>
      </c>
      <c r="F173" s="104">
        <f>IFERROR(IF(INDEX(Polymarket!$C$25:$C$275,MATCH($A173,Polymarket!$A$25:$A$275,0))=0,"",INDEX(Polymarket!$C$25:$C$275,MATCH($A173,Polymarket!$A$25:$A$275,0))),"")</f>
        <v/>
      </c>
      <c r="G173" s="104">
        <f>IFERROR(IF(INDEX(Kalshi!$G$31:$G$458,MATCH($A173,Kalshi!$A$31:$A$458,0))=0,"",INDEX(Kalshi!$G$31:$G$458,MATCH($A173,Kalshi!$A$31:$A$458,0))),"")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5">
        <f>IFERROR(IF(INDEX(Polymarket!$B$25:$B$275,MATCH($A174,Polymarket!$A$25:$A$275,0))=0,"",INDEX(Polymarket!$B$25:$B$275,MATCH($A174,Polymarket!$A$25:$A$275,0))),"")</f>
        <v/>
      </c>
      <c r="C174" s="105">
        <f>IFERROR(IF(INDEX(Kalshi!$D$31:$D$458,MATCH($A174,Kalshi!$A$31:$A$458,0))=0,"",INDEX(Kalshi!$D$31:$D$458,MATCH($A174,Kalshi!$A$31:$A$458,0))),"")</f>
        <v/>
      </c>
      <c r="D174" s="31">
        <f>IF(AND(ISNUMBER(B174),ISNUMBER(C174)),B174-C174,"")</f>
        <v/>
      </c>
      <c r="E174" s="29">
        <f>IF(ISNUMBER(D174),ABS(D174),"")</f>
        <v/>
      </c>
      <c r="F174" s="105">
        <f>IFERROR(IF(INDEX(Polymarket!$C$25:$C$275,MATCH($A174,Polymarket!$A$25:$A$275,0))=0,"",INDEX(Polymarket!$C$25:$C$275,MATCH($A174,Polymarket!$A$25:$A$275,0))),"")</f>
        <v/>
      </c>
      <c r="G174" s="105">
        <f>IFERROR(IF(INDEX(Kalshi!$G$31:$G$458,MATCH($A174,Kalshi!$A$31:$A$458,0))=0,"",INDEX(Kalshi!$G$31:$G$458,MATCH($A174,Kalshi!$A$31:$A$458,0))),"")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4">
        <f>IFERROR(IF(INDEX(Polymarket!$B$25:$B$275,MATCH($A175,Polymarket!$A$25:$A$275,0))=0,"",INDEX(Polymarket!$B$25:$B$275,MATCH($A175,Polymarket!$A$25:$A$275,0))),"")</f>
        <v/>
      </c>
      <c r="C175" s="104">
        <f>IFERROR(IF(INDEX(Kalshi!$D$31:$D$458,MATCH($A175,Kalshi!$A$31:$A$458,0))=0,"",INDEX(Kalshi!$D$31:$D$458,MATCH($A175,Kalshi!$A$31:$A$458,0))),"")</f>
        <v/>
      </c>
      <c r="D175" s="18">
        <f>IF(AND(ISNUMBER(B175),ISNUMBER(C175)),B175-C175,"")</f>
        <v/>
      </c>
      <c r="E175" s="17">
        <f>IF(ISNUMBER(D175),ABS(D175),"")</f>
        <v/>
      </c>
      <c r="F175" s="104">
        <f>IFERROR(IF(INDEX(Polymarket!$C$25:$C$275,MATCH($A175,Polymarket!$A$25:$A$275,0))=0,"",INDEX(Polymarket!$C$25:$C$275,MATCH($A175,Polymarket!$A$25:$A$275,0))),"")</f>
        <v/>
      </c>
      <c r="G175" s="104">
        <f>IFERROR(IF(INDEX(Kalshi!$G$31:$G$458,MATCH($A175,Kalshi!$A$31:$A$458,0))=0,"",INDEX(Kalshi!$G$31:$G$458,MATCH($A175,Kalshi!$A$31:$A$458,0))),"")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5">
        <f>IFERROR(IF(INDEX(Polymarket!$B$25:$B$275,MATCH($A176,Polymarket!$A$25:$A$275,0))=0,"",INDEX(Polymarket!$B$25:$B$275,MATCH($A176,Polymarket!$A$25:$A$275,0))),"")</f>
        <v/>
      </c>
      <c r="C176" s="105">
        <f>IFERROR(IF(INDEX(Kalshi!$D$31:$D$458,MATCH($A176,Kalshi!$A$31:$A$458,0))=0,"",INDEX(Kalshi!$D$31:$D$458,MATCH($A176,Kalshi!$A$31:$A$458,0))),"")</f>
        <v/>
      </c>
      <c r="D176" s="31">
        <f>IF(AND(ISNUMBER(B176),ISNUMBER(C176)),B176-C176,"")</f>
        <v/>
      </c>
      <c r="E176" s="29">
        <f>IF(ISNUMBER(D176),ABS(D176),"")</f>
        <v/>
      </c>
      <c r="F176" s="105">
        <f>IFERROR(IF(INDEX(Polymarket!$C$25:$C$275,MATCH($A176,Polymarket!$A$25:$A$275,0))=0,"",INDEX(Polymarket!$C$25:$C$275,MATCH($A176,Polymarket!$A$25:$A$275,0))),"")</f>
        <v/>
      </c>
      <c r="G176" s="105">
        <f>IFERROR(IF(INDEX(Kalshi!$G$31:$G$458,MATCH($A176,Kalshi!$A$31:$A$458,0))=0,"",INDEX(Kalshi!$G$31:$G$458,MATCH($A176,Kalshi!$A$31:$A$458,0))),"")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4">
        <f>IFERROR(IF(INDEX(Polymarket!$B$25:$B$275,MATCH($A177,Polymarket!$A$25:$A$275,0))=0,"",INDEX(Polymarket!$B$25:$B$275,MATCH($A177,Polymarket!$A$25:$A$275,0))),"")</f>
        <v/>
      </c>
      <c r="C177" s="104">
        <f>IFERROR(IF(INDEX(Kalshi!$D$31:$D$458,MATCH($A177,Kalshi!$A$31:$A$458,0))=0,"",INDEX(Kalshi!$D$31:$D$458,MATCH($A177,Kalshi!$A$31:$A$458,0))),"")</f>
        <v/>
      </c>
      <c r="D177" s="18">
        <f>IF(AND(ISNUMBER(B177),ISNUMBER(C177)),B177-C177,"")</f>
        <v/>
      </c>
      <c r="E177" s="17">
        <f>IF(ISNUMBER(D177),ABS(D177),"")</f>
        <v/>
      </c>
      <c r="F177" s="104">
        <f>IFERROR(IF(INDEX(Polymarket!$C$25:$C$275,MATCH($A177,Polymarket!$A$25:$A$275,0))=0,"",INDEX(Polymarket!$C$25:$C$275,MATCH($A177,Polymarket!$A$25:$A$275,0))),"")</f>
        <v/>
      </c>
      <c r="G177" s="104">
        <f>IFERROR(IF(INDEX(Kalshi!$G$31:$G$458,MATCH($A177,Kalshi!$A$31:$A$458,0))=0,"",INDEX(Kalshi!$G$31:$G$458,MATCH($A177,Kalshi!$A$31:$A$458,0))),"")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5">
        <f>IFERROR(IF(INDEX(Polymarket!$B$25:$B$275,MATCH($A178,Polymarket!$A$25:$A$275,0))=0,"",INDEX(Polymarket!$B$25:$B$275,MATCH($A178,Polymarket!$A$25:$A$275,0))),"")</f>
        <v/>
      </c>
      <c r="C178" s="105">
        <f>IFERROR(IF(INDEX(Kalshi!$D$31:$D$458,MATCH($A178,Kalshi!$A$31:$A$458,0))=0,"",INDEX(Kalshi!$D$31:$D$458,MATCH($A178,Kalshi!$A$31:$A$458,0))),"")</f>
        <v/>
      </c>
      <c r="D178" s="31">
        <f>IF(AND(ISNUMBER(B178),ISNUMBER(C178)),B178-C178,"")</f>
        <v/>
      </c>
      <c r="E178" s="29">
        <f>IF(ISNUMBER(D178),ABS(D178),"")</f>
        <v/>
      </c>
      <c r="F178" s="105">
        <f>IFERROR(IF(INDEX(Polymarket!$C$25:$C$275,MATCH($A178,Polymarket!$A$25:$A$275,0))=0,"",INDEX(Polymarket!$C$25:$C$275,MATCH($A178,Polymarket!$A$25:$A$275,0))),"")</f>
        <v/>
      </c>
      <c r="G178" s="105">
        <f>IFERROR(IF(INDEX(Kalshi!$G$31:$G$458,MATCH($A178,Kalshi!$A$31:$A$458,0))=0,"",INDEX(Kalshi!$G$31:$G$458,MATCH($A178,Kalshi!$A$31:$A$458,0))),"")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4">
        <f>IFERROR(IF(INDEX(Polymarket!$B$25:$B$275,MATCH($A179,Polymarket!$A$25:$A$275,0))=0,"",INDEX(Polymarket!$B$25:$B$275,MATCH($A179,Polymarket!$A$25:$A$275,0))),"")</f>
        <v/>
      </c>
      <c r="C179" s="104">
        <f>IFERROR(IF(INDEX(Kalshi!$D$31:$D$458,MATCH($A179,Kalshi!$A$31:$A$458,0))=0,"",INDEX(Kalshi!$D$31:$D$458,MATCH($A179,Kalshi!$A$31:$A$458,0))),"")</f>
        <v/>
      </c>
      <c r="D179" s="18">
        <f>IF(AND(ISNUMBER(B179),ISNUMBER(C179)),B179-C179,"")</f>
        <v/>
      </c>
      <c r="E179" s="17">
        <f>IF(ISNUMBER(D179),ABS(D179),"")</f>
        <v/>
      </c>
      <c r="F179" s="104">
        <f>IFERROR(IF(INDEX(Polymarket!$C$25:$C$275,MATCH($A179,Polymarket!$A$25:$A$275,0))=0,"",INDEX(Polymarket!$C$25:$C$275,MATCH($A179,Polymarket!$A$25:$A$275,0))),"")</f>
        <v/>
      </c>
      <c r="G179" s="104">
        <f>IFERROR(IF(INDEX(Kalshi!$G$31:$G$458,MATCH($A179,Kalshi!$A$31:$A$458,0))=0,"",INDEX(Kalshi!$G$31:$G$458,MATCH($A179,Kalshi!$A$31:$A$458,0))),"")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5">
        <f>IFERROR(IF(INDEX(Polymarket!$B$25:$B$275,MATCH($A180,Polymarket!$A$25:$A$275,0))=0,"",INDEX(Polymarket!$B$25:$B$275,MATCH($A180,Polymarket!$A$25:$A$275,0))),"")</f>
        <v/>
      </c>
      <c r="C180" s="105">
        <f>IFERROR(IF(INDEX(Kalshi!$D$31:$D$458,MATCH($A180,Kalshi!$A$31:$A$458,0))=0,"",INDEX(Kalshi!$D$31:$D$458,MATCH($A180,Kalshi!$A$31:$A$458,0))),"")</f>
        <v/>
      </c>
      <c r="D180" s="31">
        <f>IF(AND(ISNUMBER(B180),ISNUMBER(C180)),B180-C180,"")</f>
        <v/>
      </c>
      <c r="E180" s="29">
        <f>IF(ISNUMBER(D180),ABS(D180),"")</f>
        <v/>
      </c>
      <c r="F180" s="105">
        <f>IFERROR(IF(INDEX(Polymarket!$C$25:$C$275,MATCH($A180,Polymarket!$A$25:$A$275,0))=0,"",INDEX(Polymarket!$C$25:$C$275,MATCH($A180,Polymarket!$A$25:$A$275,0))),"")</f>
        <v/>
      </c>
      <c r="G180" s="105">
        <f>IFERROR(IF(INDEX(Kalshi!$G$31:$G$458,MATCH($A180,Kalshi!$A$31:$A$458,0))=0,"",INDEX(Kalshi!$G$31:$G$458,MATCH($A180,Kalshi!$A$31:$A$458,0))),"")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4">
        <f>IFERROR(IF(INDEX(Polymarket!$B$25:$B$275,MATCH($A181,Polymarket!$A$25:$A$275,0))=0,"",INDEX(Polymarket!$B$25:$B$275,MATCH($A181,Polymarket!$A$25:$A$275,0))),"")</f>
        <v/>
      </c>
      <c r="C181" s="104">
        <f>IFERROR(IF(INDEX(Kalshi!$D$31:$D$458,MATCH($A181,Kalshi!$A$31:$A$458,0))=0,"",INDEX(Kalshi!$D$31:$D$458,MATCH($A181,Kalshi!$A$31:$A$458,0))),"")</f>
        <v/>
      </c>
      <c r="D181" s="18">
        <f>IF(AND(ISNUMBER(B181),ISNUMBER(C181)),B181-C181,"")</f>
        <v/>
      </c>
      <c r="E181" s="17">
        <f>IF(ISNUMBER(D181),ABS(D181),"")</f>
        <v/>
      </c>
      <c r="F181" s="104">
        <f>IFERROR(IF(INDEX(Polymarket!$C$25:$C$275,MATCH($A181,Polymarket!$A$25:$A$275,0))=0,"",INDEX(Polymarket!$C$25:$C$275,MATCH($A181,Polymarket!$A$25:$A$275,0))),"")</f>
        <v/>
      </c>
      <c r="G181" s="104">
        <f>IFERROR(IF(INDEX(Kalshi!$G$31:$G$458,MATCH($A181,Kalshi!$A$31:$A$458,0))=0,"",INDEX(Kalshi!$G$31:$G$458,MATCH($A181,Kalshi!$A$31:$A$458,0))),"")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5">
        <f>IFERROR(IF(INDEX(Polymarket!$B$25:$B$275,MATCH($A182,Polymarket!$A$25:$A$275,0))=0,"",INDEX(Polymarket!$B$25:$B$275,MATCH($A182,Polymarket!$A$25:$A$275,0))),"")</f>
        <v/>
      </c>
      <c r="C182" s="105">
        <f>IFERROR(IF(INDEX(Kalshi!$D$31:$D$458,MATCH($A182,Kalshi!$A$31:$A$458,0))=0,"",INDEX(Kalshi!$D$31:$D$458,MATCH($A182,Kalshi!$A$31:$A$458,0))),"")</f>
        <v/>
      </c>
      <c r="D182" s="31">
        <f>IF(AND(ISNUMBER(B182),ISNUMBER(C182)),B182-C182,"")</f>
        <v/>
      </c>
      <c r="E182" s="29">
        <f>IF(ISNUMBER(D182),ABS(D182),"")</f>
        <v/>
      </c>
      <c r="F182" s="105">
        <f>IFERROR(IF(INDEX(Polymarket!$C$25:$C$275,MATCH($A182,Polymarket!$A$25:$A$275,0))=0,"",INDEX(Polymarket!$C$25:$C$275,MATCH($A182,Polymarket!$A$25:$A$275,0))),"")</f>
        <v/>
      </c>
      <c r="G182" s="105">
        <f>IFERROR(IF(INDEX(Kalshi!$G$31:$G$458,MATCH($A182,Kalshi!$A$31:$A$458,0))=0,"",INDEX(Kalshi!$G$31:$G$458,MATCH($A182,Kalshi!$A$31:$A$458,0))),"")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4">
        <f>IFERROR(IF(INDEX(Polymarket!$B$25:$B$275,MATCH($A183,Polymarket!$A$25:$A$275,0))=0,"",INDEX(Polymarket!$B$25:$B$275,MATCH($A183,Polymarket!$A$25:$A$275,0))),"")</f>
        <v/>
      </c>
      <c r="C183" s="104">
        <f>IFERROR(IF(INDEX(Kalshi!$D$31:$D$458,MATCH($A183,Kalshi!$A$31:$A$458,0))=0,"",INDEX(Kalshi!$D$31:$D$458,MATCH($A183,Kalshi!$A$31:$A$458,0))),"")</f>
        <v/>
      </c>
      <c r="D183" s="18">
        <f>IF(AND(ISNUMBER(B183),ISNUMBER(C183)),B183-C183,"")</f>
        <v/>
      </c>
      <c r="E183" s="17">
        <f>IF(ISNUMBER(D183),ABS(D183),"")</f>
        <v/>
      </c>
      <c r="F183" s="104">
        <f>IFERROR(IF(INDEX(Polymarket!$C$25:$C$275,MATCH($A183,Polymarket!$A$25:$A$275,0))=0,"",INDEX(Polymarket!$C$25:$C$275,MATCH($A183,Polymarket!$A$25:$A$275,0))),"")</f>
        <v/>
      </c>
      <c r="G183" s="104">
        <f>IFERROR(IF(INDEX(Kalshi!$G$31:$G$458,MATCH($A183,Kalshi!$A$31:$A$458,0))=0,"",INDEX(Kalshi!$G$31:$G$458,MATCH($A183,Kalshi!$A$31:$A$458,0))),"")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5">
        <f>IFERROR(IF(INDEX(Polymarket!$B$25:$B$275,MATCH($A184,Polymarket!$A$25:$A$275,0))=0,"",INDEX(Polymarket!$B$25:$B$275,MATCH($A184,Polymarket!$A$25:$A$275,0))),"")</f>
        <v/>
      </c>
      <c r="C184" s="105">
        <f>IFERROR(IF(INDEX(Kalshi!$D$31:$D$458,MATCH($A184,Kalshi!$A$31:$A$458,0))=0,"",INDEX(Kalshi!$D$31:$D$458,MATCH($A184,Kalshi!$A$31:$A$458,0))),"")</f>
        <v/>
      </c>
      <c r="D184" s="31">
        <f>IF(AND(ISNUMBER(B184),ISNUMBER(C184)),B184-C184,"")</f>
        <v/>
      </c>
      <c r="E184" s="29">
        <f>IF(ISNUMBER(D184),ABS(D184),"")</f>
        <v/>
      </c>
      <c r="F184" s="105">
        <f>IFERROR(IF(INDEX(Polymarket!$C$25:$C$275,MATCH($A184,Polymarket!$A$25:$A$275,0))=0,"",INDEX(Polymarket!$C$25:$C$275,MATCH($A184,Polymarket!$A$25:$A$275,0))),"")</f>
        <v/>
      </c>
      <c r="G184" s="105">
        <f>IFERROR(IF(INDEX(Kalshi!$G$31:$G$458,MATCH($A184,Kalshi!$A$31:$A$458,0))=0,"",INDEX(Kalshi!$G$31:$G$458,MATCH($A184,Kalshi!$A$31:$A$458,0))),"")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4">
        <f>IFERROR(IF(INDEX(Polymarket!$B$25:$B$275,MATCH($A185,Polymarket!$A$25:$A$275,0))=0,"",INDEX(Polymarket!$B$25:$B$275,MATCH($A185,Polymarket!$A$25:$A$275,0))),"")</f>
        <v/>
      </c>
      <c r="C185" s="104">
        <f>IFERROR(IF(INDEX(Kalshi!$D$31:$D$458,MATCH($A185,Kalshi!$A$31:$A$458,0))=0,"",INDEX(Kalshi!$D$31:$D$458,MATCH($A185,Kalshi!$A$31:$A$458,0))),"")</f>
        <v/>
      </c>
      <c r="D185" s="18">
        <f>IF(AND(ISNUMBER(B185),ISNUMBER(C185)),B185-C185,"")</f>
        <v/>
      </c>
      <c r="E185" s="17">
        <f>IF(ISNUMBER(D185),ABS(D185),"")</f>
        <v/>
      </c>
      <c r="F185" s="104">
        <f>IFERROR(IF(INDEX(Polymarket!$C$25:$C$275,MATCH($A185,Polymarket!$A$25:$A$275,0))=0,"",INDEX(Polymarket!$C$25:$C$275,MATCH($A185,Polymarket!$A$25:$A$275,0))),"")</f>
        <v/>
      </c>
      <c r="G185" s="104">
        <f>IFERROR(IF(INDEX(Kalshi!$G$31:$G$458,MATCH($A185,Kalshi!$A$31:$A$458,0))=0,"",INDEX(Kalshi!$G$31:$G$458,MATCH($A185,Kalshi!$A$31:$A$458,0))),"")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5">
        <f>IFERROR(IF(INDEX(Polymarket!$B$25:$B$275,MATCH($A186,Polymarket!$A$25:$A$275,0))=0,"",INDEX(Polymarket!$B$25:$B$275,MATCH($A186,Polymarket!$A$25:$A$275,0))),"")</f>
        <v/>
      </c>
      <c r="C186" s="105">
        <f>IFERROR(IF(INDEX(Kalshi!$D$31:$D$458,MATCH($A186,Kalshi!$A$31:$A$458,0))=0,"",INDEX(Kalshi!$D$31:$D$458,MATCH($A186,Kalshi!$A$31:$A$458,0))),"")</f>
        <v/>
      </c>
      <c r="D186" s="31">
        <f>IF(AND(ISNUMBER(B186),ISNUMBER(C186)),B186-C186,"")</f>
        <v/>
      </c>
      <c r="E186" s="29">
        <f>IF(ISNUMBER(D186),ABS(D186),"")</f>
        <v/>
      </c>
      <c r="F186" s="105">
        <f>IFERROR(IF(INDEX(Polymarket!$C$25:$C$275,MATCH($A186,Polymarket!$A$25:$A$275,0))=0,"",INDEX(Polymarket!$C$25:$C$275,MATCH($A186,Polymarket!$A$25:$A$275,0))),"")</f>
        <v/>
      </c>
      <c r="G186" s="105">
        <f>IFERROR(IF(INDEX(Kalshi!$G$31:$G$458,MATCH($A186,Kalshi!$A$31:$A$458,0))=0,"",INDEX(Kalshi!$G$31:$G$458,MATCH($A186,Kalshi!$A$31:$A$458,0))),"")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4">
        <f>IFERROR(IF(INDEX(Polymarket!$B$25:$B$275,MATCH($A187,Polymarket!$A$25:$A$275,0))=0,"",INDEX(Polymarket!$B$25:$B$275,MATCH($A187,Polymarket!$A$25:$A$275,0))),"")</f>
        <v/>
      </c>
      <c r="C187" s="104">
        <f>IFERROR(IF(INDEX(Kalshi!$D$31:$D$458,MATCH($A187,Kalshi!$A$31:$A$458,0))=0,"",INDEX(Kalshi!$D$31:$D$458,MATCH($A187,Kalshi!$A$31:$A$458,0))),"")</f>
        <v/>
      </c>
      <c r="D187" s="18">
        <f>IF(AND(ISNUMBER(B187),ISNUMBER(C187)),B187-C187,"")</f>
        <v/>
      </c>
      <c r="E187" s="17">
        <f>IF(ISNUMBER(D187),ABS(D187),"")</f>
        <v/>
      </c>
      <c r="F187" s="104">
        <f>IFERROR(IF(INDEX(Polymarket!$C$25:$C$275,MATCH($A187,Polymarket!$A$25:$A$275,0))=0,"",INDEX(Polymarket!$C$25:$C$275,MATCH($A187,Polymarket!$A$25:$A$275,0))),"")</f>
        <v/>
      </c>
      <c r="G187" s="104">
        <f>IFERROR(IF(INDEX(Kalshi!$G$31:$G$458,MATCH($A187,Kalshi!$A$31:$A$458,0))=0,"",INDEX(Kalshi!$G$31:$G$458,MATCH($A187,Kalshi!$A$31:$A$458,0))),"")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5">
        <f>IFERROR(IF(INDEX(Polymarket!$B$25:$B$275,MATCH($A188,Polymarket!$A$25:$A$275,0))=0,"",INDEX(Polymarket!$B$25:$B$275,MATCH($A188,Polymarket!$A$25:$A$275,0))),"")</f>
        <v/>
      </c>
      <c r="C188" s="105">
        <f>IFERROR(IF(INDEX(Kalshi!$D$31:$D$458,MATCH($A188,Kalshi!$A$31:$A$458,0))=0,"",INDEX(Kalshi!$D$31:$D$458,MATCH($A188,Kalshi!$A$31:$A$458,0))),"")</f>
        <v/>
      </c>
      <c r="D188" s="31">
        <f>IF(AND(ISNUMBER(B188),ISNUMBER(C188)),B188-C188,"")</f>
        <v/>
      </c>
      <c r="E188" s="29">
        <f>IF(ISNUMBER(D188),ABS(D188),"")</f>
        <v/>
      </c>
      <c r="F188" s="105">
        <f>IFERROR(IF(INDEX(Polymarket!$C$25:$C$275,MATCH($A188,Polymarket!$A$25:$A$275,0))=0,"",INDEX(Polymarket!$C$25:$C$275,MATCH($A188,Polymarket!$A$25:$A$275,0))),"")</f>
        <v/>
      </c>
      <c r="G188" s="105">
        <f>IFERROR(IF(INDEX(Kalshi!$G$31:$G$458,MATCH($A188,Kalshi!$A$31:$A$458,0))=0,"",INDEX(Kalshi!$G$31:$G$458,MATCH($A188,Kalshi!$A$31:$A$458,0))),"")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4">
        <f>IFERROR(IF(INDEX(Polymarket!$B$25:$B$275,MATCH($A189,Polymarket!$A$25:$A$275,0))=0,"",INDEX(Polymarket!$B$25:$B$275,MATCH($A189,Polymarket!$A$25:$A$275,0))),"")</f>
        <v/>
      </c>
      <c r="C189" s="104">
        <f>IFERROR(IF(INDEX(Kalshi!$D$31:$D$458,MATCH($A189,Kalshi!$A$31:$A$458,0))=0,"",INDEX(Kalshi!$D$31:$D$458,MATCH($A189,Kalshi!$A$31:$A$458,0))),"")</f>
        <v/>
      </c>
      <c r="D189" s="18">
        <f>IF(AND(ISNUMBER(B189),ISNUMBER(C189)),B189-C189,"")</f>
        <v/>
      </c>
      <c r="E189" s="17">
        <f>IF(ISNUMBER(D189),ABS(D189),"")</f>
        <v/>
      </c>
      <c r="F189" s="104">
        <f>IFERROR(IF(INDEX(Polymarket!$C$25:$C$275,MATCH($A189,Polymarket!$A$25:$A$275,0))=0,"",INDEX(Polymarket!$C$25:$C$275,MATCH($A189,Polymarket!$A$25:$A$275,0))),"")</f>
        <v/>
      </c>
      <c r="G189" s="104">
        <f>IFERROR(IF(INDEX(Kalshi!$G$31:$G$458,MATCH($A189,Kalshi!$A$31:$A$458,0))=0,"",INDEX(Kalshi!$G$31:$G$458,MATCH($A189,Kalshi!$A$31:$A$458,0))),"")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5">
        <f>IFERROR(IF(INDEX(Polymarket!$B$25:$B$275,MATCH($A190,Polymarket!$A$25:$A$275,0))=0,"",INDEX(Polymarket!$B$25:$B$275,MATCH($A190,Polymarket!$A$25:$A$275,0))),"")</f>
        <v/>
      </c>
      <c r="C190" s="105">
        <f>IFERROR(IF(INDEX(Kalshi!$D$31:$D$458,MATCH($A190,Kalshi!$A$31:$A$458,0))=0,"",INDEX(Kalshi!$D$31:$D$458,MATCH($A190,Kalshi!$A$31:$A$458,0))),"")</f>
        <v/>
      </c>
      <c r="D190" s="31">
        <f>IF(AND(ISNUMBER(B190),ISNUMBER(C190)),B190-C190,"")</f>
        <v/>
      </c>
      <c r="E190" s="29">
        <f>IF(ISNUMBER(D190),ABS(D190),"")</f>
        <v/>
      </c>
      <c r="F190" s="105">
        <f>IFERROR(IF(INDEX(Polymarket!$C$25:$C$275,MATCH($A190,Polymarket!$A$25:$A$275,0))=0,"",INDEX(Polymarket!$C$25:$C$275,MATCH($A190,Polymarket!$A$25:$A$275,0))),"")</f>
        <v/>
      </c>
      <c r="G190" s="105">
        <f>IFERROR(IF(INDEX(Kalshi!$G$31:$G$458,MATCH($A190,Kalshi!$A$31:$A$458,0))=0,"",INDEX(Kalshi!$G$31:$G$458,MATCH($A190,Kalshi!$A$31:$A$458,0))),"")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4">
        <f>IFERROR(IF(INDEX(Polymarket!$B$25:$B$275,MATCH($A191,Polymarket!$A$25:$A$275,0))=0,"",INDEX(Polymarket!$B$25:$B$275,MATCH($A191,Polymarket!$A$25:$A$275,0))),"")</f>
        <v/>
      </c>
      <c r="C191" s="104">
        <f>IFERROR(IF(INDEX(Kalshi!$D$31:$D$458,MATCH($A191,Kalshi!$A$31:$A$458,0))=0,"",INDEX(Kalshi!$D$31:$D$458,MATCH($A191,Kalshi!$A$31:$A$458,0))),"")</f>
        <v/>
      </c>
      <c r="D191" s="18">
        <f>IF(AND(ISNUMBER(B191),ISNUMBER(C191)),B191-C191,"")</f>
        <v/>
      </c>
      <c r="E191" s="17">
        <f>IF(ISNUMBER(D191),ABS(D191),"")</f>
        <v/>
      </c>
      <c r="F191" s="104">
        <f>IFERROR(IF(INDEX(Polymarket!$C$25:$C$275,MATCH($A191,Polymarket!$A$25:$A$275,0))=0,"",INDEX(Polymarket!$C$25:$C$275,MATCH($A191,Polymarket!$A$25:$A$275,0))),"")</f>
        <v/>
      </c>
      <c r="G191" s="104">
        <f>IFERROR(IF(INDEX(Kalshi!$G$31:$G$458,MATCH($A191,Kalshi!$A$31:$A$458,0))=0,"",INDEX(Kalshi!$G$31:$G$458,MATCH($A191,Kalshi!$A$31:$A$458,0))),"")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5">
        <f>IFERROR(IF(INDEX(Polymarket!$B$25:$B$275,MATCH($A192,Polymarket!$A$25:$A$275,0))=0,"",INDEX(Polymarket!$B$25:$B$275,MATCH($A192,Polymarket!$A$25:$A$275,0))),"")</f>
        <v/>
      </c>
      <c r="C192" s="105">
        <f>IFERROR(IF(INDEX(Kalshi!$D$31:$D$458,MATCH($A192,Kalshi!$A$31:$A$458,0))=0,"",INDEX(Kalshi!$D$31:$D$458,MATCH($A192,Kalshi!$A$31:$A$458,0))),"")</f>
        <v/>
      </c>
      <c r="D192" s="31">
        <f>IF(AND(ISNUMBER(B192),ISNUMBER(C192)),B192-C192,"")</f>
        <v/>
      </c>
      <c r="E192" s="29">
        <f>IF(ISNUMBER(D192),ABS(D192),"")</f>
        <v/>
      </c>
      <c r="F192" s="105">
        <f>IFERROR(IF(INDEX(Polymarket!$C$25:$C$275,MATCH($A192,Polymarket!$A$25:$A$275,0))=0,"",INDEX(Polymarket!$C$25:$C$275,MATCH($A192,Polymarket!$A$25:$A$275,0))),"")</f>
        <v/>
      </c>
      <c r="G192" s="105">
        <f>IFERROR(IF(INDEX(Kalshi!$G$31:$G$458,MATCH($A192,Kalshi!$A$31:$A$458,0))=0,"",INDEX(Kalshi!$G$31:$G$458,MATCH($A192,Kalshi!$A$31:$A$458,0))),"")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4">
        <f>IFERROR(IF(INDEX(Polymarket!$B$25:$B$275,MATCH($A193,Polymarket!$A$25:$A$275,0))=0,"",INDEX(Polymarket!$B$25:$B$275,MATCH($A193,Polymarket!$A$25:$A$275,0))),"")</f>
        <v/>
      </c>
      <c r="C193" s="104">
        <f>IFERROR(IF(INDEX(Kalshi!$D$31:$D$458,MATCH($A193,Kalshi!$A$31:$A$458,0))=0,"",INDEX(Kalshi!$D$31:$D$458,MATCH($A193,Kalshi!$A$31:$A$458,0))),"")</f>
        <v/>
      </c>
      <c r="D193" s="18">
        <f>IF(AND(ISNUMBER(B193),ISNUMBER(C193)),B193-C193,"")</f>
        <v/>
      </c>
      <c r="E193" s="17">
        <f>IF(ISNUMBER(D193),ABS(D193),"")</f>
        <v/>
      </c>
      <c r="F193" s="104">
        <f>IFERROR(IF(INDEX(Polymarket!$C$25:$C$275,MATCH($A193,Polymarket!$A$25:$A$275,0))=0,"",INDEX(Polymarket!$C$25:$C$275,MATCH($A193,Polymarket!$A$25:$A$275,0))),"")</f>
        <v/>
      </c>
      <c r="G193" s="104">
        <f>IFERROR(IF(INDEX(Kalshi!$G$31:$G$458,MATCH($A193,Kalshi!$A$31:$A$458,0))=0,"",INDEX(Kalshi!$G$31:$G$458,MATCH($A193,Kalshi!$A$31:$A$458,0))),"")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5">
        <f>IFERROR(IF(INDEX(Polymarket!$B$25:$B$275,MATCH($A194,Polymarket!$A$25:$A$275,0))=0,"",INDEX(Polymarket!$B$25:$B$275,MATCH($A194,Polymarket!$A$25:$A$275,0))),"")</f>
        <v/>
      </c>
      <c r="C194" s="105">
        <f>IFERROR(IF(INDEX(Kalshi!$D$31:$D$458,MATCH($A194,Kalshi!$A$31:$A$458,0))=0,"",INDEX(Kalshi!$D$31:$D$458,MATCH($A194,Kalshi!$A$31:$A$458,0))),"")</f>
        <v/>
      </c>
      <c r="D194" s="31">
        <f>IF(AND(ISNUMBER(B194),ISNUMBER(C194)),B194-C194,"")</f>
        <v/>
      </c>
      <c r="E194" s="29">
        <f>IF(ISNUMBER(D194),ABS(D194),"")</f>
        <v/>
      </c>
      <c r="F194" s="105">
        <f>IFERROR(IF(INDEX(Polymarket!$C$25:$C$275,MATCH($A194,Polymarket!$A$25:$A$275,0))=0,"",INDEX(Polymarket!$C$25:$C$275,MATCH($A194,Polymarket!$A$25:$A$275,0))),"")</f>
        <v/>
      </c>
      <c r="G194" s="105">
        <f>IFERROR(IF(INDEX(Kalshi!$G$31:$G$458,MATCH($A194,Kalshi!$A$31:$A$458,0))=0,"",INDEX(Kalshi!$G$31:$G$458,MATCH($A194,Kalshi!$A$31:$A$458,0))),"")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4">
        <f>IFERROR(IF(INDEX(Polymarket!$B$25:$B$275,MATCH($A195,Polymarket!$A$25:$A$275,0))=0,"",INDEX(Polymarket!$B$25:$B$275,MATCH($A195,Polymarket!$A$25:$A$275,0))),"")</f>
        <v/>
      </c>
      <c r="C195" s="104">
        <f>IFERROR(IF(INDEX(Kalshi!$D$31:$D$458,MATCH($A195,Kalshi!$A$31:$A$458,0))=0,"",INDEX(Kalshi!$D$31:$D$458,MATCH($A195,Kalshi!$A$31:$A$458,0))),"")</f>
        <v/>
      </c>
      <c r="D195" s="18">
        <f>IF(AND(ISNUMBER(B195),ISNUMBER(C195)),B195-C195,"")</f>
        <v/>
      </c>
      <c r="E195" s="17">
        <f>IF(ISNUMBER(D195),ABS(D195),"")</f>
        <v/>
      </c>
      <c r="F195" s="104">
        <f>IFERROR(IF(INDEX(Polymarket!$C$25:$C$275,MATCH($A195,Polymarket!$A$25:$A$275,0))=0,"",INDEX(Polymarket!$C$25:$C$275,MATCH($A195,Polymarket!$A$25:$A$275,0))),"")</f>
        <v/>
      </c>
      <c r="G195" s="104">
        <f>IFERROR(IF(INDEX(Kalshi!$G$31:$G$458,MATCH($A195,Kalshi!$A$31:$A$458,0))=0,"",INDEX(Kalshi!$G$31:$G$458,MATCH($A195,Kalshi!$A$31:$A$458,0))),"")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5">
        <f>IFERROR(IF(INDEX(Polymarket!$B$25:$B$275,MATCH($A196,Polymarket!$A$25:$A$275,0))=0,"",INDEX(Polymarket!$B$25:$B$275,MATCH($A196,Polymarket!$A$25:$A$275,0))),"")</f>
        <v/>
      </c>
      <c r="C196" s="105">
        <f>IFERROR(IF(INDEX(Kalshi!$D$31:$D$458,MATCH($A196,Kalshi!$A$31:$A$458,0))=0,"",INDEX(Kalshi!$D$31:$D$458,MATCH($A196,Kalshi!$A$31:$A$458,0))),"")</f>
        <v/>
      </c>
      <c r="D196" s="31">
        <f>IF(AND(ISNUMBER(B196),ISNUMBER(C196)),B196-C196,"")</f>
        <v/>
      </c>
      <c r="E196" s="29">
        <f>IF(ISNUMBER(D196),ABS(D196),"")</f>
        <v/>
      </c>
      <c r="F196" s="105">
        <f>IFERROR(IF(INDEX(Polymarket!$C$25:$C$275,MATCH($A196,Polymarket!$A$25:$A$275,0))=0,"",INDEX(Polymarket!$C$25:$C$275,MATCH($A196,Polymarket!$A$25:$A$275,0))),"")</f>
        <v/>
      </c>
      <c r="G196" s="105">
        <f>IFERROR(IF(INDEX(Kalshi!$G$31:$G$458,MATCH($A196,Kalshi!$A$31:$A$458,0))=0,"",INDEX(Kalshi!$G$31:$G$458,MATCH($A196,Kalshi!$A$31:$A$458,0))),"")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4">
        <f>IFERROR(IF(INDEX(Polymarket!$B$25:$B$275,MATCH($A197,Polymarket!$A$25:$A$275,0))=0,"",INDEX(Polymarket!$B$25:$B$275,MATCH($A197,Polymarket!$A$25:$A$275,0))),"")</f>
        <v/>
      </c>
      <c r="C197" s="104">
        <f>IFERROR(IF(INDEX(Kalshi!$D$31:$D$458,MATCH($A197,Kalshi!$A$31:$A$458,0))=0,"",INDEX(Kalshi!$D$31:$D$458,MATCH($A197,Kalshi!$A$31:$A$458,0))),"")</f>
        <v/>
      </c>
      <c r="D197" s="18">
        <f>IF(AND(ISNUMBER(B197),ISNUMBER(C197)),B197-C197,"")</f>
        <v/>
      </c>
      <c r="E197" s="17">
        <f>IF(ISNUMBER(D197),ABS(D197),"")</f>
        <v/>
      </c>
      <c r="F197" s="104">
        <f>IFERROR(IF(INDEX(Polymarket!$C$25:$C$275,MATCH($A197,Polymarket!$A$25:$A$275,0))=0,"",INDEX(Polymarket!$C$25:$C$275,MATCH($A197,Polymarket!$A$25:$A$275,0))),"")</f>
        <v/>
      </c>
      <c r="G197" s="104">
        <f>IFERROR(IF(INDEX(Kalshi!$G$31:$G$458,MATCH($A197,Kalshi!$A$31:$A$458,0))=0,"",INDEX(Kalshi!$G$31:$G$458,MATCH($A197,Kalshi!$A$31:$A$458,0))),"")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5">
        <f>IFERROR(IF(INDEX(Polymarket!$B$25:$B$275,MATCH($A198,Polymarket!$A$25:$A$275,0))=0,"",INDEX(Polymarket!$B$25:$B$275,MATCH($A198,Polymarket!$A$25:$A$275,0))),"")</f>
        <v/>
      </c>
      <c r="C198" s="105">
        <f>IFERROR(IF(INDEX(Kalshi!$D$31:$D$458,MATCH($A198,Kalshi!$A$31:$A$458,0))=0,"",INDEX(Kalshi!$D$31:$D$458,MATCH($A198,Kalshi!$A$31:$A$458,0))),"")</f>
        <v/>
      </c>
      <c r="D198" s="31">
        <f>IF(AND(ISNUMBER(B198),ISNUMBER(C198)),B198-C198,"")</f>
        <v/>
      </c>
      <c r="E198" s="29">
        <f>IF(ISNUMBER(D198),ABS(D198),"")</f>
        <v/>
      </c>
      <c r="F198" s="105">
        <f>IFERROR(IF(INDEX(Polymarket!$C$25:$C$275,MATCH($A198,Polymarket!$A$25:$A$275,0))=0,"",INDEX(Polymarket!$C$25:$C$275,MATCH($A198,Polymarket!$A$25:$A$275,0))),"")</f>
        <v/>
      </c>
      <c r="G198" s="105">
        <f>IFERROR(IF(INDEX(Kalshi!$G$31:$G$458,MATCH($A198,Kalshi!$A$31:$A$458,0))=0,"",INDEX(Kalshi!$G$31:$G$458,MATCH($A198,Kalshi!$A$31:$A$458,0))),"")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4">
        <f>IFERROR(IF(INDEX(Polymarket!$B$25:$B$275,MATCH($A199,Polymarket!$A$25:$A$275,0))=0,"",INDEX(Polymarket!$B$25:$B$275,MATCH($A199,Polymarket!$A$25:$A$275,0))),"")</f>
        <v/>
      </c>
      <c r="C199" s="104">
        <f>IFERROR(IF(INDEX(Kalshi!$D$31:$D$458,MATCH($A199,Kalshi!$A$31:$A$458,0))=0,"",INDEX(Kalshi!$D$31:$D$458,MATCH($A199,Kalshi!$A$31:$A$458,0))),"")</f>
        <v/>
      </c>
      <c r="D199" s="18">
        <f>IF(AND(ISNUMBER(B199),ISNUMBER(C199)),B199-C199,"")</f>
        <v/>
      </c>
      <c r="E199" s="17">
        <f>IF(ISNUMBER(D199),ABS(D199),"")</f>
        <v/>
      </c>
      <c r="F199" s="104">
        <f>IFERROR(IF(INDEX(Polymarket!$C$25:$C$275,MATCH($A199,Polymarket!$A$25:$A$275,0))=0,"",INDEX(Polymarket!$C$25:$C$275,MATCH($A199,Polymarket!$A$25:$A$275,0))),"")</f>
        <v/>
      </c>
      <c r="G199" s="104">
        <f>IFERROR(IF(INDEX(Kalshi!$G$31:$G$458,MATCH($A199,Kalshi!$A$31:$A$458,0))=0,"",INDEX(Kalshi!$G$31:$G$458,MATCH($A199,Kalshi!$A$31:$A$458,0))),"")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5">
        <f>IFERROR(IF(INDEX(Polymarket!$B$25:$B$275,MATCH($A200,Polymarket!$A$25:$A$275,0))=0,"",INDEX(Polymarket!$B$25:$B$275,MATCH($A200,Polymarket!$A$25:$A$275,0))),"")</f>
        <v/>
      </c>
      <c r="C200" s="105">
        <f>IFERROR(IF(INDEX(Kalshi!$D$31:$D$458,MATCH($A200,Kalshi!$A$31:$A$458,0))=0,"",INDEX(Kalshi!$D$31:$D$458,MATCH($A200,Kalshi!$A$31:$A$458,0))),"")</f>
        <v/>
      </c>
      <c r="D200" s="31">
        <f>IF(AND(ISNUMBER(B200),ISNUMBER(C200)),B200-C200,"")</f>
        <v/>
      </c>
      <c r="E200" s="29">
        <f>IF(ISNUMBER(D200),ABS(D200),"")</f>
        <v/>
      </c>
      <c r="F200" s="105">
        <f>IFERROR(IF(INDEX(Polymarket!$C$25:$C$275,MATCH($A200,Polymarket!$A$25:$A$275,0))=0,"",INDEX(Polymarket!$C$25:$C$275,MATCH($A200,Polymarket!$A$25:$A$275,0))),"")</f>
        <v/>
      </c>
      <c r="G200" s="105">
        <f>IFERROR(IF(INDEX(Kalshi!$G$31:$G$458,MATCH($A200,Kalshi!$A$31:$A$458,0))=0,"",INDEX(Kalshi!$G$31:$G$458,MATCH($A200,Kalshi!$A$31:$A$458,0))),"")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4">
        <f>IFERROR(IF(INDEX(Polymarket!$B$25:$B$275,MATCH($A201,Polymarket!$A$25:$A$275,0))=0,"",INDEX(Polymarket!$B$25:$B$275,MATCH($A201,Polymarket!$A$25:$A$275,0))),"")</f>
        <v/>
      </c>
      <c r="C201" s="104">
        <f>IFERROR(IF(INDEX(Kalshi!$D$31:$D$458,MATCH($A201,Kalshi!$A$31:$A$458,0))=0,"",INDEX(Kalshi!$D$31:$D$458,MATCH($A201,Kalshi!$A$31:$A$458,0))),"")</f>
        <v/>
      </c>
      <c r="D201" s="18">
        <f>IF(AND(ISNUMBER(B201),ISNUMBER(C201)),B201-C201,"")</f>
        <v/>
      </c>
      <c r="E201" s="17">
        <f>IF(ISNUMBER(D201),ABS(D201),"")</f>
        <v/>
      </c>
      <c r="F201" s="104">
        <f>IFERROR(IF(INDEX(Polymarket!$C$25:$C$275,MATCH($A201,Polymarket!$A$25:$A$275,0))=0,"",INDEX(Polymarket!$C$25:$C$275,MATCH($A201,Polymarket!$A$25:$A$275,0))),"")</f>
        <v/>
      </c>
      <c r="G201" s="104">
        <f>IFERROR(IF(INDEX(Kalshi!$G$31:$G$458,MATCH($A201,Kalshi!$A$31:$A$458,0))=0,"",INDEX(Kalshi!$G$31:$G$458,MATCH($A201,Kalshi!$A$31:$A$458,0))),"")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5">
        <f>IFERROR(IF(INDEX(Polymarket!$B$25:$B$275,MATCH($A202,Polymarket!$A$25:$A$275,0))=0,"",INDEX(Polymarket!$B$25:$B$275,MATCH($A202,Polymarket!$A$25:$A$275,0))),"")</f>
        <v/>
      </c>
      <c r="C202" s="105">
        <f>IFERROR(IF(INDEX(Kalshi!$D$31:$D$458,MATCH($A202,Kalshi!$A$31:$A$458,0))=0,"",INDEX(Kalshi!$D$31:$D$458,MATCH($A202,Kalshi!$A$31:$A$458,0))),"")</f>
        <v/>
      </c>
      <c r="D202" s="31">
        <f>IF(AND(ISNUMBER(B202),ISNUMBER(C202)),B202-C202,"")</f>
        <v/>
      </c>
      <c r="E202" s="29">
        <f>IF(ISNUMBER(D202),ABS(D202),"")</f>
        <v/>
      </c>
      <c r="F202" s="105">
        <f>IFERROR(IF(INDEX(Polymarket!$C$25:$C$275,MATCH($A202,Polymarket!$A$25:$A$275,0))=0,"",INDEX(Polymarket!$C$25:$C$275,MATCH($A202,Polymarket!$A$25:$A$275,0))),"")</f>
        <v/>
      </c>
      <c r="G202" s="105">
        <f>IFERROR(IF(INDEX(Kalshi!$G$31:$G$458,MATCH($A202,Kalshi!$A$31:$A$458,0))=0,"",INDEX(Kalshi!$G$31:$G$458,MATCH($A202,Kalshi!$A$31:$A$458,0))),"")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4">
        <f>IFERROR(IF(INDEX(Polymarket!$B$25:$B$275,MATCH($A203,Polymarket!$A$25:$A$275,0))=0,"",INDEX(Polymarket!$B$25:$B$275,MATCH($A203,Polymarket!$A$25:$A$275,0))),"")</f>
        <v/>
      </c>
      <c r="C203" s="104">
        <f>IFERROR(IF(INDEX(Kalshi!$D$31:$D$458,MATCH($A203,Kalshi!$A$31:$A$458,0))=0,"",INDEX(Kalshi!$D$31:$D$458,MATCH($A203,Kalshi!$A$31:$A$458,0))),"")</f>
        <v/>
      </c>
      <c r="D203" s="18">
        <f>IF(AND(ISNUMBER(B203),ISNUMBER(C203)),B203-C203,"")</f>
        <v/>
      </c>
      <c r="E203" s="17">
        <f>IF(ISNUMBER(D203),ABS(D203),"")</f>
        <v/>
      </c>
      <c r="F203" s="104">
        <f>IFERROR(IF(INDEX(Polymarket!$C$25:$C$275,MATCH($A203,Polymarket!$A$25:$A$275,0))=0,"",INDEX(Polymarket!$C$25:$C$275,MATCH($A203,Polymarket!$A$25:$A$275,0))),"")</f>
        <v/>
      </c>
      <c r="G203" s="104">
        <f>IFERROR(IF(INDEX(Kalshi!$G$31:$G$458,MATCH($A203,Kalshi!$A$31:$A$458,0))=0,"",INDEX(Kalshi!$G$31:$G$458,MATCH($A203,Kalshi!$A$31:$A$458,0))),"")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5">
        <f>IFERROR(IF(INDEX(Polymarket!$B$25:$B$275,MATCH($A204,Polymarket!$A$25:$A$275,0))=0,"",INDEX(Polymarket!$B$25:$B$275,MATCH($A204,Polymarket!$A$25:$A$275,0))),"")</f>
        <v/>
      </c>
      <c r="C204" s="105">
        <f>IFERROR(IF(INDEX(Kalshi!$D$31:$D$458,MATCH($A204,Kalshi!$A$31:$A$458,0))=0,"",INDEX(Kalshi!$D$31:$D$458,MATCH($A204,Kalshi!$A$31:$A$458,0))),"")</f>
        <v/>
      </c>
      <c r="D204" s="31">
        <f>IF(AND(ISNUMBER(B204),ISNUMBER(C204)),B204-C204,"")</f>
        <v/>
      </c>
      <c r="E204" s="29">
        <f>IF(ISNUMBER(D204),ABS(D204),"")</f>
        <v/>
      </c>
      <c r="F204" s="105">
        <f>IFERROR(IF(INDEX(Polymarket!$C$25:$C$275,MATCH($A204,Polymarket!$A$25:$A$275,0))=0,"",INDEX(Polymarket!$C$25:$C$275,MATCH($A204,Polymarket!$A$25:$A$275,0))),"")</f>
        <v/>
      </c>
      <c r="G204" s="105">
        <f>IFERROR(IF(INDEX(Kalshi!$G$31:$G$458,MATCH($A204,Kalshi!$A$31:$A$458,0))=0,"",INDEX(Kalshi!$G$31:$G$458,MATCH($A204,Kalshi!$A$31:$A$458,0))),"")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4">
        <f>IFERROR(IF(INDEX(Polymarket!$B$25:$B$275,MATCH($A205,Polymarket!$A$25:$A$275,0))=0,"",INDEX(Polymarket!$B$25:$B$275,MATCH($A205,Polymarket!$A$25:$A$275,0))),"")</f>
        <v/>
      </c>
      <c r="C205" s="104">
        <f>IFERROR(IF(INDEX(Kalshi!$D$31:$D$458,MATCH($A205,Kalshi!$A$31:$A$458,0))=0,"",INDEX(Kalshi!$D$31:$D$458,MATCH($A205,Kalshi!$A$31:$A$458,0))),"")</f>
        <v/>
      </c>
      <c r="D205" s="18">
        <f>IF(AND(ISNUMBER(B205),ISNUMBER(C205)),B205-C205,"")</f>
        <v/>
      </c>
      <c r="E205" s="17">
        <f>IF(ISNUMBER(D205),ABS(D205),"")</f>
        <v/>
      </c>
      <c r="F205" s="104">
        <f>IFERROR(IF(INDEX(Polymarket!$C$25:$C$275,MATCH($A205,Polymarket!$A$25:$A$275,0))=0,"",INDEX(Polymarket!$C$25:$C$275,MATCH($A205,Polymarket!$A$25:$A$275,0))),"")</f>
        <v/>
      </c>
      <c r="G205" s="104">
        <f>IFERROR(IF(INDEX(Kalshi!$G$31:$G$458,MATCH($A205,Kalshi!$A$31:$A$458,0))=0,"",INDEX(Kalshi!$G$31:$G$458,MATCH($A205,Kalshi!$A$31:$A$458,0))),"")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5">
        <f>IFERROR(IF(INDEX(Polymarket!$B$25:$B$275,MATCH($A206,Polymarket!$A$25:$A$275,0))=0,"",INDEX(Polymarket!$B$25:$B$275,MATCH($A206,Polymarket!$A$25:$A$275,0))),"")</f>
        <v/>
      </c>
      <c r="C206" s="105">
        <f>IFERROR(IF(INDEX(Kalshi!$D$31:$D$458,MATCH($A206,Kalshi!$A$31:$A$458,0))=0,"",INDEX(Kalshi!$D$31:$D$458,MATCH($A206,Kalshi!$A$31:$A$458,0))),"")</f>
        <v/>
      </c>
      <c r="D206" s="31">
        <f>IF(AND(ISNUMBER(B206),ISNUMBER(C206)),B206-C206,"")</f>
        <v/>
      </c>
      <c r="E206" s="29">
        <f>IF(ISNUMBER(D206),ABS(D206),"")</f>
        <v/>
      </c>
      <c r="F206" s="105">
        <f>IFERROR(IF(INDEX(Polymarket!$C$25:$C$275,MATCH($A206,Polymarket!$A$25:$A$275,0))=0,"",INDEX(Polymarket!$C$25:$C$275,MATCH($A206,Polymarket!$A$25:$A$275,0))),"")</f>
        <v/>
      </c>
      <c r="G206" s="105">
        <f>IFERROR(IF(INDEX(Kalshi!$G$31:$G$458,MATCH($A206,Kalshi!$A$31:$A$458,0))=0,"",INDEX(Kalshi!$G$31:$G$458,MATCH($A206,Kalshi!$A$31:$A$458,0))),"")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4">
        <f>IFERROR(IF(INDEX(Polymarket!$B$25:$B$275,MATCH($A207,Polymarket!$A$25:$A$275,0))=0,"",INDEX(Polymarket!$B$25:$B$275,MATCH($A207,Polymarket!$A$25:$A$275,0))),"")</f>
        <v/>
      </c>
      <c r="C207" s="104">
        <f>IFERROR(IF(INDEX(Kalshi!$D$31:$D$458,MATCH($A207,Kalshi!$A$31:$A$458,0))=0,"",INDEX(Kalshi!$D$31:$D$458,MATCH($A207,Kalshi!$A$31:$A$458,0))),"")</f>
        <v/>
      </c>
      <c r="D207" s="18">
        <f>IF(AND(ISNUMBER(B207),ISNUMBER(C207)),B207-C207,"")</f>
        <v/>
      </c>
      <c r="E207" s="17">
        <f>IF(ISNUMBER(D207),ABS(D207),"")</f>
        <v/>
      </c>
      <c r="F207" s="104">
        <f>IFERROR(IF(INDEX(Polymarket!$C$25:$C$275,MATCH($A207,Polymarket!$A$25:$A$275,0))=0,"",INDEX(Polymarket!$C$25:$C$275,MATCH($A207,Polymarket!$A$25:$A$275,0))),"")</f>
        <v/>
      </c>
      <c r="G207" s="104">
        <f>IFERROR(IF(INDEX(Kalshi!$G$31:$G$458,MATCH($A207,Kalshi!$A$31:$A$458,0))=0,"",INDEX(Kalshi!$G$31:$G$458,MATCH($A207,Kalshi!$A$31:$A$458,0))),"")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5">
        <f>IFERROR(IF(INDEX(Polymarket!$B$25:$B$275,MATCH($A208,Polymarket!$A$25:$A$275,0))=0,"",INDEX(Polymarket!$B$25:$B$275,MATCH($A208,Polymarket!$A$25:$A$275,0))),"")</f>
        <v/>
      </c>
      <c r="C208" s="105">
        <f>IFERROR(IF(INDEX(Kalshi!$D$31:$D$458,MATCH($A208,Kalshi!$A$31:$A$458,0))=0,"",INDEX(Kalshi!$D$31:$D$458,MATCH($A208,Kalshi!$A$31:$A$458,0))),"")</f>
        <v/>
      </c>
      <c r="D208" s="31">
        <f>IF(AND(ISNUMBER(B208),ISNUMBER(C208)),B208-C208,"")</f>
        <v/>
      </c>
      <c r="E208" s="29">
        <f>IF(ISNUMBER(D208),ABS(D208),"")</f>
        <v/>
      </c>
      <c r="F208" s="105">
        <f>IFERROR(IF(INDEX(Polymarket!$C$25:$C$275,MATCH($A208,Polymarket!$A$25:$A$275,0))=0,"",INDEX(Polymarket!$C$25:$C$275,MATCH($A208,Polymarket!$A$25:$A$275,0))),"")</f>
        <v/>
      </c>
      <c r="G208" s="105">
        <f>IFERROR(IF(INDEX(Kalshi!$G$31:$G$458,MATCH($A208,Kalshi!$A$31:$A$458,0))=0,"",INDEX(Kalshi!$G$31:$G$458,MATCH($A208,Kalshi!$A$31:$A$458,0))),"")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4">
        <f>IFERROR(IF(INDEX(Polymarket!$B$25:$B$275,MATCH($A209,Polymarket!$A$25:$A$275,0))=0,"",INDEX(Polymarket!$B$25:$B$275,MATCH($A209,Polymarket!$A$25:$A$275,0))),"")</f>
        <v/>
      </c>
      <c r="C209" s="104">
        <f>IFERROR(IF(INDEX(Kalshi!$D$31:$D$458,MATCH($A209,Kalshi!$A$31:$A$458,0))=0,"",INDEX(Kalshi!$D$31:$D$458,MATCH($A209,Kalshi!$A$31:$A$458,0))),"")</f>
        <v/>
      </c>
      <c r="D209" s="18">
        <f>IF(AND(ISNUMBER(B209),ISNUMBER(C209)),B209-C209,"")</f>
        <v/>
      </c>
      <c r="E209" s="17">
        <f>IF(ISNUMBER(D209),ABS(D209),"")</f>
        <v/>
      </c>
      <c r="F209" s="104">
        <f>IFERROR(IF(INDEX(Polymarket!$C$25:$C$275,MATCH($A209,Polymarket!$A$25:$A$275,0))=0,"",INDEX(Polymarket!$C$25:$C$275,MATCH($A209,Polymarket!$A$25:$A$275,0))),"")</f>
        <v/>
      </c>
      <c r="G209" s="104">
        <f>IFERROR(IF(INDEX(Kalshi!$G$31:$G$458,MATCH($A209,Kalshi!$A$31:$A$458,0))=0,"",INDEX(Kalshi!$G$31:$G$458,MATCH($A209,Kalshi!$A$31:$A$458,0))),"")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5">
        <f>IFERROR(IF(INDEX(Polymarket!$B$25:$B$275,MATCH($A210,Polymarket!$A$25:$A$275,0))=0,"",INDEX(Polymarket!$B$25:$B$275,MATCH($A210,Polymarket!$A$25:$A$275,0))),"")</f>
        <v/>
      </c>
      <c r="C210" s="105">
        <f>IFERROR(IF(INDEX(Kalshi!$D$31:$D$458,MATCH($A210,Kalshi!$A$31:$A$458,0))=0,"",INDEX(Kalshi!$D$31:$D$458,MATCH($A210,Kalshi!$A$31:$A$458,0))),"")</f>
        <v/>
      </c>
      <c r="D210" s="31">
        <f>IF(AND(ISNUMBER(B210),ISNUMBER(C210)),B210-C210,"")</f>
        <v/>
      </c>
      <c r="E210" s="29">
        <f>IF(ISNUMBER(D210),ABS(D210),"")</f>
        <v/>
      </c>
      <c r="F210" s="105">
        <f>IFERROR(IF(INDEX(Polymarket!$C$25:$C$275,MATCH($A210,Polymarket!$A$25:$A$275,0))=0,"",INDEX(Polymarket!$C$25:$C$275,MATCH($A210,Polymarket!$A$25:$A$275,0))),"")</f>
        <v/>
      </c>
      <c r="G210" s="105">
        <f>IFERROR(IF(INDEX(Kalshi!$G$31:$G$458,MATCH($A210,Kalshi!$A$31:$A$458,0))=0,"",INDEX(Kalshi!$G$31:$G$458,MATCH($A210,Kalshi!$A$31:$A$458,0))),"")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4">
        <f>IFERROR(IF(INDEX(Polymarket!$B$25:$B$275,MATCH($A211,Polymarket!$A$25:$A$275,0))=0,"",INDEX(Polymarket!$B$25:$B$275,MATCH($A211,Polymarket!$A$25:$A$275,0))),"")</f>
        <v/>
      </c>
      <c r="C211" s="104">
        <f>IFERROR(IF(INDEX(Kalshi!$D$31:$D$458,MATCH($A211,Kalshi!$A$31:$A$458,0))=0,"",INDEX(Kalshi!$D$31:$D$458,MATCH($A211,Kalshi!$A$31:$A$458,0))),"")</f>
        <v/>
      </c>
      <c r="D211" s="18">
        <f>IF(AND(ISNUMBER(B211),ISNUMBER(C211)),B211-C211,"")</f>
        <v/>
      </c>
      <c r="E211" s="17">
        <f>IF(ISNUMBER(D211),ABS(D211),"")</f>
        <v/>
      </c>
      <c r="F211" s="104">
        <f>IFERROR(IF(INDEX(Polymarket!$C$25:$C$275,MATCH($A211,Polymarket!$A$25:$A$275,0))=0,"",INDEX(Polymarket!$C$25:$C$275,MATCH($A211,Polymarket!$A$25:$A$275,0))),"")</f>
        <v/>
      </c>
      <c r="G211" s="104">
        <f>IFERROR(IF(INDEX(Kalshi!$G$31:$G$458,MATCH($A211,Kalshi!$A$31:$A$458,0))=0,"",INDEX(Kalshi!$G$31:$G$458,MATCH($A211,Kalshi!$A$31:$A$458,0))),"")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5">
        <f>IFERROR(IF(INDEX(Polymarket!$B$25:$B$275,MATCH($A212,Polymarket!$A$25:$A$275,0))=0,"",INDEX(Polymarket!$B$25:$B$275,MATCH($A212,Polymarket!$A$25:$A$275,0))),"")</f>
        <v/>
      </c>
      <c r="C212" s="105">
        <f>IFERROR(IF(INDEX(Kalshi!$D$31:$D$458,MATCH($A212,Kalshi!$A$31:$A$458,0))=0,"",INDEX(Kalshi!$D$31:$D$458,MATCH($A212,Kalshi!$A$31:$A$458,0))),"")</f>
        <v/>
      </c>
      <c r="D212" s="31">
        <f>IF(AND(ISNUMBER(B212),ISNUMBER(C212)),B212-C212,"")</f>
        <v/>
      </c>
      <c r="E212" s="29">
        <f>IF(ISNUMBER(D212),ABS(D212),"")</f>
        <v/>
      </c>
      <c r="F212" s="105">
        <f>IFERROR(IF(INDEX(Polymarket!$C$25:$C$275,MATCH($A212,Polymarket!$A$25:$A$275,0))=0,"",INDEX(Polymarket!$C$25:$C$275,MATCH($A212,Polymarket!$A$25:$A$275,0))),"")</f>
        <v/>
      </c>
      <c r="G212" s="105">
        <f>IFERROR(IF(INDEX(Kalshi!$G$31:$G$458,MATCH($A212,Kalshi!$A$31:$A$458,0))=0,"",INDEX(Kalshi!$G$31:$G$458,MATCH($A212,Kalshi!$A$31:$A$458,0))),"")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4">
        <f>IFERROR(IF(INDEX(Polymarket!$B$25:$B$275,MATCH($A213,Polymarket!$A$25:$A$275,0))=0,"",INDEX(Polymarket!$B$25:$B$275,MATCH($A213,Polymarket!$A$25:$A$275,0))),"")</f>
        <v/>
      </c>
      <c r="C213" s="104">
        <f>IFERROR(IF(INDEX(Kalshi!$D$31:$D$458,MATCH($A213,Kalshi!$A$31:$A$458,0))=0,"",INDEX(Kalshi!$D$31:$D$458,MATCH($A213,Kalshi!$A$31:$A$458,0))),"")</f>
        <v/>
      </c>
      <c r="D213" s="18">
        <f>IF(AND(ISNUMBER(B213),ISNUMBER(C213)),B213-C213,"")</f>
        <v/>
      </c>
      <c r="E213" s="17">
        <f>IF(ISNUMBER(D213),ABS(D213),"")</f>
        <v/>
      </c>
      <c r="F213" s="104">
        <f>IFERROR(IF(INDEX(Polymarket!$C$25:$C$275,MATCH($A213,Polymarket!$A$25:$A$275,0))=0,"",INDEX(Polymarket!$C$25:$C$275,MATCH($A213,Polymarket!$A$25:$A$275,0))),"")</f>
        <v/>
      </c>
      <c r="G213" s="104">
        <f>IFERROR(IF(INDEX(Kalshi!$G$31:$G$458,MATCH($A213,Kalshi!$A$31:$A$458,0))=0,"",INDEX(Kalshi!$G$31:$G$458,MATCH($A213,Kalshi!$A$31:$A$458,0))),"")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5">
        <f>IFERROR(IF(INDEX(Polymarket!$B$25:$B$275,MATCH($A214,Polymarket!$A$25:$A$275,0))=0,"",INDEX(Polymarket!$B$25:$B$275,MATCH($A214,Polymarket!$A$25:$A$275,0))),"")</f>
        <v/>
      </c>
      <c r="C214" s="105">
        <f>IFERROR(IF(INDEX(Kalshi!$D$31:$D$458,MATCH($A214,Kalshi!$A$31:$A$458,0))=0,"",INDEX(Kalshi!$D$31:$D$458,MATCH($A214,Kalshi!$A$31:$A$458,0))),"")</f>
        <v/>
      </c>
      <c r="D214" s="31">
        <f>IF(AND(ISNUMBER(B214),ISNUMBER(C214)),B214-C214,"")</f>
        <v/>
      </c>
      <c r="E214" s="29">
        <f>IF(ISNUMBER(D214),ABS(D214),"")</f>
        <v/>
      </c>
      <c r="F214" s="105">
        <f>IFERROR(IF(INDEX(Polymarket!$C$25:$C$275,MATCH($A214,Polymarket!$A$25:$A$275,0))=0,"",INDEX(Polymarket!$C$25:$C$275,MATCH($A214,Polymarket!$A$25:$A$275,0))),"")</f>
        <v/>
      </c>
      <c r="G214" s="105">
        <f>IFERROR(IF(INDEX(Kalshi!$G$31:$G$458,MATCH($A214,Kalshi!$A$31:$A$458,0))=0,"",INDEX(Kalshi!$G$31:$G$458,MATCH($A214,Kalshi!$A$31:$A$458,0))),"")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4">
        <f>IFERROR(IF(INDEX(Polymarket!$B$25:$B$275,MATCH($A215,Polymarket!$A$25:$A$275,0))=0,"",INDEX(Polymarket!$B$25:$B$275,MATCH($A215,Polymarket!$A$25:$A$275,0))),"")</f>
        <v/>
      </c>
      <c r="C215" s="104">
        <f>IFERROR(IF(INDEX(Kalshi!$D$31:$D$458,MATCH($A215,Kalshi!$A$31:$A$458,0))=0,"",INDEX(Kalshi!$D$31:$D$458,MATCH($A215,Kalshi!$A$31:$A$458,0))),"")</f>
        <v/>
      </c>
      <c r="D215" s="18">
        <f>IF(AND(ISNUMBER(B215),ISNUMBER(C215)),B215-C215,"")</f>
        <v/>
      </c>
      <c r="E215" s="17">
        <f>IF(ISNUMBER(D215),ABS(D215),"")</f>
        <v/>
      </c>
      <c r="F215" s="104">
        <f>IFERROR(IF(INDEX(Polymarket!$C$25:$C$275,MATCH($A215,Polymarket!$A$25:$A$275,0))=0,"",INDEX(Polymarket!$C$25:$C$275,MATCH($A215,Polymarket!$A$25:$A$275,0))),"")</f>
        <v/>
      </c>
      <c r="G215" s="104">
        <f>IFERROR(IF(INDEX(Kalshi!$G$31:$G$458,MATCH($A215,Kalshi!$A$31:$A$458,0))=0,"",INDEX(Kalshi!$G$31:$G$458,MATCH($A215,Kalshi!$A$31:$A$458,0))),"")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5">
        <f>IFERROR(IF(INDEX(Polymarket!$B$25:$B$275,MATCH($A216,Polymarket!$A$25:$A$275,0))=0,"",INDEX(Polymarket!$B$25:$B$275,MATCH($A216,Polymarket!$A$25:$A$275,0))),"")</f>
        <v/>
      </c>
      <c r="C216" s="105">
        <f>IFERROR(IF(INDEX(Kalshi!$D$31:$D$458,MATCH($A216,Kalshi!$A$31:$A$458,0))=0,"",INDEX(Kalshi!$D$31:$D$458,MATCH($A216,Kalshi!$A$31:$A$458,0))),"")</f>
        <v/>
      </c>
      <c r="D216" s="31">
        <f>IF(AND(ISNUMBER(B216),ISNUMBER(C216)),B216-C216,"")</f>
        <v/>
      </c>
      <c r="E216" s="29">
        <f>IF(ISNUMBER(D216),ABS(D216),"")</f>
        <v/>
      </c>
      <c r="F216" s="105">
        <f>IFERROR(IF(INDEX(Polymarket!$C$25:$C$275,MATCH($A216,Polymarket!$A$25:$A$275,0))=0,"",INDEX(Polymarket!$C$25:$C$275,MATCH($A216,Polymarket!$A$25:$A$275,0))),"")</f>
        <v/>
      </c>
      <c r="G216" s="105">
        <f>IFERROR(IF(INDEX(Kalshi!$G$31:$G$458,MATCH($A216,Kalshi!$A$31:$A$458,0))=0,"",INDEX(Kalshi!$G$31:$G$458,MATCH($A216,Kalshi!$A$31:$A$458,0))),"")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4">
        <f>IFERROR(IF(INDEX(Polymarket!$B$25:$B$275,MATCH($A217,Polymarket!$A$25:$A$275,0))=0,"",INDEX(Polymarket!$B$25:$B$275,MATCH($A217,Polymarket!$A$25:$A$275,0))),"")</f>
        <v/>
      </c>
      <c r="C217" s="104">
        <f>IFERROR(IF(INDEX(Kalshi!$D$31:$D$458,MATCH($A217,Kalshi!$A$31:$A$458,0))=0,"",INDEX(Kalshi!$D$31:$D$458,MATCH($A217,Kalshi!$A$31:$A$458,0))),"")</f>
        <v/>
      </c>
      <c r="D217" s="18">
        <f>IF(AND(ISNUMBER(B217),ISNUMBER(C217)),B217-C217,"")</f>
        <v/>
      </c>
      <c r="E217" s="17">
        <f>IF(ISNUMBER(D217),ABS(D217),"")</f>
        <v/>
      </c>
      <c r="F217" s="104">
        <f>IFERROR(IF(INDEX(Polymarket!$C$25:$C$275,MATCH($A217,Polymarket!$A$25:$A$275,0))=0,"",INDEX(Polymarket!$C$25:$C$275,MATCH($A217,Polymarket!$A$25:$A$275,0))),"")</f>
        <v/>
      </c>
      <c r="G217" s="104">
        <f>IFERROR(IF(INDEX(Kalshi!$G$31:$G$458,MATCH($A217,Kalshi!$A$31:$A$458,0))=0,"",INDEX(Kalshi!$G$31:$G$458,MATCH($A217,Kalshi!$A$31:$A$458,0))),"")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5">
        <f>IFERROR(IF(INDEX(Polymarket!$B$25:$B$275,MATCH($A218,Polymarket!$A$25:$A$275,0))=0,"",INDEX(Polymarket!$B$25:$B$275,MATCH($A218,Polymarket!$A$25:$A$275,0))),"")</f>
        <v/>
      </c>
      <c r="C218" s="105">
        <f>IFERROR(IF(INDEX(Kalshi!$D$31:$D$458,MATCH($A218,Kalshi!$A$31:$A$458,0))=0,"",INDEX(Kalshi!$D$31:$D$458,MATCH($A218,Kalshi!$A$31:$A$458,0))),"")</f>
        <v/>
      </c>
      <c r="D218" s="31">
        <f>IF(AND(ISNUMBER(B218),ISNUMBER(C218)),B218-C218,"")</f>
        <v/>
      </c>
      <c r="E218" s="29">
        <f>IF(ISNUMBER(D218),ABS(D218),"")</f>
        <v/>
      </c>
      <c r="F218" s="105">
        <f>IFERROR(IF(INDEX(Polymarket!$C$25:$C$275,MATCH($A218,Polymarket!$A$25:$A$275,0))=0,"",INDEX(Polymarket!$C$25:$C$275,MATCH($A218,Polymarket!$A$25:$A$275,0))),"")</f>
        <v/>
      </c>
      <c r="G218" s="105">
        <f>IFERROR(IF(INDEX(Kalshi!$G$31:$G$458,MATCH($A218,Kalshi!$A$31:$A$458,0))=0,"",INDEX(Kalshi!$G$31:$G$458,MATCH($A218,Kalshi!$A$31:$A$458,0))),"")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4">
        <f>IFERROR(IF(INDEX(Polymarket!$B$25:$B$275,MATCH($A219,Polymarket!$A$25:$A$275,0))=0,"",INDEX(Polymarket!$B$25:$B$275,MATCH($A219,Polymarket!$A$25:$A$275,0))),"")</f>
        <v/>
      </c>
      <c r="C219" s="104">
        <f>IFERROR(IF(INDEX(Kalshi!$D$31:$D$458,MATCH($A219,Kalshi!$A$31:$A$458,0))=0,"",INDEX(Kalshi!$D$31:$D$458,MATCH($A219,Kalshi!$A$31:$A$458,0))),"")</f>
        <v/>
      </c>
      <c r="D219" s="18">
        <f>IF(AND(ISNUMBER(B219),ISNUMBER(C219)),B219-C219,"")</f>
        <v/>
      </c>
      <c r="E219" s="17">
        <f>IF(ISNUMBER(D219),ABS(D219),"")</f>
        <v/>
      </c>
      <c r="F219" s="104">
        <f>IFERROR(IF(INDEX(Polymarket!$C$25:$C$275,MATCH($A219,Polymarket!$A$25:$A$275,0))=0,"",INDEX(Polymarket!$C$25:$C$275,MATCH($A219,Polymarket!$A$25:$A$275,0))),"")</f>
        <v/>
      </c>
      <c r="G219" s="104">
        <f>IFERROR(IF(INDEX(Kalshi!$G$31:$G$458,MATCH($A219,Kalshi!$A$31:$A$458,0))=0,"",INDEX(Kalshi!$G$31:$G$458,MATCH($A219,Kalshi!$A$31:$A$458,0))),"")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5">
        <f>IFERROR(IF(INDEX(Polymarket!$B$25:$B$275,MATCH($A220,Polymarket!$A$25:$A$275,0))=0,"",INDEX(Polymarket!$B$25:$B$275,MATCH($A220,Polymarket!$A$25:$A$275,0))),"")</f>
        <v/>
      </c>
      <c r="C220" s="105">
        <f>IFERROR(IF(INDEX(Kalshi!$D$31:$D$458,MATCH($A220,Kalshi!$A$31:$A$458,0))=0,"",INDEX(Kalshi!$D$31:$D$458,MATCH($A220,Kalshi!$A$31:$A$458,0))),"")</f>
        <v/>
      </c>
      <c r="D220" s="31">
        <f>IF(AND(ISNUMBER(B220),ISNUMBER(C220)),B220-C220,"")</f>
        <v/>
      </c>
      <c r="E220" s="29">
        <f>IF(ISNUMBER(D220),ABS(D220),"")</f>
        <v/>
      </c>
      <c r="F220" s="105">
        <f>IFERROR(IF(INDEX(Polymarket!$C$25:$C$275,MATCH($A220,Polymarket!$A$25:$A$275,0))=0,"",INDEX(Polymarket!$C$25:$C$275,MATCH($A220,Polymarket!$A$25:$A$275,0))),"")</f>
        <v/>
      </c>
      <c r="G220" s="105">
        <f>IFERROR(IF(INDEX(Kalshi!$G$31:$G$458,MATCH($A220,Kalshi!$A$31:$A$458,0))=0,"",INDEX(Kalshi!$G$31:$G$458,MATCH($A220,Kalshi!$A$31:$A$458,0))),"")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4">
        <f>IFERROR(IF(INDEX(Polymarket!$B$25:$B$275,MATCH($A221,Polymarket!$A$25:$A$275,0))=0,"",INDEX(Polymarket!$B$25:$B$275,MATCH($A221,Polymarket!$A$25:$A$275,0))),"")</f>
        <v/>
      </c>
      <c r="C221" s="104">
        <f>IFERROR(IF(INDEX(Kalshi!$D$31:$D$458,MATCH($A221,Kalshi!$A$31:$A$458,0))=0,"",INDEX(Kalshi!$D$31:$D$458,MATCH($A221,Kalshi!$A$31:$A$458,0))),"")</f>
        <v/>
      </c>
      <c r="D221" s="18">
        <f>IF(AND(ISNUMBER(B221),ISNUMBER(C221)),B221-C221,"")</f>
        <v/>
      </c>
      <c r="E221" s="17">
        <f>IF(ISNUMBER(D221),ABS(D221),"")</f>
        <v/>
      </c>
      <c r="F221" s="104">
        <f>IFERROR(IF(INDEX(Polymarket!$C$25:$C$275,MATCH($A221,Polymarket!$A$25:$A$275,0))=0,"",INDEX(Polymarket!$C$25:$C$275,MATCH($A221,Polymarket!$A$25:$A$275,0))),"")</f>
        <v/>
      </c>
      <c r="G221" s="104">
        <f>IFERROR(IF(INDEX(Kalshi!$G$31:$G$458,MATCH($A221,Kalshi!$A$31:$A$458,0))=0,"",INDEX(Kalshi!$G$31:$G$458,MATCH($A221,Kalshi!$A$31:$A$458,0))),"")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5">
        <f>IFERROR(IF(INDEX(Polymarket!$B$25:$B$275,MATCH($A222,Polymarket!$A$25:$A$275,0))=0,"",INDEX(Polymarket!$B$25:$B$275,MATCH($A222,Polymarket!$A$25:$A$275,0))),"")</f>
        <v/>
      </c>
      <c r="C222" s="105">
        <f>IFERROR(IF(INDEX(Kalshi!$D$31:$D$458,MATCH($A222,Kalshi!$A$31:$A$458,0))=0,"",INDEX(Kalshi!$D$31:$D$458,MATCH($A222,Kalshi!$A$31:$A$458,0))),"")</f>
        <v/>
      </c>
      <c r="D222" s="31">
        <f>IF(AND(ISNUMBER(B222),ISNUMBER(C222)),B222-C222,"")</f>
        <v/>
      </c>
      <c r="E222" s="29">
        <f>IF(ISNUMBER(D222),ABS(D222),"")</f>
        <v/>
      </c>
      <c r="F222" s="105">
        <f>IFERROR(IF(INDEX(Polymarket!$C$25:$C$275,MATCH($A222,Polymarket!$A$25:$A$275,0))=0,"",INDEX(Polymarket!$C$25:$C$275,MATCH($A222,Polymarket!$A$25:$A$275,0))),"")</f>
        <v/>
      </c>
      <c r="G222" s="105">
        <f>IFERROR(IF(INDEX(Kalshi!$G$31:$G$458,MATCH($A222,Kalshi!$A$31:$A$458,0))=0,"",INDEX(Kalshi!$G$31:$G$458,MATCH($A222,Kalshi!$A$31:$A$458,0))),"")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4">
        <f>IFERROR(IF(INDEX(Polymarket!$B$25:$B$275,MATCH($A223,Polymarket!$A$25:$A$275,0))=0,"",INDEX(Polymarket!$B$25:$B$275,MATCH($A223,Polymarket!$A$25:$A$275,0))),"")</f>
        <v/>
      </c>
      <c r="C223" s="104">
        <f>IFERROR(IF(INDEX(Kalshi!$D$31:$D$458,MATCH($A223,Kalshi!$A$31:$A$458,0))=0,"",INDEX(Kalshi!$D$31:$D$458,MATCH($A223,Kalshi!$A$31:$A$458,0))),"")</f>
        <v/>
      </c>
      <c r="D223" s="18">
        <f>IF(AND(ISNUMBER(B223),ISNUMBER(C223)),B223-C223,"")</f>
        <v/>
      </c>
      <c r="E223" s="17">
        <f>IF(ISNUMBER(D223),ABS(D223),"")</f>
        <v/>
      </c>
      <c r="F223" s="104">
        <f>IFERROR(IF(INDEX(Polymarket!$C$25:$C$275,MATCH($A223,Polymarket!$A$25:$A$275,0))=0,"",INDEX(Polymarket!$C$25:$C$275,MATCH($A223,Polymarket!$A$25:$A$275,0))),"")</f>
        <v/>
      </c>
      <c r="G223" s="104">
        <f>IFERROR(IF(INDEX(Kalshi!$G$31:$G$458,MATCH($A223,Kalshi!$A$31:$A$458,0))=0,"",INDEX(Kalshi!$G$31:$G$458,MATCH($A223,Kalshi!$A$31:$A$458,0))),"")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5">
        <f>IFERROR(IF(INDEX(Polymarket!$B$25:$B$275,MATCH($A224,Polymarket!$A$25:$A$275,0))=0,"",INDEX(Polymarket!$B$25:$B$275,MATCH($A224,Polymarket!$A$25:$A$275,0))),"")</f>
        <v/>
      </c>
      <c r="C224" s="105">
        <f>IFERROR(IF(INDEX(Kalshi!$D$31:$D$458,MATCH($A224,Kalshi!$A$31:$A$458,0))=0,"",INDEX(Kalshi!$D$31:$D$458,MATCH($A224,Kalshi!$A$31:$A$458,0))),"")</f>
        <v/>
      </c>
      <c r="D224" s="31">
        <f>IF(AND(ISNUMBER(B224),ISNUMBER(C224)),B224-C224,"")</f>
        <v/>
      </c>
      <c r="E224" s="29">
        <f>IF(ISNUMBER(D224),ABS(D224),"")</f>
        <v/>
      </c>
      <c r="F224" s="105">
        <f>IFERROR(IF(INDEX(Polymarket!$C$25:$C$275,MATCH($A224,Polymarket!$A$25:$A$275,0))=0,"",INDEX(Polymarket!$C$25:$C$275,MATCH($A224,Polymarket!$A$25:$A$275,0))),"")</f>
        <v/>
      </c>
      <c r="G224" s="105">
        <f>IFERROR(IF(INDEX(Kalshi!$G$31:$G$458,MATCH($A224,Kalshi!$A$31:$A$458,0))=0,"",INDEX(Kalshi!$G$31:$G$458,MATCH($A224,Kalshi!$A$31:$A$458,0))),"")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4">
        <f>IFERROR(IF(INDEX(Polymarket!$B$25:$B$275,MATCH($A225,Polymarket!$A$25:$A$275,0))=0,"",INDEX(Polymarket!$B$25:$B$275,MATCH($A225,Polymarket!$A$25:$A$275,0))),"")</f>
        <v/>
      </c>
      <c r="C225" s="104">
        <f>IFERROR(IF(INDEX(Kalshi!$D$31:$D$458,MATCH($A225,Kalshi!$A$31:$A$458,0))=0,"",INDEX(Kalshi!$D$31:$D$458,MATCH($A225,Kalshi!$A$31:$A$458,0))),"")</f>
        <v/>
      </c>
      <c r="D225" s="18">
        <f>IF(AND(ISNUMBER(B225),ISNUMBER(C225)),B225-C225,"")</f>
        <v/>
      </c>
      <c r="E225" s="17">
        <f>IF(ISNUMBER(D225),ABS(D225),"")</f>
        <v/>
      </c>
      <c r="F225" s="104">
        <f>IFERROR(IF(INDEX(Polymarket!$C$25:$C$275,MATCH($A225,Polymarket!$A$25:$A$275,0))=0,"",INDEX(Polymarket!$C$25:$C$275,MATCH($A225,Polymarket!$A$25:$A$275,0))),"")</f>
        <v/>
      </c>
      <c r="G225" s="104">
        <f>IFERROR(IF(INDEX(Kalshi!$G$31:$G$458,MATCH($A225,Kalshi!$A$31:$A$458,0))=0,"",INDEX(Kalshi!$G$31:$G$458,MATCH($A225,Kalshi!$A$31:$A$458,0))),"")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5">
        <f>IFERROR(IF(INDEX(Polymarket!$B$25:$B$275,MATCH($A226,Polymarket!$A$25:$A$275,0))=0,"",INDEX(Polymarket!$B$25:$B$275,MATCH($A226,Polymarket!$A$25:$A$275,0))),"")</f>
        <v/>
      </c>
      <c r="C226" s="105">
        <f>IFERROR(IF(INDEX(Kalshi!$D$31:$D$458,MATCH($A226,Kalshi!$A$31:$A$458,0))=0,"",INDEX(Kalshi!$D$31:$D$458,MATCH($A226,Kalshi!$A$31:$A$458,0))),"")</f>
        <v/>
      </c>
      <c r="D226" s="31">
        <f>IF(AND(ISNUMBER(B226),ISNUMBER(C226)),B226-C226,"")</f>
        <v/>
      </c>
      <c r="E226" s="29">
        <f>IF(ISNUMBER(D226),ABS(D226),"")</f>
        <v/>
      </c>
      <c r="F226" s="105">
        <f>IFERROR(IF(INDEX(Polymarket!$C$25:$C$275,MATCH($A226,Polymarket!$A$25:$A$275,0))=0,"",INDEX(Polymarket!$C$25:$C$275,MATCH($A226,Polymarket!$A$25:$A$275,0))),"")</f>
        <v/>
      </c>
      <c r="G226" s="105">
        <f>IFERROR(IF(INDEX(Kalshi!$G$31:$G$458,MATCH($A226,Kalshi!$A$31:$A$458,0))=0,"",INDEX(Kalshi!$G$31:$G$458,MATCH($A226,Kalshi!$A$31:$A$458,0))),"")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4">
        <f>IFERROR(IF(INDEX(Polymarket!$B$25:$B$275,MATCH($A227,Polymarket!$A$25:$A$275,0))=0,"",INDEX(Polymarket!$B$25:$B$275,MATCH($A227,Polymarket!$A$25:$A$275,0))),"")</f>
        <v/>
      </c>
      <c r="C227" s="104">
        <f>IFERROR(IF(INDEX(Kalshi!$D$31:$D$458,MATCH($A227,Kalshi!$A$31:$A$458,0))=0,"",INDEX(Kalshi!$D$31:$D$458,MATCH($A227,Kalshi!$A$31:$A$458,0))),"")</f>
        <v/>
      </c>
      <c r="D227" s="18">
        <f>IF(AND(ISNUMBER(B227),ISNUMBER(C227)),B227-C227,"")</f>
        <v/>
      </c>
      <c r="E227" s="17">
        <f>IF(ISNUMBER(D227),ABS(D227),"")</f>
        <v/>
      </c>
      <c r="F227" s="104">
        <f>IFERROR(IF(INDEX(Polymarket!$C$25:$C$275,MATCH($A227,Polymarket!$A$25:$A$275,0))=0,"",INDEX(Polymarket!$C$25:$C$275,MATCH($A227,Polymarket!$A$25:$A$275,0))),"")</f>
        <v/>
      </c>
      <c r="G227" s="104">
        <f>IFERROR(IF(INDEX(Kalshi!$G$31:$G$458,MATCH($A227,Kalshi!$A$31:$A$458,0))=0,"",INDEX(Kalshi!$G$31:$G$458,MATCH($A227,Kalshi!$A$31:$A$458,0))),"")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5">
        <f>IFERROR(IF(INDEX(Polymarket!$B$25:$B$275,MATCH($A228,Polymarket!$A$25:$A$275,0))=0,"",INDEX(Polymarket!$B$25:$B$275,MATCH($A228,Polymarket!$A$25:$A$275,0))),"")</f>
        <v/>
      </c>
      <c r="C228" s="105">
        <f>IFERROR(IF(INDEX(Kalshi!$D$31:$D$458,MATCH($A228,Kalshi!$A$31:$A$458,0))=0,"",INDEX(Kalshi!$D$31:$D$458,MATCH($A228,Kalshi!$A$31:$A$458,0))),"")</f>
        <v/>
      </c>
      <c r="D228" s="31">
        <f>IF(AND(ISNUMBER(B228),ISNUMBER(C228)),B228-C228,"")</f>
        <v/>
      </c>
      <c r="E228" s="29">
        <f>IF(ISNUMBER(D228),ABS(D228),"")</f>
        <v/>
      </c>
      <c r="F228" s="105">
        <f>IFERROR(IF(INDEX(Polymarket!$C$25:$C$275,MATCH($A228,Polymarket!$A$25:$A$275,0))=0,"",INDEX(Polymarket!$C$25:$C$275,MATCH($A228,Polymarket!$A$25:$A$275,0))),"")</f>
        <v/>
      </c>
      <c r="G228" s="105">
        <f>IFERROR(IF(INDEX(Kalshi!$G$31:$G$458,MATCH($A228,Kalshi!$A$31:$A$458,0))=0,"",INDEX(Kalshi!$G$31:$G$458,MATCH($A228,Kalshi!$A$31:$A$458,0))),"")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4">
        <f>IFERROR(IF(INDEX(Polymarket!$B$25:$B$275,MATCH($A229,Polymarket!$A$25:$A$275,0))=0,"",INDEX(Polymarket!$B$25:$B$275,MATCH($A229,Polymarket!$A$25:$A$275,0))),"")</f>
        <v/>
      </c>
      <c r="C229" s="104">
        <f>IFERROR(IF(INDEX(Kalshi!$D$31:$D$458,MATCH($A229,Kalshi!$A$31:$A$458,0))=0,"",INDEX(Kalshi!$D$31:$D$458,MATCH($A229,Kalshi!$A$31:$A$458,0))),"")</f>
        <v/>
      </c>
      <c r="D229" s="18">
        <f>IF(AND(ISNUMBER(B229),ISNUMBER(C229)),B229-C229,"")</f>
        <v/>
      </c>
      <c r="E229" s="17">
        <f>IF(ISNUMBER(D229),ABS(D229),"")</f>
        <v/>
      </c>
      <c r="F229" s="104">
        <f>IFERROR(IF(INDEX(Polymarket!$C$25:$C$275,MATCH($A229,Polymarket!$A$25:$A$275,0))=0,"",INDEX(Polymarket!$C$25:$C$275,MATCH($A229,Polymarket!$A$25:$A$275,0))),"")</f>
        <v/>
      </c>
      <c r="G229" s="104">
        <f>IFERROR(IF(INDEX(Kalshi!$G$31:$G$458,MATCH($A229,Kalshi!$A$31:$A$458,0))=0,"",INDEX(Kalshi!$G$31:$G$458,MATCH($A229,Kalshi!$A$31:$A$458,0))),"")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5">
        <f>IFERROR(IF(INDEX(Polymarket!$B$25:$B$275,MATCH($A230,Polymarket!$A$25:$A$275,0))=0,"",INDEX(Polymarket!$B$25:$B$275,MATCH($A230,Polymarket!$A$25:$A$275,0))),"")</f>
        <v/>
      </c>
      <c r="C230" s="105">
        <f>IFERROR(IF(INDEX(Kalshi!$D$31:$D$458,MATCH($A230,Kalshi!$A$31:$A$458,0))=0,"",INDEX(Kalshi!$D$31:$D$458,MATCH($A230,Kalshi!$A$31:$A$458,0))),"")</f>
        <v/>
      </c>
      <c r="D230" s="31">
        <f>IF(AND(ISNUMBER(B230),ISNUMBER(C230)),B230-C230,"")</f>
        <v/>
      </c>
      <c r="E230" s="29">
        <f>IF(ISNUMBER(D230),ABS(D230),"")</f>
        <v/>
      </c>
      <c r="F230" s="105">
        <f>IFERROR(IF(INDEX(Polymarket!$C$25:$C$275,MATCH($A230,Polymarket!$A$25:$A$275,0))=0,"",INDEX(Polymarket!$C$25:$C$275,MATCH($A230,Polymarket!$A$25:$A$275,0))),"")</f>
        <v/>
      </c>
      <c r="G230" s="105">
        <f>IFERROR(IF(INDEX(Kalshi!$G$31:$G$458,MATCH($A230,Kalshi!$A$31:$A$458,0))=0,"",INDEX(Kalshi!$G$31:$G$458,MATCH($A230,Kalshi!$A$31:$A$458,0))),"")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4">
        <f>IFERROR(IF(INDEX(Polymarket!$B$25:$B$275,MATCH($A231,Polymarket!$A$25:$A$275,0))=0,"",INDEX(Polymarket!$B$25:$B$275,MATCH($A231,Polymarket!$A$25:$A$275,0))),"")</f>
        <v/>
      </c>
      <c r="C231" s="104">
        <f>IFERROR(IF(INDEX(Kalshi!$D$31:$D$458,MATCH($A231,Kalshi!$A$31:$A$458,0))=0,"",INDEX(Kalshi!$D$31:$D$458,MATCH($A231,Kalshi!$A$31:$A$458,0))),"")</f>
        <v/>
      </c>
      <c r="D231" s="18">
        <f>IF(AND(ISNUMBER(B231),ISNUMBER(C231)),B231-C231,"")</f>
        <v/>
      </c>
      <c r="E231" s="17">
        <f>IF(ISNUMBER(D231),ABS(D231),"")</f>
        <v/>
      </c>
      <c r="F231" s="104">
        <f>IFERROR(IF(INDEX(Polymarket!$C$25:$C$275,MATCH($A231,Polymarket!$A$25:$A$275,0))=0,"",INDEX(Polymarket!$C$25:$C$275,MATCH($A231,Polymarket!$A$25:$A$275,0))),"")</f>
        <v/>
      </c>
      <c r="G231" s="104">
        <f>IFERROR(IF(INDEX(Kalshi!$G$31:$G$458,MATCH($A231,Kalshi!$A$31:$A$458,0))=0,"",INDEX(Kalshi!$G$31:$G$458,MATCH($A231,Kalshi!$A$31:$A$458,0))),"")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5">
        <f>IFERROR(IF(INDEX(Polymarket!$B$25:$B$275,MATCH($A232,Polymarket!$A$25:$A$275,0))=0,"",INDEX(Polymarket!$B$25:$B$275,MATCH($A232,Polymarket!$A$25:$A$275,0))),"")</f>
        <v/>
      </c>
      <c r="C232" s="105">
        <f>IFERROR(IF(INDEX(Kalshi!$D$31:$D$458,MATCH($A232,Kalshi!$A$31:$A$458,0))=0,"",INDEX(Kalshi!$D$31:$D$458,MATCH($A232,Kalshi!$A$31:$A$458,0))),"")</f>
        <v/>
      </c>
      <c r="D232" s="31">
        <f>IF(AND(ISNUMBER(B232),ISNUMBER(C232)),B232-C232,"")</f>
        <v/>
      </c>
      <c r="E232" s="29">
        <f>IF(ISNUMBER(D232),ABS(D232),"")</f>
        <v/>
      </c>
      <c r="F232" s="105">
        <f>IFERROR(IF(INDEX(Polymarket!$C$25:$C$275,MATCH($A232,Polymarket!$A$25:$A$275,0))=0,"",INDEX(Polymarket!$C$25:$C$275,MATCH($A232,Polymarket!$A$25:$A$275,0))),"")</f>
        <v/>
      </c>
      <c r="G232" s="105">
        <f>IFERROR(IF(INDEX(Kalshi!$G$31:$G$458,MATCH($A232,Kalshi!$A$31:$A$458,0))=0,"",INDEX(Kalshi!$G$31:$G$458,MATCH($A232,Kalshi!$A$31:$A$458,0))),"")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4">
        <f>IFERROR(IF(INDEX(Polymarket!$B$25:$B$275,MATCH($A233,Polymarket!$A$25:$A$275,0))=0,"",INDEX(Polymarket!$B$25:$B$275,MATCH($A233,Polymarket!$A$25:$A$275,0))),"")</f>
        <v/>
      </c>
      <c r="C233" s="104">
        <f>IFERROR(IF(INDEX(Kalshi!$D$31:$D$458,MATCH($A233,Kalshi!$A$31:$A$458,0))=0,"",INDEX(Kalshi!$D$31:$D$458,MATCH($A233,Kalshi!$A$31:$A$458,0))),"")</f>
        <v/>
      </c>
      <c r="D233" s="18">
        <f>IF(AND(ISNUMBER(B233),ISNUMBER(C233)),B233-C233,"")</f>
        <v/>
      </c>
      <c r="E233" s="17">
        <f>IF(ISNUMBER(D233),ABS(D233),"")</f>
        <v/>
      </c>
      <c r="F233" s="104">
        <f>IFERROR(IF(INDEX(Polymarket!$C$25:$C$275,MATCH($A233,Polymarket!$A$25:$A$275,0))=0,"",INDEX(Polymarket!$C$25:$C$275,MATCH($A233,Polymarket!$A$25:$A$275,0))),"")</f>
        <v/>
      </c>
      <c r="G233" s="104">
        <f>IFERROR(IF(INDEX(Kalshi!$G$31:$G$458,MATCH($A233,Kalshi!$A$31:$A$458,0))=0,"",INDEX(Kalshi!$G$31:$G$458,MATCH($A233,Kalshi!$A$31:$A$458,0))),"")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5">
        <f>IFERROR(IF(INDEX(Polymarket!$B$25:$B$275,MATCH($A234,Polymarket!$A$25:$A$275,0))=0,"",INDEX(Polymarket!$B$25:$B$275,MATCH($A234,Polymarket!$A$25:$A$275,0))),"")</f>
        <v/>
      </c>
      <c r="C234" s="105">
        <f>IFERROR(IF(INDEX(Kalshi!$D$31:$D$458,MATCH($A234,Kalshi!$A$31:$A$458,0))=0,"",INDEX(Kalshi!$D$31:$D$458,MATCH($A234,Kalshi!$A$31:$A$458,0))),"")</f>
        <v/>
      </c>
      <c r="D234" s="31">
        <f>IF(AND(ISNUMBER(B234),ISNUMBER(C234)),B234-C234,"")</f>
        <v/>
      </c>
      <c r="E234" s="29">
        <f>IF(ISNUMBER(D234),ABS(D234),"")</f>
        <v/>
      </c>
      <c r="F234" s="105">
        <f>IFERROR(IF(INDEX(Polymarket!$C$25:$C$275,MATCH($A234,Polymarket!$A$25:$A$275,0))=0,"",INDEX(Polymarket!$C$25:$C$275,MATCH($A234,Polymarket!$A$25:$A$275,0))),"")</f>
        <v/>
      </c>
      <c r="G234" s="105">
        <f>IFERROR(IF(INDEX(Kalshi!$G$31:$G$458,MATCH($A234,Kalshi!$A$31:$A$458,0))=0,"",INDEX(Kalshi!$G$31:$G$458,MATCH($A234,Kalshi!$A$31:$A$458,0))),"")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4">
        <f>IFERROR(IF(INDEX(Polymarket!$B$25:$B$275,MATCH($A235,Polymarket!$A$25:$A$275,0))=0,"",INDEX(Polymarket!$B$25:$B$275,MATCH($A235,Polymarket!$A$25:$A$275,0))),"")</f>
        <v/>
      </c>
      <c r="C235" s="104">
        <f>IFERROR(IF(INDEX(Kalshi!$D$31:$D$458,MATCH($A235,Kalshi!$A$31:$A$458,0))=0,"",INDEX(Kalshi!$D$31:$D$458,MATCH($A235,Kalshi!$A$31:$A$458,0))),"")</f>
        <v/>
      </c>
      <c r="D235" s="18">
        <f>IF(AND(ISNUMBER(B235),ISNUMBER(C235)),B235-C235,"")</f>
        <v/>
      </c>
      <c r="E235" s="17">
        <f>IF(ISNUMBER(D235),ABS(D235),"")</f>
        <v/>
      </c>
      <c r="F235" s="104">
        <f>IFERROR(IF(INDEX(Polymarket!$C$25:$C$275,MATCH($A235,Polymarket!$A$25:$A$275,0))=0,"",INDEX(Polymarket!$C$25:$C$275,MATCH($A235,Polymarket!$A$25:$A$275,0))),"")</f>
        <v/>
      </c>
      <c r="G235" s="104">
        <f>IFERROR(IF(INDEX(Kalshi!$G$31:$G$458,MATCH($A235,Kalshi!$A$31:$A$458,0))=0,"",INDEX(Kalshi!$G$31:$G$458,MATCH($A235,Kalshi!$A$31:$A$458,0))),"")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5">
        <f>IFERROR(IF(INDEX(Polymarket!$B$25:$B$275,MATCH($A236,Polymarket!$A$25:$A$275,0))=0,"",INDEX(Polymarket!$B$25:$B$275,MATCH($A236,Polymarket!$A$25:$A$275,0))),"")</f>
        <v/>
      </c>
      <c r="C236" s="105">
        <f>IFERROR(IF(INDEX(Kalshi!$D$31:$D$458,MATCH($A236,Kalshi!$A$31:$A$458,0))=0,"",INDEX(Kalshi!$D$31:$D$458,MATCH($A236,Kalshi!$A$31:$A$458,0))),"")</f>
        <v/>
      </c>
      <c r="D236" s="31">
        <f>IF(AND(ISNUMBER(B236),ISNUMBER(C236)),B236-C236,"")</f>
        <v/>
      </c>
      <c r="E236" s="29">
        <f>IF(ISNUMBER(D236),ABS(D236),"")</f>
        <v/>
      </c>
      <c r="F236" s="105">
        <f>IFERROR(IF(INDEX(Polymarket!$C$25:$C$275,MATCH($A236,Polymarket!$A$25:$A$275,0))=0,"",INDEX(Polymarket!$C$25:$C$275,MATCH($A236,Polymarket!$A$25:$A$275,0))),"")</f>
        <v/>
      </c>
      <c r="G236" s="105">
        <f>IFERROR(IF(INDEX(Kalshi!$G$31:$G$458,MATCH($A236,Kalshi!$A$31:$A$458,0))=0,"",INDEX(Kalshi!$G$31:$G$458,MATCH($A236,Kalshi!$A$31:$A$458,0))),"")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4">
        <f>IFERROR(IF(INDEX(Polymarket!$B$25:$B$275,MATCH($A237,Polymarket!$A$25:$A$275,0))=0,"",INDEX(Polymarket!$B$25:$B$275,MATCH($A237,Polymarket!$A$25:$A$275,0))),"")</f>
        <v/>
      </c>
      <c r="C237" s="104">
        <f>IFERROR(IF(INDEX(Kalshi!$D$31:$D$458,MATCH($A237,Kalshi!$A$31:$A$458,0))=0,"",INDEX(Kalshi!$D$31:$D$458,MATCH($A237,Kalshi!$A$31:$A$458,0))),"")</f>
        <v/>
      </c>
      <c r="D237" s="18">
        <f>IF(AND(ISNUMBER(B237),ISNUMBER(C237)),B237-C237,"")</f>
        <v/>
      </c>
      <c r="E237" s="17">
        <f>IF(ISNUMBER(D237),ABS(D237),"")</f>
        <v/>
      </c>
      <c r="F237" s="104">
        <f>IFERROR(IF(INDEX(Polymarket!$C$25:$C$275,MATCH($A237,Polymarket!$A$25:$A$275,0))=0,"",INDEX(Polymarket!$C$25:$C$275,MATCH($A237,Polymarket!$A$25:$A$275,0))),"")</f>
        <v/>
      </c>
      <c r="G237" s="104">
        <f>IFERROR(IF(INDEX(Kalshi!$G$31:$G$458,MATCH($A237,Kalshi!$A$31:$A$458,0))=0,"",INDEX(Kalshi!$G$31:$G$458,MATCH($A237,Kalshi!$A$31:$A$458,0))),"")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5">
        <f>IFERROR(IF(INDEX(Polymarket!$B$25:$B$275,MATCH($A238,Polymarket!$A$25:$A$275,0))=0,"",INDEX(Polymarket!$B$25:$B$275,MATCH($A238,Polymarket!$A$25:$A$275,0))),"")</f>
        <v/>
      </c>
      <c r="C238" s="105">
        <f>IFERROR(IF(INDEX(Kalshi!$D$31:$D$458,MATCH($A238,Kalshi!$A$31:$A$458,0))=0,"",INDEX(Kalshi!$D$31:$D$458,MATCH($A238,Kalshi!$A$31:$A$458,0))),"")</f>
        <v/>
      </c>
      <c r="D238" s="31">
        <f>IF(AND(ISNUMBER(B238),ISNUMBER(C238)),B238-C238,"")</f>
        <v/>
      </c>
      <c r="E238" s="29">
        <f>IF(ISNUMBER(D238),ABS(D238),"")</f>
        <v/>
      </c>
      <c r="F238" s="105">
        <f>IFERROR(IF(INDEX(Polymarket!$C$25:$C$275,MATCH($A238,Polymarket!$A$25:$A$275,0))=0,"",INDEX(Polymarket!$C$25:$C$275,MATCH($A238,Polymarket!$A$25:$A$275,0))),"")</f>
        <v/>
      </c>
      <c r="G238" s="105">
        <f>IFERROR(IF(INDEX(Kalshi!$G$31:$G$458,MATCH($A238,Kalshi!$A$31:$A$458,0))=0,"",INDEX(Kalshi!$G$31:$G$458,MATCH($A238,Kalshi!$A$31:$A$458,0))),"")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4">
        <f>IFERROR(IF(INDEX(Polymarket!$B$25:$B$275,MATCH($A239,Polymarket!$A$25:$A$275,0))=0,"",INDEX(Polymarket!$B$25:$B$275,MATCH($A239,Polymarket!$A$25:$A$275,0))),"")</f>
        <v/>
      </c>
      <c r="C239" s="104">
        <f>IFERROR(IF(INDEX(Kalshi!$D$31:$D$458,MATCH($A239,Kalshi!$A$31:$A$458,0))=0,"",INDEX(Kalshi!$D$31:$D$458,MATCH($A239,Kalshi!$A$31:$A$458,0))),"")</f>
        <v/>
      </c>
      <c r="D239" s="18">
        <f>IF(AND(ISNUMBER(B239),ISNUMBER(C239)),B239-C239,"")</f>
        <v/>
      </c>
      <c r="E239" s="17">
        <f>IF(ISNUMBER(D239),ABS(D239),"")</f>
        <v/>
      </c>
      <c r="F239" s="104">
        <f>IFERROR(IF(INDEX(Polymarket!$C$25:$C$275,MATCH($A239,Polymarket!$A$25:$A$275,0))=0,"",INDEX(Polymarket!$C$25:$C$275,MATCH($A239,Polymarket!$A$25:$A$275,0))),"")</f>
        <v/>
      </c>
      <c r="G239" s="104">
        <f>IFERROR(IF(INDEX(Kalshi!$G$31:$G$458,MATCH($A239,Kalshi!$A$31:$A$458,0))=0,"",INDEX(Kalshi!$G$31:$G$458,MATCH($A239,Kalshi!$A$31:$A$458,0))),"")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5">
        <f>IFERROR(IF(INDEX(Polymarket!$B$25:$B$275,MATCH($A240,Polymarket!$A$25:$A$275,0))=0,"",INDEX(Polymarket!$B$25:$B$275,MATCH($A240,Polymarket!$A$25:$A$275,0))),"")</f>
        <v/>
      </c>
      <c r="C240" s="105">
        <f>IFERROR(IF(INDEX(Kalshi!$D$31:$D$458,MATCH($A240,Kalshi!$A$31:$A$458,0))=0,"",INDEX(Kalshi!$D$31:$D$458,MATCH($A240,Kalshi!$A$31:$A$458,0))),"")</f>
        <v/>
      </c>
      <c r="D240" s="31">
        <f>IF(AND(ISNUMBER(B240),ISNUMBER(C240)),B240-C240,"")</f>
        <v/>
      </c>
      <c r="E240" s="29">
        <f>IF(ISNUMBER(D240),ABS(D240),"")</f>
        <v/>
      </c>
      <c r="F240" s="105">
        <f>IFERROR(IF(INDEX(Polymarket!$C$25:$C$275,MATCH($A240,Polymarket!$A$25:$A$275,0))=0,"",INDEX(Polymarket!$C$25:$C$275,MATCH($A240,Polymarket!$A$25:$A$275,0))),"")</f>
        <v/>
      </c>
      <c r="G240" s="105">
        <f>IFERROR(IF(INDEX(Kalshi!$G$31:$G$458,MATCH($A240,Kalshi!$A$31:$A$458,0))=0,"",INDEX(Kalshi!$G$31:$G$458,MATCH($A240,Kalshi!$A$31:$A$458,0))),"")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4">
        <f>IFERROR(IF(INDEX(Polymarket!$B$25:$B$275,MATCH($A241,Polymarket!$A$25:$A$275,0))=0,"",INDEX(Polymarket!$B$25:$B$275,MATCH($A241,Polymarket!$A$25:$A$275,0))),"")</f>
        <v/>
      </c>
      <c r="C241" s="104">
        <f>IFERROR(IF(INDEX(Kalshi!$D$31:$D$458,MATCH($A241,Kalshi!$A$31:$A$458,0))=0,"",INDEX(Kalshi!$D$31:$D$458,MATCH($A241,Kalshi!$A$31:$A$458,0))),"")</f>
        <v/>
      </c>
      <c r="D241" s="18">
        <f>IF(AND(ISNUMBER(B241),ISNUMBER(C241)),B241-C241,"")</f>
        <v/>
      </c>
      <c r="E241" s="17">
        <f>IF(ISNUMBER(D241),ABS(D241),"")</f>
        <v/>
      </c>
      <c r="F241" s="104">
        <f>IFERROR(IF(INDEX(Polymarket!$C$25:$C$275,MATCH($A241,Polymarket!$A$25:$A$275,0))=0,"",INDEX(Polymarket!$C$25:$C$275,MATCH($A241,Polymarket!$A$25:$A$275,0))),"")</f>
        <v/>
      </c>
      <c r="G241" s="104">
        <f>IFERROR(IF(INDEX(Kalshi!$G$31:$G$458,MATCH($A241,Kalshi!$A$31:$A$458,0))=0,"",INDEX(Kalshi!$G$31:$G$458,MATCH($A241,Kalshi!$A$31:$A$458,0))),"")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5">
        <f>IFERROR(IF(INDEX(Polymarket!$B$25:$B$275,MATCH($A242,Polymarket!$A$25:$A$275,0))=0,"",INDEX(Polymarket!$B$25:$B$275,MATCH($A242,Polymarket!$A$25:$A$275,0))),"")</f>
        <v/>
      </c>
      <c r="C242" s="105">
        <f>IFERROR(IF(INDEX(Kalshi!$D$31:$D$458,MATCH($A242,Kalshi!$A$31:$A$458,0))=0,"",INDEX(Kalshi!$D$31:$D$458,MATCH($A242,Kalshi!$A$31:$A$458,0))),"")</f>
        <v/>
      </c>
      <c r="D242" s="31">
        <f>IF(AND(ISNUMBER(B242),ISNUMBER(C242)),B242-C242,"")</f>
        <v/>
      </c>
      <c r="E242" s="29">
        <f>IF(ISNUMBER(D242),ABS(D242),"")</f>
        <v/>
      </c>
      <c r="F242" s="105">
        <f>IFERROR(IF(INDEX(Polymarket!$C$25:$C$275,MATCH($A242,Polymarket!$A$25:$A$275,0))=0,"",INDEX(Polymarket!$C$25:$C$275,MATCH($A242,Polymarket!$A$25:$A$275,0))),"")</f>
        <v/>
      </c>
      <c r="G242" s="105">
        <f>IFERROR(IF(INDEX(Kalshi!$G$31:$G$458,MATCH($A242,Kalshi!$A$31:$A$458,0))=0,"",INDEX(Kalshi!$G$31:$G$458,MATCH($A242,Kalshi!$A$31:$A$458,0))),"")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4">
        <f>IFERROR(IF(INDEX(Polymarket!$B$25:$B$275,MATCH($A243,Polymarket!$A$25:$A$275,0))=0,"",INDEX(Polymarket!$B$25:$B$275,MATCH($A243,Polymarket!$A$25:$A$275,0))),"")</f>
        <v/>
      </c>
      <c r="C243" s="104">
        <f>IFERROR(IF(INDEX(Kalshi!$D$31:$D$458,MATCH($A243,Kalshi!$A$31:$A$458,0))=0,"",INDEX(Kalshi!$D$31:$D$458,MATCH($A243,Kalshi!$A$31:$A$458,0))),"")</f>
        <v/>
      </c>
      <c r="D243" s="18">
        <f>IF(AND(ISNUMBER(B243),ISNUMBER(C243)),B243-C243,"")</f>
        <v/>
      </c>
      <c r="E243" s="17">
        <f>IF(ISNUMBER(D243),ABS(D243),"")</f>
        <v/>
      </c>
      <c r="F243" s="104">
        <f>IFERROR(IF(INDEX(Polymarket!$C$25:$C$275,MATCH($A243,Polymarket!$A$25:$A$275,0))=0,"",INDEX(Polymarket!$C$25:$C$275,MATCH($A243,Polymarket!$A$25:$A$275,0))),"")</f>
        <v/>
      </c>
      <c r="G243" s="104">
        <f>IFERROR(IF(INDEX(Kalshi!$G$31:$G$458,MATCH($A243,Kalshi!$A$31:$A$458,0))=0,"",INDEX(Kalshi!$G$31:$G$458,MATCH($A243,Kalshi!$A$31:$A$458,0))),"")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5">
        <f>IFERROR(IF(INDEX(Polymarket!$B$25:$B$275,MATCH($A244,Polymarket!$A$25:$A$275,0))=0,"",INDEX(Polymarket!$B$25:$B$275,MATCH($A244,Polymarket!$A$25:$A$275,0))),"")</f>
        <v/>
      </c>
      <c r="C244" s="105">
        <f>IFERROR(IF(INDEX(Kalshi!$D$31:$D$458,MATCH($A244,Kalshi!$A$31:$A$458,0))=0,"",INDEX(Kalshi!$D$31:$D$458,MATCH($A244,Kalshi!$A$31:$A$458,0))),"")</f>
        <v/>
      </c>
      <c r="D244" s="31">
        <f>IF(AND(ISNUMBER(B244),ISNUMBER(C244)),B244-C244,"")</f>
        <v/>
      </c>
      <c r="E244" s="29">
        <f>IF(ISNUMBER(D244),ABS(D244),"")</f>
        <v/>
      </c>
      <c r="F244" s="105">
        <f>IFERROR(IF(INDEX(Polymarket!$C$25:$C$275,MATCH($A244,Polymarket!$A$25:$A$275,0))=0,"",INDEX(Polymarket!$C$25:$C$275,MATCH($A244,Polymarket!$A$25:$A$275,0))),"")</f>
        <v/>
      </c>
      <c r="G244" s="105">
        <f>IFERROR(IF(INDEX(Kalshi!$G$31:$G$458,MATCH($A244,Kalshi!$A$31:$A$458,0))=0,"",INDEX(Kalshi!$G$31:$G$458,MATCH($A244,Kalshi!$A$31:$A$458,0))),"")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4">
        <f>IFERROR(IF(INDEX(Polymarket!$B$25:$B$275,MATCH($A245,Polymarket!$A$25:$A$275,0))=0,"",INDEX(Polymarket!$B$25:$B$275,MATCH($A245,Polymarket!$A$25:$A$275,0))),"")</f>
        <v/>
      </c>
      <c r="C245" s="104">
        <f>IFERROR(IF(INDEX(Kalshi!$D$31:$D$458,MATCH($A245,Kalshi!$A$31:$A$458,0))=0,"",INDEX(Kalshi!$D$31:$D$458,MATCH($A245,Kalshi!$A$31:$A$458,0))),"")</f>
        <v/>
      </c>
      <c r="D245" s="18">
        <f>IF(AND(ISNUMBER(B245),ISNUMBER(C245)),B245-C245,"")</f>
        <v/>
      </c>
      <c r="E245" s="17">
        <f>IF(ISNUMBER(D245),ABS(D245),"")</f>
        <v/>
      </c>
      <c r="F245" s="104">
        <f>IFERROR(IF(INDEX(Polymarket!$C$25:$C$275,MATCH($A245,Polymarket!$A$25:$A$275,0))=0,"",INDEX(Polymarket!$C$25:$C$275,MATCH($A245,Polymarket!$A$25:$A$275,0))),"")</f>
        <v/>
      </c>
      <c r="G245" s="104">
        <f>IFERROR(IF(INDEX(Kalshi!$G$31:$G$458,MATCH($A245,Kalshi!$A$31:$A$458,0))=0,"",INDEX(Kalshi!$G$31:$G$458,MATCH($A245,Kalshi!$A$31:$A$458,0))),"")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5">
        <f>IFERROR(IF(INDEX(Polymarket!$B$25:$B$275,MATCH($A246,Polymarket!$A$25:$A$275,0))=0,"",INDEX(Polymarket!$B$25:$B$275,MATCH($A246,Polymarket!$A$25:$A$275,0))),"")</f>
        <v/>
      </c>
      <c r="C246" s="105">
        <f>IFERROR(IF(INDEX(Kalshi!$D$31:$D$458,MATCH($A246,Kalshi!$A$31:$A$458,0))=0,"",INDEX(Kalshi!$D$31:$D$458,MATCH($A246,Kalshi!$A$31:$A$458,0))),"")</f>
        <v/>
      </c>
      <c r="D246" s="31">
        <f>IF(AND(ISNUMBER(B246),ISNUMBER(C246)),B246-C246,"")</f>
        <v/>
      </c>
      <c r="E246" s="29">
        <f>IF(ISNUMBER(D246),ABS(D246),"")</f>
        <v/>
      </c>
      <c r="F246" s="105">
        <f>IFERROR(IF(INDEX(Polymarket!$C$25:$C$275,MATCH($A246,Polymarket!$A$25:$A$275,0))=0,"",INDEX(Polymarket!$C$25:$C$275,MATCH($A246,Polymarket!$A$25:$A$275,0))),"")</f>
        <v/>
      </c>
      <c r="G246" s="105">
        <f>IFERROR(IF(INDEX(Kalshi!$G$31:$G$458,MATCH($A246,Kalshi!$A$31:$A$458,0))=0,"",INDEX(Kalshi!$G$31:$G$458,MATCH($A246,Kalshi!$A$31:$A$458,0))),"")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4">
        <f>IFERROR(IF(INDEX(Polymarket!$B$25:$B$275,MATCH($A247,Polymarket!$A$25:$A$275,0))=0,"",INDEX(Polymarket!$B$25:$B$275,MATCH($A247,Polymarket!$A$25:$A$275,0))),"")</f>
        <v/>
      </c>
      <c r="C247" s="104">
        <f>IFERROR(IF(INDEX(Kalshi!$D$31:$D$458,MATCH($A247,Kalshi!$A$31:$A$458,0))=0,"",INDEX(Kalshi!$D$31:$D$458,MATCH($A247,Kalshi!$A$31:$A$458,0))),"")</f>
        <v/>
      </c>
      <c r="D247" s="18">
        <f>IF(AND(ISNUMBER(B247),ISNUMBER(C247)),B247-C247,"")</f>
        <v/>
      </c>
      <c r="E247" s="17">
        <f>IF(ISNUMBER(D247),ABS(D247),"")</f>
        <v/>
      </c>
      <c r="F247" s="104">
        <f>IFERROR(IF(INDEX(Polymarket!$C$25:$C$275,MATCH($A247,Polymarket!$A$25:$A$275,0))=0,"",INDEX(Polymarket!$C$25:$C$275,MATCH($A247,Polymarket!$A$25:$A$275,0))),"")</f>
        <v/>
      </c>
      <c r="G247" s="104">
        <f>IFERROR(IF(INDEX(Kalshi!$G$31:$G$458,MATCH($A247,Kalshi!$A$31:$A$458,0))=0,"",INDEX(Kalshi!$G$31:$G$458,MATCH($A247,Kalshi!$A$31:$A$458,0))),"")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5">
        <f>IFERROR(IF(INDEX(Polymarket!$B$25:$B$275,MATCH($A248,Polymarket!$A$25:$A$275,0))=0,"",INDEX(Polymarket!$B$25:$B$275,MATCH($A248,Polymarket!$A$25:$A$275,0))),"")</f>
        <v/>
      </c>
      <c r="C248" s="105">
        <f>IFERROR(IF(INDEX(Kalshi!$D$31:$D$458,MATCH($A248,Kalshi!$A$31:$A$458,0))=0,"",INDEX(Kalshi!$D$31:$D$458,MATCH($A248,Kalshi!$A$31:$A$458,0))),"")</f>
        <v/>
      </c>
      <c r="D248" s="31">
        <f>IF(AND(ISNUMBER(B248),ISNUMBER(C248)),B248-C248,"")</f>
        <v/>
      </c>
      <c r="E248" s="29">
        <f>IF(ISNUMBER(D248),ABS(D248),"")</f>
        <v/>
      </c>
      <c r="F248" s="105">
        <f>IFERROR(IF(INDEX(Polymarket!$C$25:$C$275,MATCH($A248,Polymarket!$A$25:$A$275,0))=0,"",INDEX(Polymarket!$C$25:$C$275,MATCH($A248,Polymarket!$A$25:$A$275,0))),"")</f>
        <v/>
      </c>
      <c r="G248" s="105">
        <f>IFERROR(IF(INDEX(Kalshi!$G$31:$G$458,MATCH($A248,Kalshi!$A$31:$A$458,0))=0,"",INDEX(Kalshi!$G$31:$G$458,MATCH($A248,Kalshi!$A$31:$A$458,0))),"")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4">
        <f>IFERROR(IF(INDEX(Polymarket!$B$25:$B$275,MATCH($A249,Polymarket!$A$25:$A$275,0))=0,"",INDEX(Polymarket!$B$25:$B$275,MATCH($A249,Polymarket!$A$25:$A$275,0))),"")</f>
        <v/>
      </c>
      <c r="C249" s="104">
        <f>IFERROR(IF(INDEX(Kalshi!$D$31:$D$458,MATCH($A249,Kalshi!$A$31:$A$458,0))=0,"",INDEX(Kalshi!$D$31:$D$458,MATCH($A249,Kalshi!$A$31:$A$458,0))),"")</f>
        <v/>
      </c>
      <c r="D249" s="18">
        <f>IF(AND(ISNUMBER(B249),ISNUMBER(C249)),B249-C249,"")</f>
        <v/>
      </c>
      <c r="E249" s="17">
        <f>IF(ISNUMBER(D249),ABS(D249),"")</f>
        <v/>
      </c>
      <c r="F249" s="104">
        <f>IFERROR(IF(INDEX(Polymarket!$C$25:$C$275,MATCH($A249,Polymarket!$A$25:$A$275,0))=0,"",INDEX(Polymarket!$C$25:$C$275,MATCH($A249,Polymarket!$A$25:$A$275,0))),"")</f>
        <v/>
      </c>
      <c r="G249" s="104">
        <f>IFERROR(IF(INDEX(Kalshi!$G$31:$G$458,MATCH($A249,Kalshi!$A$31:$A$458,0))=0,"",INDEX(Kalshi!$G$31:$G$458,MATCH($A249,Kalshi!$A$31:$A$458,0))),"")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5">
        <f>IFERROR(IF(INDEX(Polymarket!$B$25:$B$275,MATCH($A250,Polymarket!$A$25:$A$275,0))=0,"",INDEX(Polymarket!$B$25:$B$275,MATCH($A250,Polymarket!$A$25:$A$275,0))),"")</f>
        <v/>
      </c>
      <c r="C250" s="105">
        <f>IFERROR(IF(INDEX(Kalshi!$D$31:$D$458,MATCH($A250,Kalshi!$A$31:$A$458,0))=0,"",INDEX(Kalshi!$D$31:$D$458,MATCH($A250,Kalshi!$A$31:$A$458,0))),"")</f>
        <v/>
      </c>
      <c r="D250" s="31">
        <f>IF(AND(ISNUMBER(B250),ISNUMBER(C250)),B250-C250,"")</f>
        <v/>
      </c>
      <c r="E250" s="29">
        <f>IF(ISNUMBER(D250),ABS(D250),"")</f>
        <v/>
      </c>
      <c r="F250" s="105">
        <f>IFERROR(IF(INDEX(Polymarket!$C$25:$C$275,MATCH($A250,Polymarket!$A$25:$A$275,0))=0,"",INDEX(Polymarket!$C$25:$C$275,MATCH($A250,Polymarket!$A$25:$A$275,0))),"")</f>
        <v/>
      </c>
      <c r="G250" s="105">
        <f>IFERROR(IF(INDEX(Kalshi!$G$31:$G$458,MATCH($A250,Kalshi!$A$31:$A$458,0))=0,"",INDEX(Kalshi!$G$31:$G$458,MATCH($A250,Kalshi!$A$31:$A$458,0))),"")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4">
        <f>IFERROR(IF(INDEX(Polymarket!$B$25:$B$275,MATCH($A251,Polymarket!$A$25:$A$275,0))=0,"",INDEX(Polymarket!$B$25:$B$275,MATCH($A251,Polymarket!$A$25:$A$275,0))),"")</f>
        <v/>
      </c>
      <c r="C251" s="104">
        <f>IFERROR(IF(INDEX(Kalshi!$D$31:$D$458,MATCH($A251,Kalshi!$A$31:$A$458,0))=0,"",INDEX(Kalshi!$D$31:$D$458,MATCH($A251,Kalshi!$A$31:$A$458,0))),"")</f>
        <v/>
      </c>
      <c r="D251" s="18">
        <f>IF(AND(ISNUMBER(B251),ISNUMBER(C251)),B251-C251,"")</f>
        <v/>
      </c>
      <c r="E251" s="17">
        <f>IF(ISNUMBER(D251),ABS(D251),"")</f>
        <v/>
      </c>
      <c r="F251" s="104">
        <f>IFERROR(IF(INDEX(Polymarket!$C$25:$C$275,MATCH($A251,Polymarket!$A$25:$A$275,0))=0,"",INDEX(Polymarket!$C$25:$C$275,MATCH($A251,Polymarket!$A$25:$A$275,0))),"")</f>
        <v/>
      </c>
      <c r="G251" s="104">
        <f>IFERROR(IF(INDEX(Kalshi!$G$31:$G$458,MATCH($A251,Kalshi!$A$31:$A$458,0))=0,"",INDEX(Kalshi!$G$31:$G$458,MATCH($A251,Kalshi!$A$31:$A$458,0))),"")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5">
        <f>IFERROR(IF(INDEX(Polymarket!$B$25:$B$275,MATCH($A252,Polymarket!$A$25:$A$275,0))=0,"",INDEX(Polymarket!$B$25:$B$275,MATCH($A252,Polymarket!$A$25:$A$275,0))),"")</f>
        <v/>
      </c>
      <c r="C252" s="105">
        <f>IFERROR(IF(INDEX(Kalshi!$D$31:$D$458,MATCH($A252,Kalshi!$A$31:$A$458,0))=0,"",INDEX(Kalshi!$D$31:$D$458,MATCH($A252,Kalshi!$A$31:$A$458,0))),"")</f>
        <v/>
      </c>
      <c r="D252" s="31">
        <f>IF(AND(ISNUMBER(B252),ISNUMBER(C252)),B252-C252,"")</f>
        <v/>
      </c>
      <c r="E252" s="29">
        <f>IF(ISNUMBER(D252),ABS(D252),"")</f>
        <v/>
      </c>
      <c r="F252" s="105">
        <f>IFERROR(IF(INDEX(Polymarket!$C$25:$C$275,MATCH($A252,Polymarket!$A$25:$A$275,0))=0,"",INDEX(Polymarket!$C$25:$C$275,MATCH($A252,Polymarket!$A$25:$A$275,0))),"")</f>
        <v/>
      </c>
      <c r="G252" s="105">
        <f>IFERROR(IF(INDEX(Kalshi!$G$31:$G$458,MATCH($A252,Kalshi!$A$31:$A$458,0))=0,"",INDEX(Kalshi!$G$31:$G$458,MATCH($A252,Kalshi!$A$31:$A$458,0))),"")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4">
        <f>IFERROR(IF(INDEX(Polymarket!$B$25:$B$275,MATCH($A253,Polymarket!$A$25:$A$275,0))=0,"",INDEX(Polymarket!$B$25:$B$275,MATCH($A253,Polymarket!$A$25:$A$275,0))),"")</f>
        <v/>
      </c>
      <c r="C253" s="104">
        <f>IFERROR(IF(INDEX(Kalshi!$D$31:$D$458,MATCH($A253,Kalshi!$A$31:$A$458,0))=0,"",INDEX(Kalshi!$D$31:$D$458,MATCH($A253,Kalshi!$A$31:$A$458,0))),"")</f>
        <v/>
      </c>
      <c r="D253" s="18">
        <f>IF(AND(ISNUMBER(B253),ISNUMBER(C253)),B253-C253,"")</f>
        <v/>
      </c>
      <c r="E253" s="17">
        <f>IF(ISNUMBER(D253),ABS(D253),"")</f>
        <v/>
      </c>
      <c r="F253" s="104">
        <f>IFERROR(IF(INDEX(Polymarket!$C$25:$C$275,MATCH($A253,Polymarket!$A$25:$A$275,0))=0,"",INDEX(Polymarket!$C$25:$C$275,MATCH($A253,Polymarket!$A$25:$A$275,0))),"")</f>
        <v/>
      </c>
      <c r="G253" s="104">
        <f>IFERROR(IF(INDEX(Kalshi!$G$31:$G$458,MATCH($A253,Kalshi!$A$31:$A$458,0))=0,"",INDEX(Kalshi!$G$31:$G$458,MATCH($A253,Kalshi!$A$31:$A$458,0))),"")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5">
        <f>IFERROR(IF(INDEX(Polymarket!$B$25:$B$275,MATCH($A254,Polymarket!$A$25:$A$275,0))=0,"",INDEX(Polymarket!$B$25:$B$275,MATCH($A254,Polymarket!$A$25:$A$275,0))),"")</f>
        <v/>
      </c>
      <c r="C254" s="105">
        <f>IFERROR(IF(INDEX(Kalshi!$D$31:$D$458,MATCH($A254,Kalshi!$A$31:$A$458,0))=0,"",INDEX(Kalshi!$D$31:$D$458,MATCH($A254,Kalshi!$A$31:$A$458,0))),"")</f>
        <v/>
      </c>
      <c r="D254" s="31">
        <f>IF(AND(ISNUMBER(B254),ISNUMBER(C254)),B254-C254,"")</f>
        <v/>
      </c>
      <c r="E254" s="29">
        <f>IF(ISNUMBER(D254),ABS(D254),"")</f>
        <v/>
      </c>
      <c r="F254" s="105">
        <f>IFERROR(IF(INDEX(Polymarket!$C$25:$C$275,MATCH($A254,Polymarket!$A$25:$A$275,0))=0,"",INDEX(Polymarket!$C$25:$C$275,MATCH($A254,Polymarket!$A$25:$A$275,0))),"")</f>
        <v/>
      </c>
      <c r="G254" s="105">
        <f>IFERROR(IF(INDEX(Kalshi!$G$31:$G$458,MATCH($A254,Kalshi!$A$31:$A$458,0))=0,"",INDEX(Kalshi!$G$31:$G$458,MATCH($A254,Kalshi!$A$31:$A$458,0))),"")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4">
        <f>IFERROR(IF(INDEX(Polymarket!$B$25:$B$275,MATCH($A255,Polymarket!$A$25:$A$275,0))=0,"",INDEX(Polymarket!$B$25:$B$275,MATCH($A255,Polymarket!$A$25:$A$275,0))),"")</f>
        <v/>
      </c>
      <c r="C255" s="104">
        <f>IFERROR(IF(INDEX(Kalshi!$D$31:$D$458,MATCH($A255,Kalshi!$A$31:$A$458,0))=0,"",INDEX(Kalshi!$D$31:$D$458,MATCH($A255,Kalshi!$A$31:$A$458,0))),"")</f>
        <v/>
      </c>
      <c r="D255" s="18">
        <f>IF(AND(ISNUMBER(B255),ISNUMBER(C255)),B255-C255,"")</f>
        <v/>
      </c>
      <c r="E255" s="17">
        <f>IF(ISNUMBER(D255),ABS(D255),"")</f>
        <v/>
      </c>
      <c r="F255" s="104">
        <f>IFERROR(IF(INDEX(Polymarket!$C$25:$C$275,MATCH($A255,Polymarket!$A$25:$A$275,0))=0,"",INDEX(Polymarket!$C$25:$C$275,MATCH($A255,Polymarket!$A$25:$A$275,0))),"")</f>
        <v/>
      </c>
      <c r="G255" s="104">
        <f>IFERROR(IF(INDEX(Kalshi!$G$31:$G$458,MATCH($A255,Kalshi!$A$31:$A$458,0))=0,"",INDEX(Kalshi!$G$31:$G$458,MATCH($A255,Kalshi!$A$31:$A$458,0))),"")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5">
        <f>IFERROR(IF(INDEX(Polymarket!$B$25:$B$275,MATCH($A256,Polymarket!$A$25:$A$275,0))=0,"",INDEX(Polymarket!$B$25:$B$275,MATCH($A256,Polymarket!$A$25:$A$275,0))),"")</f>
        <v/>
      </c>
      <c r="C256" s="105">
        <f>IFERROR(IF(INDEX(Kalshi!$D$31:$D$458,MATCH($A256,Kalshi!$A$31:$A$458,0))=0,"",INDEX(Kalshi!$D$31:$D$458,MATCH($A256,Kalshi!$A$31:$A$458,0))),"")</f>
        <v/>
      </c>
      <c r="D256" s="31">
        <f>IF(AND(ISNUMBER(B256),ISNUMBER(C256)),B256-C256,"")</f>
        <v/>
      </c>
      <c r="E256" s="29">
        <f>IF(ISNUMBER(D256),ABS(D256),"")</f>
        <v/>
      </c>
      <c r="F256" s="105">
        <f>IFERROR(IF(INDEX(Polymarket!$C$25:$C$275,MATCH($A256,Polymarket!$A$25:$A$275,0))=0,"",INDEX(Polymarket!$C$25:$C$275,MATCH($A256,Polymarket!$A$25:$A$275,0))),"")</f>
        <v/>
      </c>
      <c r="G256" s="105">
        <f>IFERROR(IF(INDEX(Kalshi!$G$31:$G$458,MATCH($A256,Kalshi!$A$31:$A$458,0))=0,"",INDEX(Kalshi!$G$31:$G$458,MATCH($A256,Kalshi!$A$31:$A$458,0))),"")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4">
        <f>IFERROR(IF(INDEX(Polymarket!$B$25:$B$275,MATCH($A257,Polymarket!$A$25:$A$275,0))=0,"",INDEX(Polymarket!$B$25:$B$275,MATCH($A257,Polymarket!$A$25:$A$275,0))),"")</f>
        <v/>
      </c>
      <c r="C257" s="104">
        <f>IFERROR(IF(INDEX(Kalshi!$D$31:$D$458,MATCH($A257,Kalshi!$A$31:$A$458,0))=0,"",INDEX(Kalshi!$D$31:$D$458,MATCH($A257,Kalshi!$A$31:$A$458,0))),"")</f>
        <v/>
      </c>
      <c r="D257" s="18">
        <f>IF(AND(ISNUMBER(B257),ISNUMBER(C257)),B257-C257,"")</f>
        <v/>
      </c>
      <c r="E257" s="17">
        <f>IF(ISNUMBER(D257),ABS(D257),"")</f>
        <v/>
      </c>
      <c r="F257" s="104">
        <f>IFERROR(IF(INDEX(Polymarket!$C$25:$C$275,MATCH($A257,Polymarket!$A$25:$A$275,0))=0,"",INDEX(Polymarket!$C$25:$C$275,MATCH($A257,Polymarket!$A$25:$A$275,0))),"")</f>
        <v/>
      </c>
      <c r="G257" s="104">
        <f>IFERROR(IF(INDEX(Kalshi!$G$31:$G$458,MATCH($A257,Kalshi!$A$31:$A$458,0))=0,"",INDEX(Kalshi!$G$31:$G$458,MATCH($A257,Kalshi!$A$31:$A$458,0))),"")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5">
        <f>IFERROR(IF(INDEX(Polymarket!$B$25:$B$275,MATCH($A258,Polymarket!$A$25:$A$275,0))=0,"",INDEX(Polymarket!$B$25:$B$275,MATCH($A258,Polymarket!$A$25:$A$275,0))),"")</f>
        <v/>
      </c>
      <c r="C258" s="105">
        <f>IFERROR(IF(INDEX(Kalshi!$D$31:$D$458,MATCH($A258,Kalshi!$A$31:$A$458,0))=0,"",INDEX(Kalshi!$D$31:$D$458,MATCH($A258,Kalshi!$A$31:$A$458,0))),"")</f>
        <v/>
      </c>
      <c r="D258" s="31">
        <f>IF(AND(ISNUMBER(B258),ISNUMBER(C258)),B258-C258,"")</f>
        <v/>
      </c>
      <c r="E258" s="29">
        <f>IF(ISNUMBER(D258),ABS(D258),"")</f>
        <v/>
      </c>
      <c r="F258" s="105">
        <f>IFERROR(IF(INDEX(Polymarket!$C$25:$C$275,MATCH($A258,Polymarket!$A$25:$A$275,0))=0,"",INDEX(Polymarket!$C$25:$C$275,MATCH($A258,Polymarket!$A$25:$A$275,0))),"")</f>
        <v/>
      </c>
      <c r="G258" s="105">
        <f>IFERROR(IF(INDEX(Kalshi!$G$31:$G$458,MATCH($A258,Kalshi!$A$31:$A$458,0))=0,"",INDEX(Kalshi!$G$31:$G$458,MATCH($A258,Kalshi!$A$31:$A$458,0))),"")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4">
        <f>IFERROR(IF(INDEX(Polymarket!$B$25:$B$275,MATCH($A259,Polymarket!$A$25:$A$275,0))=0,"",INDEX(Polymarket!$B$25:$B$275,MATCH($A259,Polymarket!$A$25:$A$275,0))),"")</f>
        <v/>
      </c>
      <c r="C259" s="104">
        <f>IFERROR(IF(INDEX(Kalshi!$D$31:$D$458,MATCH($A259,Kalshi!$A$31:$A$458,0))=0,"",INDEX(Kalshi!$D$31:$D$458,MATCH($A259,Kalshi!$A$31:$A$458,0))),"")</f>
        <v/>
      </c>
      <c r="D259" s="18">
        <f>IF(AND(ISNUMBER(B259),ISNUMBER(C259)),B259-C259,"")</f>
        <v/>
      </c>
      <c r="E259" s="17">
        <f>IF(ISNUMBER(D259),ABS(D259),"")</f>
        <v/>
      </c>
      <c r="F259" s="104">
        <f>IFERROR(IF(INDEX(Polymarket!$C$25:$C$275,MATCH($A259,Polymarket!$A$25:$A$275,0))=0,"",INDEX(Polymarket!$C$25:$C$275,MATCH($A259,Polymarket!$A$25:$A$275,0))),"")</f>
        <v/>
      </c>
      <c r="G259" s="104">
        <f>IFERROR(IF(INDEX(Kalshi!$G$31:$G$458,MATCH($A259,Kalshi!$A$31:$A$458,0))=0,"",INDEX(Kalshi!$G$31:$G$458,MATCH($A259,Kalshi!$A$31:$A$458,0))),"")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5">
        <f>IFERROR(IF(INDEX(Polymarket!$B$25:$B$275,MATCH($A260,Polymarket!$A$25:$A$275,0))=0,"",INDEX(Polymarket!$B$25:$B$275,MATCH($A260,Polymarket!$A$25:$A$275,0))),"")</f>
        <v/>
      </c>
      <c r="C260" s="105">
        <f>IFERROR(IF(INDEX(Kalshi!$D$31:$D$458,MATCH($A260,Kalshi!$A$31:$A$458,0))=0,"",INDEX(Kalshi!$D$31:$D$458,MATCH($A260,Kalshi!$A$31:$A$458,0))),"")</f>
        <v/>
      </c>
      <c r="D260" s="31">
        <f>IF(AND(ISNUMBER(B260),ISNUMBER(C260)),B260-C260,"")</f>
        <v/>
      </c>
      <c r="E260" s="29">
        <f>IF(ISNUMBER(D260),ABS(D260),"")</f>
        <v/>
      </c>
      <c r="F260" s="105">
        <f>IFERROR(IF(INDEX(Polymarket!$C$25:$C$275,MATCH($A260,Polymarket!$A$25:$A$275,0))=0,"",INDEX(Polymarket!$C$25:$C$275,MATCH($A260,Polymarket!$A$25:$A$275,0))),"")</f>
        <v/>
      </c>
      <c r="G260" s="105">
        <f>IFERROR(IF(INDEX(Kalshi!$G$31:$G$458,MATCH($A260,Kalshi!$A$31:$A$458,0))=0,"",INDEX(Kalshi!$G$31:$G$458,MATCH($A260,Kalshi!$A$31:$A$458,0))),"")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4">
        <f>IFERROR(IF(INDEX(Polymarket!$B$25:$B$275,MATCH($A261,Polymarket!$A$25:$A$275,0))=0,"",INDEX(Polymarket!$B$25:$B$275,MATCH($A261,Polymarket!$A$25:$A$275,0))),"")</f>
        <v/>
      </c>
      <c r="C261" s="104">
        <f>IFERROR(IF(INDEX(Kalshi!$D$31:$D$458,MATCH($A261,Kalshi!$A$31:$A$458,0))=0,"",INDEX(Kalshi!$D$31:$D$458,MATCH($A261,Kalshi!$A$31:$A$458,0))),"")</f>
        <v/>
      </c>
      <c r="D261" s="18">
        <f>IF(AND(ISNUMBER(B261),ISNUMBER(C261)),B261-C261,"")</f>
        <v/>
      </c>
      <c r="E261" s="17">
        <f>IF(ISNUMBER(D261),ABS(D261),"")</f>
        <v/>
      </c>
      <c r="F261" s="104">
        <f>IFERROR(IF(INDEX(Polymarket!$C$25:$C$275,MATCH($A261,Polymarket!$A$25:$A$275,0))=0,"",INDEX(Polymarket!$C$25:$C$275,MATCH($A261,Polymarket!$A$25:$A$275,0))),"")</f>
        <v/>
      </c>
      <c r="G261" s="104">
        <f>IFERROR(IF(INDEX(Kalshi!$G$31:$G$458,MATCH($A261,Kalshi!$A$31:$A$458,0))=0,"",INDEX(Kalshi!$G$31:$G$458,MATCH($A261,Kalshi!$A$31:$A$458,0))),"")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5">
        <f>IFERROR(IF(INDEX(Polymarket!$B$25:$B$275,MATCH($A262,Polymarket!$A$25:$A$275,0))=0,"",INDEX(Polymarket!$B$25:$B$275,MATCH($A262,Polymarket!$A$25:$A$275,0))),"")</f>
        <v/>
      </c>
      <c r="C262" s="105">
        <f>IFERROR(IF(INDEX(Kalshi!$D$31:$D$458,MATCH($A262,Kalshi!$A$31:$A$458,0))=0,"",INDEX(Kalshi!$D$31:$D$458,MATCH($A262,Kalshi!$A$31:$A$458,0))),"")</f>
        <v/>
      </c>
      <c r="D262" s="31">
        <f>IF(AND(ISNUMBER(B262),ISNUMBER(C262)),B262-C262,"")</f>
        <v/>
      </c>
      <c r="E262" s="29">
        <f>IF(ISNUMBER(D262),ABS(D262),"")</f>
        <v/>
      </c>
      <c r="F262" s="105">
        <f>IFERROR(IF(INDEX(Polymarket!$C$25:$C$275,MATCH($A262,Polymarket!$A$25:$A$275,0))=0,"",INDEX(Polymarket!$C$25:$C$275,MATCH($A262,Polymarket!$A$25:$A$275,0))),"")</f>
        <v/>
      </c>
      <c r="G262" s="105">
        <f>IFERROR(IF(INDEX(Kalshi!$G$31:$G$458,MATCH($A262,Kalshi!$A$31:$A$458,0))=0,"",INDEX(Kalshi!$G$31:$G$458,MATCH($A262,Kalshi!$A$31:$A$458,0))),"")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4">
        <f>IFERROR(IF(INDEX(Polymarket!$B$25:$B$275,MATCH($A263,Polymarket!$A$25:$A$275,0))=0,"",INDEX(Polymarket!$B$25:$B$275,MATCH($A263,Polymarket!$A$25:$A$275,0))),"")</f>
        <v/>
      </c>
      <c r="C263" s="104">
        <f>IFERROR(IF(INDEX(Kalshi!$D$31:$D$458,MATCH($A263,Kalshi!$A$31:$A$458,0))=0,"",INDEX(Kalshi!$D$31:$D$458,MATCH($A263,Kalshi!$A$31:$A$458,0))),"")</f>
        <v/>
      </c>
      <c r="D263" s="18">
        <f>IF(AND(ISNUMBER(B263),ISNUMBER(C263)),B263-C263,"")</f>
        <v/>
      </c>
      <c r="E263" s="17">
        <f>IF(ISNUMBER(D263),ABS(D263),"")</f>
        <v/>
      </c>
      <c r="F263" s="104">
        <f>IFERROR(IF(INDEX(Polymarket!$C$25:$C$275,MATCH($A263,Polymarket!$A$25:$A$275,0))=0,"",INDEX(Polymarket!$C$25:$C$275,MATCH($A263,Polymarket!$A$25:$A$275,0))),"")</f>
        <v/>
      </c>
      <c r="G263" s="104">
        <f>IFERROR(IF(INDEX(Kalshi!$G$31:$G$458,MATCH($A263,Kalshi!$A$31:$A$458,0))=0,"",INDEX(Kalshi!$G$31:$G$458,MATCH($A263,Kalshi!$A$31:$A$458,0))),"")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5">
        <f>IFERROR(IF(INDEX(Polymarket!$B$25:$B$275,MATCH($A264,Polymarket!$A$25:$A$275,0))=0,"",INDEX(Polymarket!$B$25:$B$275,MATCH($A264,Polymarket!$A$25:$A$275,0))),"")</f>
        <v/>
      </c>
      <c r="C264" s="105">
        <f>IFERROR(IF(INDEX(Kalshi!$D$31:$D$458,MATCH($A264,Kalshi!$A$31:$A$458,0))=0,"",INDEX(Kalshi!$D$31:$D$458,MATCH($A264,Kalshi!$A$31:$A$458,0))),"")</f>
        <v/>
      </c>
      <c r="D264" s="31">
        <f>IF(AND(ISNUMBER(B264),ISNUMBER(C264)),B264-C264,"")</f>
        <v/>
      </c>
      <c r="E264" s="29">
        <f>IF(ISNUMBER(D264),ABS(D264),"")</f>
        <v/>
      </c>
      <c r="F264" s="105">
        <f>IFERROR(IF(INDEX(Polymarket!$C$25:$C$275,MATCH($A264,Polymarket!$A$25:$A$275,0))=0,"",INDEX(Polymarket!$C$25:$C$275,MATCH($A264,Polymarket!$A$25:$A$275,0))),"")</f>
        <v/>
      </c>
      <c r="G264" s="105">
        <f>IFERROR(IF(INDEX(Kalshi!$G$31:$G$458,MATCH($A264,Kalshi!$A$31:$A$458,0))=0,"",INDEX(Kalshi!$G$31:$G$458,MATCH($A264,Kalshi!$A$31:$A$458,0))),"")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4">
        <f>IFERROR(IF(INDEX(Polymarket!$B$25:$B$275,MATCH($A265,Polymarket!$A$25:$A$275,0))=0,"",INDEX(Polymarket!$B$25:$B$275,MATCH($A265,Polymarket!$A$25:$A$275,0))),"")</f>
        <v/>
      </c>
      <c r="C265" s="104">
        <f>IFERROR(IF(INDEX(Kalshi!$D$31:$D$458,MATCH($A265,Kalshi!$A$31:$A$458,0))=0,"",INDEX(Kalshi!$D$31:$D$458,MATCH($A265,Kalshi!$A$31:$A$458,0))),"")</f>
        <v/>
      </c>
      <c r="D265" s="18">
        <f>IF(AND(ISNUMBER(B265),ISNUMBER(C265)),B265-C265,"")</f>
        <v/>
      </c>
      <c r="E265" s="17">
        <f>IF(ISNUMBER(D265),ABS(D265),"")</f>
        <v/>
      </c>
      <c r="F265" s="104">
        <f>IFERROR(IF(INDEX(Polymarket!$C$25:$C$275,MATCH($A265,Polymarket!$A$25:$A$275,0))=0,"",INDEX(Polymarket!$C$25:$C$275,MATCH($A265,Polymarket!$A$25:$A$275,0))),"")</f>
        <v/>
      </c>
      <c r="G265" s="104">
        <f>IFERROR(IF(INDEX(Kalshi!$G$31:$G$458,MATCH($A265,Kalshi!$A$31:$A$458,0))=0,"",INDEX(Kalshi!$G$31:$G$458,MATCH($A265,Kalshi!$A$31:$A$458,0))),"")</f>
        <v/>
      </c>
      <c r="H265" s="20">
        <f>IF(AND(ISNUMBER(B265),ISNUMBER(C265)),MIN(B265,C265),"")</f>
        <v/>
      </c>
      <c r="I265" s="20">
        <f>IF(AND(ISNUMBER(F265),ISNUMBER(G265)),MIN(F265,G265),"")</f>
        <v/>
      </c>
      <c r="J265" s="17">
        <f>IF(AND(ISNUMBER(H265),ISNUMBER(I265)),H265+I265,"")</f>
        <v/>
      </c>
      <c r="K265" s="16" t="n">
        <v>0.5</v>
      </c>
      <c r="L265" s="26" t="inlineStr">
        <is>
          <t>14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2026-09-14 21:26 UTC.</t>
        </is>
      </c>
    </row>
    <row r="4">
      <c r="A4" s="3" t="inlineStr">
        <is>
          <t>COLOUR CONVENTION</t>
        </is>
      </c>
      <c r="B4" s="4" t="n"/>
    </row>
    <row r="5" ht="26" customHeight="1">
      <c r="A5" s="133" t="inlineStr">
        <is>
          <t>Blue text</t>
        </is>
      </c>
      <c r="B5" s="134" t="inlineStr">
        <is>
          <t>A hardcoded value - pulled from an API, read out of house.csv, or typed in from a cited source. These are the only cells you overwrite when refreshing.</t>
        </is>
      </c>
    </row>
    <row r="6" ht="15" customHeight="1">
      <c r="A6" s="133" t="inlineStr">
        <is>
          <t>Black text</t>
        </is>
      </c>
      <c r="B6" s="134" t="inlineStr">
        <is>
          <t>A formula. Do not overwrite; it recalculates from the blue and green cells.</t>
        </is>
      </c>
    </row>
    <row r="7" ht="15" customHeight="1">
      <c r="A7" s="133" t="inlineStr">
        <is>
          <t>Green text</t>
        </is>
      </c>
      <c r="B7" s="134" t="inlineStr">
        <is>
          <t>A link to another sheet in this workbook.</t>
        </is>
      </c>
    </row>
    <row r="8" ht="15" customHeight="1">
      <c r="A8" s="133" t="inlineStr">
        <is>
          <t>Yellow fill</t>
        </is>
      </c>
      <c r="B8" s="134" t="inlineStr">
        <is>
          <t>Either a key output worth reading first, or an assumption you are meant to change.</t>
        </is>
      </c>
    </row>
    <row r="10">
      <c r="A10" s="3" t="inlineStr">
        <is>
          <t>SHEETS</t>
        </is>
      </c>
      <c r="B10" s="4" t="n"/>
    </row>
    <row r="11" ht="26" customHeight="1">
      <c r="A11" s="133" t="inlineStr">
        <is>
          <t>Summary</t>
        </is>
      </c>
      <c r="B11" s="134" t="inlineStr">
        <is>
          <t>Dashboard. Consensus probability, market-implied margin, race facts, live snapshot, every subject tracked, cross-venue arbitrage check, momentum, and markets-vs-polls.</t>
        </is>
      </c>
    </row>
    <row r="12" ht="26" customHeight="1">
      <c r="A12" s="133" t="inlineStr">
        <is>
          <t>Polymarket</t>
        </is>
      </c>
      <c r="B12" s="134" t="inlineStr">
        <is>
          <t>Winner market: metadata, live order book, and 233 days of daily prices for the Democratic and Republican YES contracts.</t>
        </is>
      </c>
    </row>
    <row r="13" ht="15" customHeight="1">
      <c r="A13" s="133" t="inlineStr">
        <is>
          <t>Kalshi</t>
        </is>
      </c>
      <c r="B13" s="134" t="inlineStr">
        <is>
          <t>Winner market: metadata, live order book with five levels of depth, and 410 days of daily candlesticks.</t>
        </is>
      </c>
    </row>
    <row r="14" ht="26" customHeight="1">
      <c r="A14" s="133" t="inlineStr">
        <is>
          <t>Margin of Victory</t>
        </is>
      </c>
      <c r="B14" s="134" t="inlineStr">
        <is>
          <t>Polymarket's ten-bracket ladder on the winning margin, with the implied distribution, expected margin, and a cross-check against the winner market.</t>
        </is>
      </c>
    </row>
    <row r="15" ht="26" customHeight="1">
      <c r="A15" s="133" t="inlineStr">
        <is>
          <t>PA Seat Count</t>
        </is>
      </c>
      <c r="B15" s="134" t="inlineStr">
        <is>
          <t>Kalshi's ladder on how many of Pennsylvania's 17 House seats Democrats win. PA-07 is one of them, so it is a state-level read on the same question.</t>
        </is>
      </c>
    </row>
    <row r="16" ht="26" customHeight="1">
      <c r="A16" s="133" t="inlineStr">
        <is>
          <t>Polls</t>
        </is>
      </c>
      <c r="B16" s="134" t="inlineStr">
        <is>
          <t>General-election and Democratic-primary polling from house.csv, a recency-weighted average, the district and incumbent profile from GovTrack, and supplementary approval numbers.</t>
        </is>
      </c>
    </row>
    <row r="17" ht="26" customHeight="1">
      <c r="A17" s="133" t="inlineStr">
        <is>
          <t>Venue Comparison</t>
        </is>
      </c>
      <c r="B17" s="134"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3" t="inlineStr">
        <is>
          <t>Winner (party)</t>
        </is>
      </c>
      <c r="B20" s="134" t="inlineStr">
        <is>
          <t>Polymarket 'PA-07 House Election Winner' (event 106187) and Kalshi HOUSEPA7-26. Both venues, both liquid. This is the workbook's spine.</t>
        </is>
      </c>
    </row>
    <row r="21" ht="65" customHeight="1">
      <c r="A21" s="133" t="inlineStr">
        <is>
          <t>Margin of victory</t>
        </is>
      </c>
      <c r="B21" s="135"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3" t="inlineStr">
        <is>
          <t>Voter turnout</t>
        </is>
      </c>
      <c r="B22" s="135"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3" t="inlineStr">
        <is>
          <t>Threshold vs bracket</t>
        </is>
      </c>
      <c r="B23" s="134"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3" t="inlineStr">
        <is>
          <t>Democratic nominee</t>
        </is>
      </c>
      <c r="B24" s="134" t="inlineStr">
        <is>
          <t>Kalshi KXPA07D-26 and Polymarket 'PA-07 Democratic Primary Winner' (event 287013). Settled on 19 May 2026; the Kalshi event returns no tradeable markets now. Kept as polling calibration on the Polls sheet, not tracked live.</t>
        </is>
      </c>
    </row>
    <row r="25" ht="15" customHeight="1">
      <c r="A25" s="133" t="inlineStr">
        <is>
          <t>2024 PA-07 race</t>
        </is>
      </c>
      <c r="B25" s="134" t="inlineStr">
        <is>
          <t>Kalshi HOUSEPA7-24 exists as an event but returns no markets. Not tracked.</t>
        </is>
      </c>
    </row>
    <row r="26" ht="26" customHeight="1">
      <c r="A26" s="133" t="inlineStr">
        <is>
          <t>Closest House race</t>
        </is>
      </c>
      <c r="B26" s="134" t="inlineStr">
        <is>
          <t>Kalshi KXCLOSESTHOUSE-27JAN03 lists 34 districts for 2026. PA-01 is included; PA-07 is NOT, so there is nothing to track here.</t>
        </is>
      </c>
    </row>
    <row r="27" ht="15" customHeight="1">
      <c r="A27" s="133" t="inlineStr">
        <is>
          <t>PA Democratic seat count</t>
        </is>
      </c>
      <c r="B27" s="134" t="inlineStr">
        <is>
          <t>Kalshi KXHOUSEWINSTATE-PAD, eight brackets. Tracked on its own sheet as state-level context.</t>
        </is>
      </c>
    </row>
    <row r="28" ht="26" customHeight="1">
      <c r="A28" s="133" t="inlineStr">
        <is>
          <t>Placeholder outcomes</t>
        </is>
      </c>
      <c r="B28" s="134"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3" t="inlineStr">
        <is>
          <t>Polymarket winner</t>
        </is>
      </c>
      <c r="B31" s="134" t="inlineStr">
        <is>
          <t>event 106187, slug pa-07-house-election-winner; markets will-the-democratic-party-win-the-pa-07-house-seat / will-the-republican-party-win-the-pa-07-house-seat</t>
        </is>
      </c>
    </row>
    <row r="32" ht="15" customHeight="1">
      <c r="A32" s="133" t="inlineStr">
        <is>
          <t>Polymarket margin</t>
        </is>
      </c>
      <c r="B32" s="134" t="inlineStr">
        <is>
          <t>event 834502, slug pa-07-house-margin-of-victory-2026</t>
        </is>
      </c>
    </row>
    <row r="33" ht="15" customHeight="1">
      <c r="A33" s="133" t="inlineStr">
        <is>
          <t>Kalshi winner</t>
        </is>
      </c>
      <c r="B33" s="134" t="inlineStr">
        <is>
          <t>series HOUSEPA7, event HOUSEPA7-26, markets HOUSEPA7-26-D (Bob Brooks) and HOUSEPA7-26-R (Ryan Mackenzie)</t>
        </is>
      </c>
    </row>
    <row r="34" ht="15" customHeight="1">
      <c r="A34" s="133" t="inlineStr">
        <is>
          <t>Kalshi seat count</t>
        </is>
      </c>
      <c r="B34" s="134" t="inlineStr">
        <is>
          <t>series KXHOUSEWINSTATE, event KXHOUSEWINSTATE-PAD, markets -B7, -E7 through -E12, -A12</t>
        </is>
      </c>
    </row>
    <row r="35" ht="15" customHeight="1">
      <c r="A35" s="133" t="inlineStr">
        <is>
          <t>Kalshi margin</t>
        </is>
      </c>
      <c r="B35" s="134" t="inlineStr">
        <is>
          <t>series KXMIDTERMMOV, events KXMIDTERMMOV-PA07D (rungs P3/P6/P9/P12/P15) and -PA07R (P3/P6/P9)</t>
        </is>
      </c>
    </row>
    <row r="36" ht="15" customHeight="1">
      <c r="A36" s="133" t="inlineStr">
        <is>
          <t>Kalshi turnout</t>
        </is>
      </c>
      <c r="B36" s="134" t="inlineStr">
        <is>
          <t>series KXMIDTERMVOTETURN, event KXMIDTERMVOTETURN-PA07, markets -310000/-320000/-340000/-360000/-370000</t>
        </is>
      </c>
    </row>
    <row r="37" ht="26" customHeight="1">
      <c r="A37" s="133" t="inlineStr">
        <is>
          <t>Kalshi close time</t>
        </is>
      </c>
      <c r="B37" s="134"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3" t="inlineStr">
        <is>
          <t>Polymarket metadata</t>
        </is>
      </c>
      <c r="B40" s="136" t="inlineStr">
        <is>
          <t>GET https://gamma-api.polymarket.com/events/&lt;event_id&gt;</t>
        </is>
      </c>
    </row>
    <row r="41" ht="15" customHeight="1">
      <c r="A41" s="133" t="inlineStr">
        <is>
          <t>Polymarket book</t>
        </is>
      </c>
      <c r="B41" s="136" t="inlineStr">
        <is>
          <t>GET https://clob.polymarket.com/book?token_id=&lt;token&gt;</t>
        </is>
      </c>
    </row>
    <row r="42" ht="15" customHeight="1">
      <c r="A42" s="133" t="inlineStr">
        <is>
          <t>Polymarket history</t>
        </is>
      </c>
      <c r="B42" s="136" t="inlineStr">
        <is>
          <t>GET https://clob.polymarket.com/prices-history?market=&lt;token&gt;&amp;interval=max&amp;fidelity=1440</t>
        </is>
      </c>
    </row>
    <row r="43" ht="15" customHeight="1">
      <c r="A43" s="133" t="inlineStr">
        <is>
          <t xml:space="preserve">  fidelity</t>
        </is>
      </c>
      <c r="B43" s="134" t="inlineStr">
        <is>
          <t>In minutes; 1440 gives one point per day. Returns {history: [{t: unix_seconds, p: price}]}.</t>
        </is>
      </c>
    </row>
    <row r="44" ht="15" customHeight="1">
      <c r="A44" s="133" t="inlineStr">
        <is>
          <t>Dem winner token</t>
        </is>
      </c>
      <c r="B44" s="136" t="inlineStr">
        <is>
          <t>37713776886536763857380242322222367371582682723176215910322979366716585040762</t>
        </is>
      </c>
    </row>
    <row r="45" ht="15" customHeight="1">
      <c r="A45" s="133" t="inlineStr">
        <is>
          <t>Rep winner token</t>
        </is>
      </c>
      <c r="B45" s="136" t="inlineStr">
        <is>
          <t>56412855186822728853119072474894085602768054645914780515455268260878947887549</t>
        </is>
      </c>
    </row>
    <row r="46" ht="15" customHeight="1">
      <c r="A46" s="133" t="inlineStr">
        <is>
          <t>Kalshi base</t>
        </is>
      </c>
      <c r="B46" s="136" t="inlineStr">
        <is>
          <t>https://api.elections.kalshi.com</t>
        </is>
      </c>
    </row>
    <row r="47" ht="26" customHeight="1">
      <c r="A47" s="133" t="inlineStr">
        <is>
          <t>Kalshi auth</t>
        </is>
      </c>
      <c r="B47" s="134" t="inlineStr">
        <is>
          <t>Every request signed with RSA-PSS / SHA-256 over (timestamp_ms + method + path), sent as KALSHI-ACCESS-KEY, KALSHI-ACCESS-SIGNATURE and KALSHI-ACCESS-TIMESTAMP headers. Salt length = digest length.</t>
        </is>
      </c>
    </row>
    <row r="48" ht="15" customHeight="1">
      <c r="A48" s="133" t="inlineStr">
        <is>
          <t>Kalshi market</t>
        </is>
      </c>
      <c r="B48" s="136" t="inlineStr">
        <is>
          <t>GET /trade-api/v2/markets/&lt;ticker&gt;</t>
        </is>
      </c>
    </row>
    <row r="49" ht="15" customHeight="1">
      <c r="A49" s="133" t="inlineStr">
        <is>
          <t>Kalshi book</t>
        </is>
      </c>
      <c r="B49" s="136" t="inlineStr">
        <is>
          <t>GET /trade-api/v2/markets/&lt;ticker&gt;/orderbook?depth=10</t>
        </is>
      </c>
    </row>
    <row r="50" ht="15" customHeight="1">
      <c r="A50" s="133" t="inlineStr">
        <is>
          <t>Kalshi history</t>
        </is>
      </c>
      <c r="B50" s="136" t="inlineStr">
        <is>
          <t>GET /trade-api/v2/series/&lt;series&gt;/markets/&lt;ticker&gt;/candlesticks?start_ts=&amp;end_ts=&amp;period_interval=1440</t>
        </is>
      </c>
    </row>
    <row r="51" ht="26" customHeight="1">
      <c r="A51" s="133" t="inlineStr">
        <is>
          <t>Kalshi discovery</t>
        </is>
      </c>
      <c r="B51" s="134" t="inlineStr">
        <is>
          <t>GET /trade-api/v2/series  then filter locally - there is no keyword search endpoint, and /trade-api/v2/search/series returns 404.</t>
        </is>
      </c>
    </row>
    <row r="52" ht="52" customHeight="1">
      <c r="A52" s="133" t="inlineStr">
        <is>
          <t xml:space="preserve">  discovery caveat</t>
        </is>
      </c>
      <c r="B52" s="134"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3" t="inlineStr">
        <is>
          <t>File</t>
        </is>
      </c>
      <c r="B55" s="134" t="inlineStr">
        <is>
          <t>/Users/charlieweinstein/Downloads/house.csv - the NYT / 538 house-poll file, 5,041 rows covering every 2026 House race.</t>
        </is>
      </c>
    </row>
    <row r="56" ht="26" customHeight="1">
      <c r="A56" s="133" t="inlineStr">
        <is>
          <t>Filter</t>
        </is>
      </c>
      <c r="B56" s="134" t="inlineStr">
        <is>
          <t>state = PA and seat_number = 7, which yields 26 rows across 5 distinct poll_ids: 1 general-election poll and 4 Democratic-primary polls.</t>
        </is>
      </c>
    </row>
    <row r="57" ht="15" customHeight="1">
      <c r="A57" s="133" t="inlineStr">
        <is>
          <t>Shape</t>
        </is>
      </c>
      <c r="B57" s="134" t="inlineStr">
        <is>
          <t>The file is one row per candidate per question, so rows were pivoted by poll_id into one row per poll.</t>
        </is>
      </c>
    </row>
    <row r="58" ht="26" customHeight="1">
      <c r="A58" s="133" t="inlineStr">
        <is>
          <t>General poll</t>
        </is>
      </c>
      <c r="B58" s="134" t="inlineStr">
        <is>
          <t>GBAO for House Majority PAC, 29 June - 2 July 2026, likely voters, Brooks 47 - Mackenzie 43. Marked partisan = DEM in the file.</t>
        </is>
      </c>
    </row>
    <row r="59" ht="26" customHeight="1">
      <c r="A59" s="133" t="inlineStr">
        <is>
          <t>Primary polls</t>
        </is>
      </c>
      <c r="B59" s="134" t="inlineStr">
        <is>
          <t>Change Research (Dec 2025), GBAO/CPC PAC (Feb-Mar and Apr 2026), Tavern Research (May 2026). All four understated Brooks, who took ~41.4%; each poll carried 31-53% undecided.</t>
        </is>
      </c>
    </row>
    <row r="60" ht="39" customHeight="1">
      <c r="A60" s="133" t="inlineStr">
        <is>
          <t>Empty fields</t>
        </is>
      </c>
      <c r="B60" s="134" t="inlineStr">
        <is>
          <t>numeric_grade, pollscore, transparency_score and MoE are empty for every PA-07 poll in the file, so no pollster-quality weighting is applied. sample_size is also empty for the general poll - see the assumption below.</t>
        </is>
      </c>
    </row>
    <row r="61" ht="26" customHeight="1">
      <c r="A61" s="133" t="inlineStr">
        <is>
          <t>Coverage caveat</t>
        </is>
      </c>
      <c r="B61" s="135"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3" t="inlineStr">
        <is>
          <t>Page</t>
        </is>
      </c>
      <c r="B64" s="134" t="inlineStr">
        <is>
          <t>govtrack.us/congress/members/PA/7 and the member profile at govtrack.us/congress/members/ryan_mackenzie/457017</t>
        </is>
      </c>
    </row>
    <row r="65" ht="26" customHeight="1">
      <c r="A65" s="133" t="inlineStr">
        <is>
          <t>Used for</t>
        </is>
      </c>
      <c r="B65" s="134" t="inlineStr">
        <is>
          <t>The district and incumbent profile on the Polls sheet: tenure, age, caucus, committee assignments, sponsorship mix and the missed-votes record.</t>
        </is>
      </c>
    </row>
    <row r="66" ht="26" customHeight="1">
      <c r="A66" s="133" t="inlineStr">
        <is>
          <t>Missed votes</t>
        </is>
      </c>
      <c r="B66" s="134" t="inlineStr">
        <is>
          <t>13 of 645 roll calls between Jan 2025 and Jul 2026 (2.0%), which GovTrack calls on par with the 2.0% median among sitting representatives.</t>
        </is>
      </c>
    </row>
    <row r="67" ht="15" customHeight="1">
      <c r="A67" s="133" t="inlineStr">
        <is>
          <t>Access note</t>
        </is>
      </c>
      <c r="B67" s="134" t="inlineStr">
        <is>
          <t>The page rejects a plain fetch with HTTP 403; it was retrieved with a normal browser user-agent.</t>
        </is>
      </c>
    </row>
    <row r="68" ht="26" customHeight="1">
      <c r="A68" s="133" t="inlineStr">
        <is>
          <t>Redistricting caveat</t>
        </is>
      </c>
      <c r="B68" s="135"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3" t="inlineStr">
        <is>
          <t>Price as probability</t>
        </is>
      </c>
      <c r="B71" s="134" t="inlineStr">
        <is>
          <t>A contract paying $1 if the outcome happens trades at its implied probability, so $0.755 reads as 75.5%. Every price column is percent-formatted for that reason.</t>
        </is>
      </c>
    </row>
    <row r="72" ht="15" customHeight="1">
      <c r="A72" s="133" t="inlineStr">
        <is>
          <t>Mid price</t>
        </is>
      </c>
      <c r="B72" s="134" t="inlineStr">
        <is>
          <t>(best bid + best ask) / 2. Used rather than last trade, which on thin markets can be stale by days.</t>
        </is>
      </c>
    </row>
    <row r="73" ht="39" customHeight="1">
      <c r="A73" s="133" t="inlineStr">
        <is>
          <t>Kalshi YES ask</t>
        </is>
      </c>
      <c r="B73" s="134"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3" t="inlineStr">
        <is>
          <t>Normalised probability</t>
        </is>
      </c>
      <c r="B74" s="134" t="inlineStr">
        <is>
          <t>Each outcome's mid divided by the sum of mids across the group, which strips out the overround so the set sums to 100%.</t>
        </is>
      </c>
    </row>
    <row r="75" ht="26" customHeight="1">
      <c r="A75" s="133" t="inlineStr">
        <is>
          <t>Overround / vig</t>
        </is>
      </c>
      <c r="B75" s="134" t="inlineStr">
        <is>
          <t>Sum of mids minus 1. On the margin ladder this runs far above 100% because several thin brackets are quoted with very wide spreads, which inflates their mid - read the normalised column, not the raw one.</t>
        </is>
      </c>
    </row>
    <row r="76" ht="26" customHeight="1">
      <c r="A76" s="133" t="inlineStr">
        <is>
          <t>Expected margin</t>
        </is>
      </c>
      <c r="B76" s="134" t="inlineStr">
        <is>
          <t>Sum of (normalised probability x signed bracket midpoint) across the ladder, in percentage points, positive for a Democratic win.</t>
        </is>
      </c>
    </row>
    <row r="77" ht="26" customHeight="1">
      <c r="A77" s="133" t="inlineStr">
        <is>
          <t>Kalshi volume column</t>
        </is>
      </c>
      <c r="B77" s="134" t="inlineStr">
        <is>
          <t>The winner history sums Democratic and Republican contract volume; open interest takes the larger of the two legs rather than the sum, since they are two sides of one race.</t>
        </is>
      </c>
    </row>
    <row r="78" ht="26" customHeight="1">
      <c r="A78" s="133" t="inlineStr">
        <is>
          <t>Date alignment</t>
        </is>
      </c>
      <c r="B78" s="134" t="inlineStr">
        <is>
          <t>All dates are UTC days. Venue Comparison joins with INDEX/MATCH on the date value, so the join survives a refresh that changes row counts.</t>
        </is>
      </c>
    </row>
    <row r="79" ht="26" customHeight="1">
      <c r="A79" s="133" t="inlineStr">
        <is>
          <t>Missing cells</t>
        </is>
      </c>
      <c r="B79" s="134"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3" t="inlineStr">
        <is>
          <t>Margin bracket midpoints</t>
        </is>
      </c>
      <c r="B82" s="135" t="inlineStr">
        <is>
          <t>Margin of Victory, column B. Closed brackets use their true centre (0-3% -&gt; 1.5). The open-ended ones are judgement calls: 'Democrat 18%+' = +20.0, 'Republican 6%+' = -8.0. They drive the expected-margin figure.</t>
        </is>
      </c>
    </row>
    <row r="83" ht="15" customHeight="1">
      <c r="A83" s="133" t="inlineStr">
        <is>
          <t>Seat bracket midpoints</t>
        </is>
      </c>
      <c r="B83" s="135" t="inlineStr">
        <is>
          <t>PA Seat Count, column B. Exact brackets use their own number; 'Below 7' = 6 and 'Above 12' = 13.</t>
        </is>
      </c>
    </row>
    <row r="84" ht="26" customHeight="1">
      <c r="A84" s="133" t="inlineStr">
        <is>
          <t>Seat ladder mid fallback</t>
        </is>
      </c>
      <c r="B84" s="135" t="inlineStr">
        <is>
          <t>'Below 7' and 'Above 12' have an ask but no resting bid, so their mid falls back to half the ask. Both quote at 1-2c, so this barely moves the expected-seats figure.</t>
        </is>
      </c>
    </row>
    <row r="85" ht="26" customHeight="1">
      <c r="A85" s="133" t="inlineStr">
        <is>
          <t>Current PA Democratic seats</t>
        </is>
      </c>
      <c r="B85" s="135" t="inlineStr">
        <is>
          <t>8, entered by hand on the PA Seat Count sheet as the baseline for the net-gain line. Verify against the current delegation before relying on it.</t>
        </is>
      </c>
    </row>
    <row r="86" ht="39" customHeight="1">
      <c r="A86" s="133" t="inlineStr">
        <is>
          <t>General poll sample size</t>
        </is>
      </c>
      <c r="B86" s="135" t="inlineStr">
        <is>
          <t>550 likely voters, used because the sample_size field is empty in house.csv; it is the figure Pollsmax reports for the same GBAO survey. Sample size only affects weighting, and with one poll in the log it changes nothing.</t>
        </is>
      </c>
    </row>
    <row r="87" ht="26" customHeight="1">
      <c r="A87" s="133" t="inlineStr">
        <is>
          <t>Poll recency half-life</t>
        </is>
      </c>
      <c r="B87" s="135" t="inlineStr">
        <is>
          <t>45 days. A poll's weight halves every 45 days - a reasonable default for a race still ten weeks out, not a fitted value.</t>
        </is>
      </c>
    </row>
    <row r="88" ht="39" customHeight="1">
      <c r="A88" s="133" t="inlineStr">
        <is>
          <t>Partisan house-effect haircut</t>
        </is>
      </c>
      <c r="B88" s="135" t="inlineStr">
        <is>
          <t>3.0 pp, subtracted from the weighted margin in proportion to net partisan sponsorship. This matters here: the only general-election poll is Democratic-sponsored, so the adjusted margin is the more conservative read.</t>
        </is>
      </c>
    </row>
    <row r="89" ht="26" customHeight="1">
      <c r="A89" s="133" t="inlineStr">
        <is>
          <t>Consensus weighting</t>
        </is>
      </c>
      <c r="B89" s="135"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3" t="inlineStr">
        <is>
          <t>PollsMax</t>
        </is>
      </c>
      <c r="B92" s="134"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3" t="inlineStr">
        <is>
          <t xml:space="preserve">  PollsMax caveats</t>
        </is>
      </c>
      <c r="B93" s="134"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3" t="inlineStr">
        <is>
          <t>City &amp; State PA</t>
        </is>
      </c>
      <c r="B94" s="135"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3" t="inlineStr">
        <is>
          <t xml:space="preserve">  sponsorship</t>
        </is>
      </c>
      <c r="B95" s="135" t="inlineStr">
        <is>
          <t>That entire section of the site is labelled SPONSORED CONTENT, its publisher states editorial staff were not involved, and its calls to action are affiliate trading links. Nothing from it feeds any calculation here.</t>
        </is>
      </c>
    </row>
    <row r="96" ht="39" customHeight="1">
      <c r="A96" s="133" t="inlineStr">
        <is>
          <t>FEC / OpenFEC</t>
        </is>
      </c>
      <c r="B96" s="134" t="inlineStr">
        <is>
          <t>api.open.fec.gov — campaign finance for the 2026 cycle, NOT polling. Candidate receipts, disbursements, cash on hand, and independent expenditures. API key lives in fec_key.txt (mode 600) and never appears in any output file.</t>
        </is>
      </c>
    </row>
    <row r="97" ht="52" customHeight="1">
      <c r="A97" s="133" t="inlineStr">
        <is>
          <t xml:space="preserve">  FEC staleness</t>
        </is>
      </c>
      <c r="B97" s="135"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3" t="inlineStr">
        <is>
          <t xml:space="preserve">  FEC caveat</t>
        </is>
      </c>
      <c r="B98" s="135"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3" t="inlineStr">
        <is>
          <t>Race ratings</t>
        </is>
      </c>
      <c r="B101" s="134" t="inlineStr">
        <is>
          <t>Cook Political Report (race 483941), Sabato's Crystal Ball and Inside Elections - all Toss-up as of February 2026.</t>
        </is>
      </c>
    </row>
    <row r="102" ht="15" customHeight="1">
      <c r="A102" s="133" t="inlineStr">
        <is>
          <t>Aggregators</t>
        </is>
      </c>
      <c r="B102" s="134" t="inlineStr">
        <is>
          <t>pollsmax.com/2026-us-house/pennsylvania-7/ and pollingsource.com/house/PA-07</t>
        </is>
      </c>
    </row>
    <row r="103" ht="26" customHeight="1">
      <c r="A103" s="133" t="inlineStr">
        <is>
          <t>Primary result</t>
        </is>
      </c>
      <c r="B103" s="134" t="inlineStr">
        <is>
          <t>Ballotpedia's 19 May 2026 report: Brooks ~41.4% at about 74% counted, ahead of Crosswell, McClure and Obando-Derstine.</t>
        </is>
      </c>
    </row>
    <row r="104" ht="26" customHeight="1">
      <c r="A104" s="133" t="inlineStr">
        <is>
          <t>Supplementary numbers</t>
        </is>
      </c>
      <c r="B104" s="134"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3" t="inlineStr">
        <is>
          <t>What to overwrite</t>
        </is>
      </c>
      <c r="B107" s="134" t="inlineStr">
        <is>
          <t>Only blue cells. On the market sheets that means the order-book blocks and the newest rows of each history table; append new dates at the bottom and copy the formula columns down.</t>
        </is>
      </c>
    </row>
    <row r="108" ht="26" customHeight="1">
      <c r="A108" s="133" t="inlineStr">
        <is>
          <t>Adding a poll</t>
        </is>
      </c>
      <c r="B108" s="134" t="inlineStr">
        <is>
          <t>Type into the next blank blue row of the general-election log on the Polls sheet. Columns L-O are already formulated through the end of the block.</t>
        </is>
      </c>
    </row>
    <row r="109" ht="26" customHeight="1">
      <c r="A109" s="133" t="inlineStr">
        <is>
          <t>Extending formulas</t>
        </is>
      </c>
      <c r="B109" s="134" t="inlineStr">
        <is>
          <t>Venue Comparison covers the Polymarket date range. If you append rows to the market sheets, extend that sheet's summary ranges and its MATCH ranges to match.</t>
        </is>
      </c>
    </row>
    <row r="110" ht="26" customHeight="1">
      <c r="A110" s="133" t="inlineStr">
        <is>
          <t>Recalculation</t>
        </is>
      </c>
      <c r="B110" s="134" t="inlineStr">
        <is>
          <t>This file was written by openpyxl, which stores formulas without cached results, so it is flagged to recalculate on open. Excel, LibreOffice and Numbers will compute every cell the moment you open it.</t>
        </is>
      </c>
    </row>
    <row r="111" ht="26" customHeight="1">
      <c r="A111" s="133" t="inlineStr">
        <is>
          <t>Credential note</t>
        </is>
      </c>
      <c r="B111" s="135"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2026-09-14T21:26:54Z</dcterms:created>
  <dcterms:modified xsi:type="dcterms:W3CDTF">2026-09-14T21:26:58Z</dcterms:modified>
</cp:coreProperties>
</file>