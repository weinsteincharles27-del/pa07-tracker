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arts" sheetId="2" state="visible" r:id="rId2"/>
    <sheet name="Distributions" sheetId="3" state="visible" r:id="rId3"/>
    <sheet name="Polymarket" sheetId="4" state="visible" r:id="rId4"/>
    <sheet name="Kalshi" sheetId="5" state="visible" r:id="rId5"/>
    <sheet name="Margin of Victory" sheetId="6" state="visible" r:id="rId6"/>
    <sheet name="Voter Turnout" sheetId="7" state="visible" r:id="rId7"/>
    <sheet name="PA Seat Count" sheetId="8" state="visible" r:id="rId8"/>
    <sheet name="Polls" sheetId="9" state="visible" r:id="rId9"/>
    <sheet name="Forecast &amp; Aggregators" sheetId="10" state="visible" r:id="rId10"/>
    <sheet name="Campaign Finance" sheetId="11" state="visible" r:id="rId11"/>
    <sheet name="Venue Comparison" sheetId="12" state="visible" r:id="rId12"/>
    <sheet name="Notes &amp; Sources" sheetId="13" state="visible" r:id="rId13"/>
  </sheets>
  <definedNames/>
  <calcPr calcId="124519" fullCalcOnLoad="1"/>
</workbook>
</file>

<file path=xl/styles.xml><?xml version="1.0" encoding="utf-8"?>
<styleSheet xmlns="http://schemas.openxmlformats.org/spreadsheetml/2006/main">
  <numFmts count="12">
    <numFmt numFmtId="164" formatCode="$#,##0;($#,##0);-"/>
    <numFmt numFmtId="165" formatCode="0.0%"/>
    <numFmt numFmtId="166" formatCode="+0.0%;-0.0%;0.0%"/>
    <numFmt numFmtId="167" formatCode="yyyy-mm-dd"/>
    <numFmt numFmtId="168" formatCode="#,##0;(#,##0);-"/>
    <numFmt numFmtId="169" formatCode="0.000"/>
    <numFmt numFmtId="170" formatCode="+0.0;-0.0;0.0"/>
    <numFmt numFmtId="171" formatCode="+0.00&quot; pts&quot;;-0.00&quot; pts&quot;;0.00&quot; pts&quot;"/>
    <numFmt numFmtId="172" formatCode="0.00&quot; seats&quot;"/>
    <numFmt numFmtId="173" formatCode="+0.00;-0.00;0.00"/>
    <numFmt numFmtId="174" formatCode="#,##0,&quot;K&quot;"/>
    <numFmt numFmtId="175" formatCode="+0.0&quot; pts&quot;;-0.0&quot; pts&quot;;0.0&quot; pts&quot;"/>
  </numFmts>
  <fonts count="13">
    <font>
      <name val="Calibri"/>
      <family val="2"/>
      <color theme="1"/>
      <sz val="11"/>
      <scheme val="minor"/>
    </font>
    <font>
      <name val="Arial"/>
      <b val="1"/>
      <color rgb="001F3864"/>
      <sz val="16"/>
    </font>
    <font>
      <name val="Arial"/>
      <i val="1"/>
      <color rgb="00595959"/>
      <sz val="9"/>
    </font>
    <font>
      <name val="Arial"/>
      <b val="1"/>
      <color rgb="00FFFFFF"/>
      <sz val="11"/>
    </font>
    <font>
      <name val="Arial"/>
      <b val="1"/>
      <color rgb="00FFFFFF"/>
      <sz val="9"/>
    </font>
    <font>
      <name val="Arial"/>
      <b val="1"/>
      <sz val="10"/>
    </font>
    <font>
      <name val="Arial"/>
      <color rgb="000000FF"/>
      <sz val="10"/>
    </font>
    <font>
      <name val="Arial"/>
      <sz val="10"/>
    </font>
    <font>
      <name val="Arial"/>
      <color rgb="00008000"/>
      <sz val="10"/>
    </font>
    <font>
      <name val="Arial"/>
      <b val="1"/>
      <color rgb="001F3864"/>
      <sz val="18"/>
    </font>
    <font>
      <name val="Arial"/>
      <i val="1"/>
      <color rgb="009C2B2B"/>
      <sz val="9"/>
    </font>
    <font>
      <name val="Arial"/>
      <b val="1"/>
      <color rgb="001F3864"/>
      <sz val="20"/>
    </font>
    <font>
      <name val="Courier New"/>
      <sz val="9"/>
    </font>
  </fonts>
  <fills count="12">
    <fill>
      <patternFill/>
    </fill>
    <fill>
      <patternFill patternType="gray125"/>
    </fill>
    <fill>
      <patternFill patternType="solid">
        <fgColor rgb="001F3864"/>
      </patternFill>
    </fill>
    <fill>
      <patternFill patternType="solid">
        <fgColor rgb="004472C4"/>
      </patternFill>
    </fill>
    <fill>
      <patternFill patternType="solid">
        <fgColor rgb="00DEEBF7"/>
      </patternFill>
    </fill>
    <fill>
      <patternFill patternType="solid">
        <fgColor rgb="00FCE4E4"/>
      </patternFill>
    </fill>
    <fill>
      <patternFill patternType="solid">
        <fgColor rgb="00F2F2F2"/>
      </patternFill>
    </fill>
    <fill>
      <patternFill patternType="solid">
        <fgColor rgb="00FFFF00"/>
      </patternFill>
    </fill>
    <fill>
      <patternFill patternType="solid">
        <fgColor rgb="00F7F9FC"/>
      </patternFill>
    </fill>
    <fill>
      <patternFill patternType="solid">
        <fgColor rgb="00E2EFDA"/>
      </patternFill>
    </fill>
    <fill>
      <patternFill patternType="solid">
        <fgColor rgb="00EDEDED"/>
      </patternFill>
    </fill>
    <fill>
      <patternFill patternType="solid">
        <fgColor rgb="00F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0" borderId="1" pivotButton="0" quotePrefix="0" xfId="0"/>
    <xf numFmtId="0" fontId="6" fillId="4" borderId="1" pivotButton="0" quotePrefix="0" xfId="0"/>
    <xf numFmtId="0" fontId="6" fillId="5" borderId="1" pivotButton="0" quotePrefix="0" xfId="0"/>
    <xf numFmtId="164" fontId="6" fillId="4" borderId="1" pivotButton="0" quotePrefix="0" xfId="0"/>
    <xf numFmtId="164" fontId="6" fillId="5" borderId="1" pivotButton="0" quotePrefix="0" xfId="0"/>
    <xf numFmtId="165" fontId="6" fillId="4" borderId="1" pivotButton="0" quotePrefix="0" xfId="0"/>
    <xf numFmtId="165" fontId="6" fillId="5" borderId="1" pivotButton="0" quotePrefix="0" xfId="0"/>
    <xf numFmtId="166" fontId="6" fillId="4" borderId="1" pivotButton="0" quotePrefix="0" xfId="0"/>
    <xf numFmtId="166" fontId="6" fillId="5" borderId="1" pivotButton="0" quotePrefix="0" xfId="0"/>
    <xf numFmtId="0" fontId="5" fillId="4" borderId="1" pivotButton="0" quotePrefix="0" xfId="0"/>
    <xf numFmtId="165" fontId="6" fillId="0" borderId="1" pivotButton="0" quotePrefix="0" xfId="0"/>
    <xf numFmtId="10" fontId="7" fillId="0" borderId="1" pivotButton="0" quotePrefix="0" xfId="0"/>
    <xf numFmtId="166" fontId="7" fillId="0" borderId="1" pivotButton="0" quotePrefix="0" xfId="0"/>
    <xf numFmtId="164" fontId="6" fillId="0" borderId="1" pivotButton="0" quotePrefix="0" xfId="0"/>
    <xf numFmtId="165" fontId="7" fillId="0" borderId="1" pivotButton="0" quotePrefix="0" xfId="0"/>
    <xf numFmtId="0" fontId="5" fillId="5" borderId="1" pivotButton="0" quotePrefix="0" xfId="0"/>
    <xf numFmtId="0" fontId="5" fillId="6" borderId="1" pivotButton="0" quotePrefix="0" xfId="0"/>
    <xf numFmtId="10" fontId="5" fillId="7" borderId="1" pivotButton="0" quotePrefix="0" xfId="0"/>
    <xf numFmtId="167" fontId="6" fillId="0" borderId="1" pivotButton="0" quotePrefix="0" xfId="0"/>
    <xf numFmtId="168" fontId="7" fillId="0" borderId="1" pivotButton="0" quotePrefix="0" xfId="0"/>
    <xf numFmtId="0" fontId="6" fillId="0" borderId="1" pivotButton="0" quotePrefix="0" xfId="0"/>
    <xf numFmtId="167" fontId="6" fillId="8" borderId="1" pivotButton="0" quotePrefix="0" xfId="0"/>
    <xf numFmtId="165" fontId="6" fillId="8" borderId="1" pivotButton="0" quotePrefix="0" xfId="0"/>
    <xf numFmtId="10" fontId="7" fillId="8" borderId="1" pivotButton="0" quotePrefix="0" xfId="0"/>
    <xf numFmtId="165" fontId="7" fillId="8" borderId="1" pivotButton="0" quotePrefix="0" xfId="0"/>
    <xf numFmtId="166" fontId="7"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0" fontId="5" fillId="6" borderId="1" applyAlignment="1" pivotButton="0" quotePrefix="0" xfId="0">
      <alignment horizontal="center"/>
    </xf>
    <xf numFmtId="168" fontId="6" fillId="0" borderId="1" pivotButton="0" quotePrefix="0" xfId="0"/>
    <xf numFmtId="168" fontId="6" fillId="8" borderId="1" pivotButton="0" quotePrefix="0" xfId="0"/>
    <xf numFmtId="0" fontId="6" fillId="8" borderId="1" pivotButton="0" quotePrefix="0" xfId="0"/>
    <xf numFmtId="167" fontId="6" fillId="0" borderId="1" pivotButton="0" quotePrefix="0" xfId="0"/>
    <xf numFmtId="168" fontId="7" fillId="0" borderId="1" pivotButton="0" quotePrefix="0" xfId="0"/>
    <xf numFmtId="167" fontId="6"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168" fontId="6" fillId="0" borderId="1" pivotButton="0" quotePrefix="0" xfId="0"/>
    <xf numFmtId="168" fontId="6" fillId="8" borderId="1" pivotButton="0" quotePrefix="0" xfId="0"/>
    <xf numFmtId="0" fontId="5" fillId="7" borderId="1" pivotButton="0" quotePrefix="0" xfId="0"/>
    <xf numFmtId="169" fontId="7" fillId="0" borderId="1" pivotButton="0" quotePrefix="0" xfId="0"/>
    <xf numFmtId="169" fontId="7" fillId="8" borderId="1" pivotButton="0" quotePrefix="0" xfId="0"/>
    <xf numFmtId="167" fontId="6" fillId="7" borderId="1" pivotButton="0" quotePrefix="0" xfId="0"/>
    <xf numFmtId="168" fontId="6" fillId="7" borderId="1" pivotButton="0" quotePrefix="0" xfId="0"/>
    <xf numFmtId="165" fontId="6" fillId="7" borderId="1" pivotButton="0" quotePrefix="0" xfId="0"/>
    <xf numFmtId="165" fontId="7" fillId="4" borderId="1" pivotButton="0" quotePrefix="0" xfId="0"/>
    <xf numFmtId="165" fontId="7" fillId="5" borderId="1" pivotButton="0" quotePrefix="0" xfId="0"/>
    <xf numFmtId="166" fontId="5" fillId="0" borderId="1" pivotButton="0" quotePrefix="0" xfId="0"/>
    <xf numFmtId="2" fontId="7" fillId="0" borderId="1" pivotButton="0" quotePrefix="0" xfId="0"/>
    <xf numFmtId="166" fontId="5" fillId="7" borderId="1" pivotButton="0" quotePrefix="0" xfId="0"/>
    <xf numFmtId="167" fontId="7" fillId="0" borderId="1" pivotButton="0" quotePrefix="0" xfId="0"/>
    <xf numFmtId="0" fontId="7" fillId="0" borderId="1" pivotButton="0" quotePrefix="0" xfId="0"/>
    <xf numFmtId="0" fontId="7" fillId="8" borderId="1" pivotButton="0" quotePrefix="0" xfId="0"/>
    <xf numFmtId="0" fontId="5" fillId="9" borderId="1" pivotButton="0" quotePrefix="0" xfId="0"/>
    <xf numFmtId="0" fontId="7" fillId="9" borderId="1" pivotButton="0" quotePrefix="0" xfId="0"/>
    <xf numFmtId="167" fontId="6" fillId="9" borderId="1" pivotButton="0" quotePrefix="0" xfId="0"/>
    <xf numFmtId="165" fontId="6" fillId="9" borderId="1" pivotButton="0" quotePrefix="0" xfId="0"/>
    <xf numFmtId="0" fontId="6" fillId="0" borderId="1" applyAlignment="1" pivotButton="0" quotePrefix="0" xfId="0">
      <alignment vertical="top" wrapText="1"/>
    </xf>
    <xf numFmtId="0" fontId="0" fillId="0" borderId="4" pivotButton="0" quotePrefix="0" xfId="0"/>
    <xf numFmtId="0" fontId="0" fillId="0" borderId="5" pivotButton="0" quotePrefix="0" xfId="0"/>
    <xf numFmtId="0" fontId="6" fillId="10" borderId="1" pivotButton="0" quotePrefix="0" xfId="0"/>
    <xf numFmtId="167" fontId="6" fillId="10" borderId="1" pivotButton="0" quotePrefix="0" xfId="0"/>
    <xf numFmtId="168" fontId="6" fillId="10" borderId="1" pivotButton="0" quotePrefix="0" xfId="0"/>
    <xf numFmtId="165" fontId="6" fillId="10" borderId="1" pivotButton="0" quotePrefix="0" xfId="0"/>
    <xf numFmtId="166" fontId="7" fillId="10" borderId="1" pivotButton="0" quotePrefix="0" xfId="0"/>
    <xf numFmtId="168" fontId="7" fillId="10" borderId="1" pivotButton="0" quotePrefix="0" xfId="0"/>
    <xf numFmtId="169" fontId="7" fillId="10" borderId="1" pivotButton="0" quotePrefix="0" xfId="0"/>
    <xf numFmtId="169" fontId="7" fillId="0" borderId="1" pivotButton="0" quotePrefix="0" xfId="0"/>
    <xf numFmtId="169" fontId="7" fillId="8" borderId="1" pivotButton="0" quotePrefix="0" xfId="0"/>
    <xf numFmtId="169" fontId="7" fillId="10" borderId="1" pivotButton="0" quotePrefix="0" xfId="0"/>
    <xf numFmtId="170" fontId="6" fillId="0" borderId="1" pivotButton="0" quotePrefix="0" xfId="0"/>
    <xf numFmtId="10" fontId="5" fillId="0" borderId="1" pivotButton="0" quotePrefix="0" xfId="0"/>
    <xf numFmtId="164" fontId="5" fillId="0" borderId="1" pivotButton="0" quotePrefix="0" xfId="0"/>
    <xf numFmtId="169" fontId="5" fillId="0" borderId="1" pivotButton="0" quotePrefix="0" xfId="0"/>
    <xf numFmtId="10" fontId="5" fillId="4" borderId="1" pivotButton="0" quotePrefix="0" xfId="0"/>
    <xf numFmtId="10" fontId="5" fillId="5" borderId="1" pivotButton="0" quotePrefix="0" xfId="0"/>
    <xf numFmtId="171" fontId="5" fillId="7" borderId="1" pivotButton="0" quotePrefix="0" xfId="0"/>
    <xf numFmtId="10" fontId="8" fillId="0" borderId="1" pivotButton="0" quotePrefix="0" xfId="0"/>
    <xf numFmtId="172" fontId="5" fillId="7" borderId="1" pivotButton="0" quotePrefix="0" xfId="0"/>
    <xf numFmtId="173" fontId="5" fillId="0" borderId="1" pivotButton="0" quotePrefix="0" xfId="0"/>
    <xf numFmtId="0" fontId="0" fillId="8" borderId="0" pivotButton="0" quotePrefix="0" xfId="0"/>
    <xf numFmtId="172" fontId="5" fillId="7" borderId="1" pivotButton="0" quotePrefix="0" xfId="0"/>
    <xf numFmtId="173" fontId="5" fillId="0" borderId="1" pivotButton="0" quotePrefix="0" xfId="0"/>
    <xf numFmtId="174" fontId="6" fillId="0" borderId="1" pivotButton="0" quotePrefix="0" xfId="0"/>
    <xf numFmtId="3" fontId="7" fillId="0" borderId="1" pivotButton="0" quotePrefix="0" xfId="0"/>
    <xf numFmtId="3" fontId="5" fillId="0" borderId="1" pivotButton="0" quotePrefix="0" xfId="0"/>
    <xf numFmtId="3" fontId="5" fillId="7" borderId="1" pivotButton="0" quotePrefix="0" xfId="0"/>
    <xf numFmtId="3" fontId="6" fillId="0" borderId="1" pivotButton="0" quotePrefix="0" xfId="0"/>
    <xf numFmtId="165" fontId="9" fillId="7" borderId="1" pivotButton="0" quotePrefix="0" xfId="0"/>
    <xf numFmtId="175" fontId="6" fillId="0" borderId="1" pivotButton="0" quotePrefix="0" xfId="0"/>
    <xf numFmtId="0" fontId="2" fillId="0" borderId="0" applyAlignment="1" pivotButton="0" quotePrefix="0" xfId="0">
      <alignment vertical="top" wrapText="1"/>
    </xf>
    <xf numFmtId="166" fontId="6" fillId="0" borderId="1" pivotButton="0" quotePrefix="0" xfId="0"/>
    <xf numFmtId="165" fontId="8" fillId="0" borderId="1" pivotButton="0" quotePrefix="0" xfId="0"/>
    <xf numFmtId="165" fontId="8" fillId="8" borderId="1" pivotButton="0" quotePrefix="0" xfId="0"/>
    <xf numFmtId="166" fontId="7" fillId="7" borderId="1" pivotButton="0" quotePrefix="0" xfId="0"/>
    <xf numFmtId="0" fontId="10" fillId="11" borderId="0" applyAlignment="1" pivotButton="0" quotePrefix="0" xfId="0">
      <alignment vertical="top" wrapText="1"/>
    </xf>
    <xf numFmtId="0" fontId="6" fillId="7" borderId="1" pivotButton="0" quotePrefix="0" xfId="0"/>
    <xf numFmtId="0" fontId="2" fillId="6" borderId="1" pivotButton="0" quotePrefix="0" xfId="0"/>
    <xf numFmtId="164" fontId="5" fillId="7" borderId="1" pivotButton="0" quotePrefix="0" xfId="0"/>
    <xf numFmtId="164" fontId="7" fillId="0" borderId="1" pivotButton="0" quotePrefix="0" xfId="0"/>
    <xf numFmtId="0" fontId="7" fillId="4" borderId="1" pivotButton="0" quotePrefix="0" xfId="0"/>
    <xf numFmtId="0" fontId="7" fillId="5" borderId="1" pivotButton="0" quotePrefix="0" xfId="0"/>
    <xf numFmtId="0" fontId="10" fillId="0" borderId="0" applyAlignment="1" pivotButton="0" quotePrefix="0" xfId="0">
      <alignment vertical="top" wrapText="1"/>
    </xf>
    <xf numFmtId="165" fontId="11" fillId="7" borderId="1" pivotButton="0" quotePrefix="0" xfId="0"/>
    <xf numFmtId="171" fontId="11" fillId="7" borderId="1" pivotButton="0" quotePrefix="0" xfId="0"/>
    <xf numFmtId="10" fontId="8" fillId="4" borderId="1" pivotButton="0" quotePrefix="0" xfId="0"/>
    <xf numFmtId="10" fontId="8" fillId="5" borderId="1" pivotButton="0" quotePrefix="0" xfId="0"/>
    <xf numFmtId="166" fontId="8" fillId="0" borderId="1" pivotButton="0" quotePrefix="0" xfId="0"/>
    <xf numFmtId="164" fontId="8" fillId="0" borderId="1" pivotButton="0" quotePrefix="0" xfId="0"/>
    <xf numFmtId="10" fontId="8" fillId="7" borderId="1" pivotButton="0" quotePrefix="0" xfId="0"/>
    <xf numFmtId="0" fontId="5" fillId="8" borderId="1" pivotButton="0" quotePrefix="0" xfId="0"/>
    <xf numFmtId="171" fontId="8" fillId="7" borderId="1" pivotButton="0" quotePrefix="0" xfId="0"/>
    <xf numFmtId="3" fontId="8" fillId="7" borderId="1" pivotButton="0" quotePrefix="0" xfId="0"/>
    <xf numFmtId="172" fontId="8" fillId="7" borderId="1" pivotButton="0" quotePrefix="0" xfId="0"/>
    <xf numFmtId="165" fontId="8" fillId="7" borderId="1" pivotButton="0" quotePrefix="0" xfId="0"/>
    <xf numFmtId="0" fontId="7" fillId="6" borderId="1" pivotButton="0" quotePrefix="0" xfId="0"/>
    <xf numFmtId="167" fontId="8" fillId="0" borderId="1" pivotButton="0" quotePrefix="0" xfId="0"/>
    <xf numFmtId="171" fontId="8" fillId="0" borderId="1" pivotButton="0" quotePrefix="0" xfId="0"/>
    <xf numFmtId="0" fontId="2" fillId="0" borderId="1" pivotButton="0" quotePrefix="0" xfId="0"/>
    <xf numFmtId="2" fontId="8" fillId="0" borderId="1" pivotButton="0" quotePrefix="0" xfId="0"/>
    <xf numFmtId="0" fontId="8" fillId="0" borderId="1" pivotButton="0" quotePrefix="0" xfId="0"/>
    <xf numFmtId="165" fontId="8" fillId="9" borderId="1" pivotButton="0" quotePrefix="0" xfId="0"/>
    <xf numFmtId="0" fontId="5" fillId="0" borderId="0" applyAlignment="1" pivotButton="0" quotePrefix="0" xfId="0">
      <alignment vertical="top"/>
    </xf>
    <xf numFmtId="0" fontId="7" fillId="0" borderId="0" applyAlignment="1" pivotButton="0" quotePrefix="0" xfId="0">
      <alignment vertical="top" wrapText="1"/>
    </xf>
    <xf numFmtId="0" fontId="7" fillId="7"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sz="1200" b="1">
                <a:solidFill>
                  <a:srgbClr val="1F3864"/>
                </a:solidFill>
              </a:defRPr>
            </a:pPr>
            <a:r>
              <a:t>Democratic win probability — Polymarket vs Kalshi</a:t>
            </a:r>
          </a:p>
        </rich>
      </tx>
    </title>
    <plotArea>
      <layout>
        <manualLayout>
          <xMode val="edge"/>
          <yMode val="edge"/>
          <wMode val="factor"/>
          <hMode val="factor"/>
          <x val="0.075"/>
          <y val="0.17"/>
          <w val="0.895"/>
          <h val="0.6399999999999999"/>
        </manualLayout>
      </layout>
      <lineChart>
        <grouping val="standard"/>
        <ser>
          <idx val="0"/>
          <order val="0"/>
          <tx>
            <strRef>
              <f>'Venue Comparison'!B14</f>
            </strRef>
          </tx>
          <spPr>
            <a:ln w="22000">
              <a:solidFill>
                <a:srgbClr val="2E5FA3"/>
              </a:solidFill>
              <a:prstDash val="solid"/>
            </a:ln>
          </spPr>
          <marker>
            <symbol val="none"/>
            <spPr>
              <a:ln>
                <a:prstDash val="solid"/>
              </a:ln>
            </spPr>
          </marker>
          <cat>
            <numRef>
              <f>'Venue Comparison'!$L$15:$L$293</f>
            </numRef>
          </cat>
          <val>
            <numRef>
              <f>'Venue Comparison'!$B$15:$B$293</f>
            </numRef>
          </val>
          <smooth val="0"/>
        </ser>
        <ser>
          <idx val="1"/>
          <order val="1"/>
          <tx>
            <strRef>
              <f>'Venue Comparison'!C14</f>
            </strRef>
          </tx>
          <spPr>
            <a:ln w="22000">
              <a:solidFill>
                <a:srgbClr val="E8802B"/>
              </a:solidFill>
              <a:prstDash val="solid"/>
            </a:ln>
          </spPr>
          <marker>
            <symbol val="none"/>
            <spPr>
              <a:ln>
                <a:prstDash val="solid"/>
              </a:ln>
            </spPr>
          </marker>
          <cat>
            <numRef>
              <f>'Venue Comparison'!$L$15:$L$293</f>
            </numRef>
          </cat>
          <val>
            <numRef>
              <f>'Venue Comparison'!$C$15:$C$293</f>
            </numRef>
          </val>
          <smooth val="0"/>
        </ser>
        <ser>
          <idx val="2"/>
          <order val="2"/>
          <tx>
            <strRef>
              <f>'Venue Comparison'!K14</f>
            </strRef>
          </tx>
          <spPr>
            <a:ln w="12000">
              <a:solidFill>
                <a:srgbClr val="9AA5B1"/>
              </a:solidFill>
              <a:prstDash val="dash"/>
            </a:ln>
          </spPr>
          <marker>
            <symbol val="none"/>
            <spPr>
              <a:ln>
                <a:prstDash val="solid"/>
              </a:ln>
            </spPr>
          </marker>
          <cat>
            <numRef>
              <f>'Venue Comparison'!$L$15:$L$293</f>
            </numRef>
          </cat>
          <val>
            <numRef>
              <f>'Venue Comparison'!$K$15:$K$293</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95"/>
          <min val="0.3"/>
        </scaling>
        <delete val="0"/>
        <axPos val="l"/>
        <majorGridlines>
          <spPr>
            <a:ln w="6350">
              <a:solidFill>
                <a:srgbClr val="EDEFF3"/>
              </a:solidFill>
              <a:prstDash val="solid"/>
            </a:ln>
          </spPr>
        </majorGridlines>
        <title>
          <tx>
            <rich>
              <a:bodyPr/>
              <a:p>
                <a:pPr>
                  <a:defRPr sz="950" b="0">
                    <a:solidFill>
                      <a:srgbClr val="3B3B3B"/>
                    </a:solidFill>
                  </a:defRPr>
                </a:pPr>
                <a:r>
                  <a:t>Implied 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1"/>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200" b="1">
                <a:solidFill>
                  <a:srgbClr val="1F3864"/>
                </a:solidFill>
              </a:defRPr>
            </a:pPr>
            <a:r>
              <a:t>Cross-venue divergence (Polymarket − Kalshi)</a:t>
            </a:r>
          </a:p>
        </rich>
      </tx>
    </title>
    <plotArea>
      <layout>
        <manualLayout>
          <xMode val="edge"/>
          <yMode val="edge"/>
          <wMode val="factor"/>
          <hMode val="factor"/>
          <x val="0.075"/>
          <y val="0.17"/>
          <w val="0.895"/>
          <h val="0.6399999999999999"/>
        </manualLayout>
      </layout>
      <lineChart>
        <grouping val="standard"/>
        <ser>
          <idx val="0"/>
          <order val="0"/>
          <tx>
            <strRef>
              <f>'Venue Comparison'!D14</f>
            </strRef>
          </tx>
          <spPr>
            <a:ln w="20000">
              <a:solidFill>
                <a:srgbClr val="6B7C93"/>
              </a:solidFill>
              <a:prstDash val="solid"/>
            </a:ln>
          </spPr>
          <marker>
            <symbol val="none"/>
            <spPr>
              <a:ln>
                <a:prstDash val="solid"/>
              </a:ln>
            </spPr>
          </marker>
          <cat>
            <numRef>
              <f>'Venue Comparison'!$L$15:$L$293</f>
            </numRef>
          </cat>
          <val>
            <numRef>
              <f>'Venue Comparison'!$D$15:$D$293</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4"/>
          <min val="-0.4"/>
        </scaling>
        <delete val="0"/>
        <axPos val="l"/>
        <majorGridlines>
          <spPr>
            <a:ln w="6350">
              <a:solidFill>
                <a:srgbClr val="EDEFF3"/>
              </a:solidFill>
              <a:prstDash val="solid"/>
            </a:ln>
          </spPr>
        </majorGridlines>
        <title>
          <tx>
            <rich>
              <a:bodyPr/>
              <a:p>
                <a:pPr>
                  <a:defRPr sz="950" b="0">
                    <a:solidFill>
                      <a:srgbClr val="3B3B3B"/>
                    </a:solidFill>
                  </a:defRPr>
                </a:pPr>
                <a:r>
                  <a:t>Percentage points</a:t>
                </a:r>
              </a:p>
            </rich>
          </tx>
        </title>
        <numFmt formatCode="0.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1"/>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200" b="1">
                <a:solidFill>
                  <a:srgbClr val="1F3864"/>
                </a:solidFill>
              </a:defRPr>
            </a:pPr>
            <a:r>
              <a:t>Kalshi Democratic contract — bid vs ask</a:t>
            </a:r>
          </a:p>
        </rich>
      </tx>
    </title>
    <plotArea>
      <layout>
        <manualLayout>
          <xMode val="edge"/>
          <yMode val="edge"/>
          <wMode val="factor"/>
          <hMode val="factor"/>
          <x val="0.075"/>
          <y val="0.17"/>
          <w val="0.895"/>
          <h val="0.6399999999999999"/>
        </manualLayout>
      </layout>
      <lineChart>
        <grouping val="standard"/>
        <ser>
          <idx val="0"/>
          <order val="0"/>
          <tx>
            <strRef>
              <f>'Kalshi'!B30</f>
            </strRef>
          </tx>
          <spPr>
            <a:ln w="16000">
              <a:solidFill>
                <a:srgbClr val="2E5FA3"/>
              </a:solidFill>
              <a:prstDash val="solid"/>
            </a:ln>
          </spPr>
          <marker>
            <symbol val="none"/>
            <spPr>
              <a:ln>
                <a:prstDash val="solid"/>
              </a:ln>
            </spPr>
          </marker>
          <cat>
            <numRef>
              <f>'Kalshi'!$M$31:$M$485</f>
            </numRef>
          </cat>
          <val>
            <numRef>
              <f>'Kalshi'!$B$31:$B$485</f>
            </numRef>
          </val>
          <smooth val="0"/>
        </ser>
        <ser>
          <idx val="1"/>
          <order val="1"/>
          <tx>
            <strRef>
              <f>'Kalshi'!C30</f>
            </strRef>
          </tx>
          <spPr>
            <a:ln w="16000">
              <a:solidFill>
                <a:srgbClr val="E8802B"/>
              </a:solidFill>
              <a:prstDash val="solid"/>
            </a:ln>
          </spPr>
          <marker>
            <symbol val="none"/>
            <spPr>
              <a:ln>
                <a:prstDash val="solid"/>
              </a:ln>
            </spPr>
          </marker>
          <cat>
            <numRef>
              <f>'Kalshi'!$M$31:$M$485</f>
            </numRef>
          </cat>
          <val>
            <numRef>
              <f>'Kalshi'!$C$31:$C$485</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45"/>
        <tickMarkSkip val="45"/>
      </catAx>
      <valAx>
        <axId val="100"/>
        <scaling>
          <orientation val="minMax"/>
          <max val="1"/>
          <min val="0.3"/>
        </scaling>
        <delete val="0"/>
        <axPos val="l"/>
        <majorGridlines>
          <spPr>
            <a:ln w="6350">
              <a:solidFill>
                <a:srgbClr val="EDEFF3"/>
              </a:solidFill>
              <a:prstDash val="solid"/>
            </a:ln>
          </spPr>
        </majorGridlines>
        <title>
          <tx>
            <rich>
              <a:bodyPr/>
              <a:p>
                <a:pPr>
                  <a:defRPr sz="950" b="0">
                    <a:solidFill>
                      <a:srgbClr val="3B3B3B"/>
                    </a:solidFill>
                  </a:defRPr>
                </a:pPr>
                <a:r>
                  <a:t>Price / implied 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1"/>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200" b="1">
                <a:solidFill>
                  <a:srgbClr val="1F3864"/>
                </a:solidFill>
              </a:defRPr>
            </a:pPr>
            <a:r>
              <a:t>Kalshi open interest — how much money is on the race</a:t>
            </a:r>
          </a:p>
        </rich>
      </tx>
    </title>
    <plotArea>
      <layout>
        <manualLayout>
          <xMode val="edge"/>
          <yMode val="edge"/>
          <wMode val="factor"/>
          <hMode val="factor"/>
          <x val="0.075"/>
          <y val="0.17"/>
          <w val="0.895"/>
          <h val="0.6399999999999999"/>
        </manualLayout>
      </layout>
      <lineChart>
        <grouping val="standard"/>
        <ser>
          <idx val="0"/>
          <order val="0"/>
          <tx>
            <strRef>
              <f>'Kalshi'!L30</f>
            </strRef>
          </tx>
          <spPr>
            <a:ln w="20000">
              <a:solidFill>
                <a:srgbClr val="5B8C5A"/>
              </a:solidFill>
              <a:prstDash val="solid"/>
            </a:ln>
          </spPr>
          <marker>
            <symbol val="none"/>
            <spPr>
              <a:ln>
                <a:prstDash val="solid"/>
              </a:ln>
            </spPr>
          </marker>
          <cat>
            <numRef>
              <f>'Kalshi'!$M$31:$M$485</f>
            </numRef>
          </cat>
          <val>
            <numRef>
              <f>'Kalshi'!$L$31:$L$485</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45"/>
        <tickMarkSkip val="45"/>
      </catAx>
      <valAx>
        <axId val="100"/>
        <scaling>
          <orientation val="minMax"/>
        </scaling>
        <delete val="0"/>
        <axPos val="l"/>
        <majorGridlines>
          <spPr>
            <a:ln w="6350">
              <a:solidFill>
                <a:srgbClr val="EDEFF3"/>
              </a:solidFill>
              <a:prstDash val="solid"/>
            </a:ln>
          </spPr>
        </majorGridlines>
        <title>
          <tx>
            <rich>
              <a:bodyPr/>
              <a:p>
                <a:pPr>
                  <a:defRPr sz="950" b="0">
                    <a:solidFill>
                      <a:srgbClr val="3B3B3B"/>
                    </a:solidFill>
                  </a:defRPr>
                </a:pPr>
                <a:r>
                  <a:t>Contracts</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200" b="1">
                <a:solidFill>
                  <a:srgbClr val="1F3864"/>
                </a:solidFill>
              </a:defRPr>
            </a:pPr>
            <a:r>
              <a:t>Polymarket pricing efficiency — Dem + Rep price</a:t>
            </a:r>
          </a:p>
        </rich>
      </tx>
    </title>
    <plotArea>
      <layout>
        <manualLayout>
          <xMode val="edge"/>
          <yMode val="edge"/>
          <wMode val="factor"/>
          <hMode val="factor"/>
          <x val="0.075"/>
          <y val="0.17"/>
          <w val="0.895"/>
          <h val="0.6399999999999999"/>
        </manualLayout>
      </layout>
      <lineChart>
        <grouping val="standard"/>
        <ser>
          <idx val="0"/>
          <order val="0"/>
          <tx>
            <strRef>
              <f>'Polymarket'!D24</f>
            </strRef>
          </tx>
          <spPr>
            <a:ln w="18000">
              <a:solidFill>
                <a:srgbClr val="8E6FB3"/>
              </a:solidFill>
              <a:prstDash val="solid"/>
            </a:ln>
          </spPr>
          <marker>
            <symbol val="none"/>
            <spPr>
              <a:ln>
                <a:prstDash val="solid"/>
              </a:ln>
            </spPr>
          </marker>
          <cat>
            <numRef>
              <f>'Polymarket'!$K$25:$K$303</f>
            </numRef>
          </cat>
          <val>
            <numRef>
              <f>'Polymarket'!$D$25:$D$303</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1.1"/>
          <min val="0.9"/>
        </scaling>
        <delete val="0"/>
        <axPos val="l"/>
        <majorGridlines>
          <spPr>
            <a:ln w="6350">
              <a:solidFill>
                <a:srgbClr val="EDEFF3"/>
              </a:solidFill>
              <a:prstDash val="solid"/>
            </a:ln>
          </spPr>
        </majorGridlines>
        <title>
          <tx>
            <rich>
              <a:bodyPr/>
              <a:p>
                <a:pPr>
                  <a:defRPr sz="950" b="0">
                    <a:solidFill>
                      <a:srgbClr val="3B3B3B"/>
                    </a:solidFill>
                  </a:defRPr>
                </a:pPr>
                <a:r>
                  <a:t>Sum of the two YES prices</a:t>
                </a:r>
              </a:p>
            </rich>
          </tx>
        </title>
        <numFmt formatCode="0.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05"/>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200" b="1">
                <a:solidFill>
                  <a:srgbClr val="1F3864"/>
                </a:solidFill>
              </a:defRPr>
            </a:pPr>
            <a:r>
              <a:t>Polymarket — Democratic vs Republican price</a:t>
            </a:r>
          </a:p>
        </rich>
      </tx>
    </title>
    <plotArea>
      <layout>
        <manualLayout>
          <xMode val="edge"/>
          <yMode val="edge"/>
          <wMode val="factor"/>
          <hMode val="factor"/>
          <x val="0.075"/>
          <y val="0.17"/>
          <w val="0.895"/>
          <h val="0.6399999999999999"/>
        </manualLayout>
      </layout>
      <lineChart>
        <grouping val="standard"/>
        <ser>
          <idx val="0"/>
          <order val="0"/>
          <tx>
            <strRef>
              <f>'Polymarket'!B24</f>
            </strRef>
          </tx>
          <spPr>
            <a:ln w="22000">
              <a:solidFill>
                <a:srgbClr val="2E5FA3"/>
              </a:solidFill>
              <a:prstDash val="solid"/>
            </a:ln>
          </spPr>
          <marker>
            <symbol val="none"/>
            <spPr>
              <a:ln>
                <a:prstDash val="solid"/>
              </a:ln>
            </spPr>
          </marker>
          <cat>
            <numRef>
              <f>'Polymarket'!$K$25:$K$303</f>
            </numRef>
          </cat>
          <val>
            <numRef>
              <f>'Polymarket'!$B$25:$B$303</f>
            </numRef>
          </val>
          <smooth val="0"/>
        </ser>
        <ser>
          <idx val="1"/>
          <order val="1"/>
          <tx>
            <strRef>
              <f>'Polymarket'!C24</f>
            </strRef>
          </tx>
          <spPr>
            <a:ln w="22000">
              <a:solidFill>
                <a:srgbClr val="C0392B"/>
              </a:solidFill>
              <a:prstDash val="solid"/>
            </a:ln>
          </spPr>
          <marker>
            <symbol val="none"/>
            <spPr>
              <a:ln>
                <a:prstDash val="solid"/>
              </a:ln>
            </spPr>
          </marker>
          <cat>
            <numRef>
              <f>'Polymarket'!$K$25:$K$303</f>
            </numRef>
          </cat>
          <val>
            <numRef>
              <f>'Polymarket'!$C$25:$C$303</f>
            </numRef>
          </val>
          <smooth val="0"/>
        </ser>
        <axId val="10"/>
        <axId val="100"/>
      </lineChart>
      <catAx>
        <axId val="10"/>
        <scaling>
          <orientation val="minMax"/>
        </scaling>
        <delete val="0"/>
        <axPos val="l"/>
        <numFmt formatCode="mmm-yy"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1"/>
          <min val="0"/>
        </scaling>
        <delete val="0"/>
        <axPos val="l"/>
        <majorGridlines>
          <spPr>
            <a:ln w="6350">
              <a:solidFill>
                <a:srgbClr val="EDEFF3"/>
              </a:solidFill>
              <a:prstDash val="solid"/>
            </a:ln>
          </spPr>
        </majorGridlines>
        <title>
          <tx>
            <rich>
              <a:bodyPr/>
              <a:p>
                <a:pPr>
                  <a:defRPr sz="950" b="0">
                    <a:solidFill>
                      <a:srgbClr val="3B3B3B"/>
                    </a:solidFill>
                  </a:defRPr>
                </a:pPr>
                <a:r>
                  <a:t>Implied 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2"/>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200" b="1">
                <a:solidFill>
                  <a:srgbClr val="1F3864"/>
                </a:solidFill>
              </a:defRPr>
            </a:pPr>
            <a:r>
              <a:t>Model vs market — Brooks win probability</a:t>
            </a:r>
          </a:p>
        </rich>
      </tx>
    </title>
    <plotArea>
      <layout>
        <manualLayout>
          <xMode val="edge"/>
          <yMode val="edge"/>
          <wMode val="factor"/>
          <hMode val="factor"/>
          <x val="0.075"/>
          <y val="0.17"/>
          <w val="0.895"/>
          <h val="0.6399999999999999"/>
        </manualLayout>
      </layout>
      <lineChart>
        <grouping val="standard"/>
        <ser>
          <idx val="0"/>
          <order val="0"/>
          <tx>
            <strRef>
              <f>'Forecast &amp; Aggregators'!B35</f>
            </strRef>
          </tx>
          <spPr>
            <a:ln w="22000">
              <a:solidFill>
                <a:srgbClr val="8E6FB3"/>
              </a:solidFill>
              <a:prstDash val="solid"/>
            </a:ln>
          </spPr>
          <marker>
            <symbol val="none"/>
            <spPr>
              <a:ln>
                <a:prstDash val="solid"/>
              </a:ln>
            </spPr>
          </marker>
          <cat>
            <numRef>
              <f>'Forecast &amp; Aggregators'!$I$36:$I$266</f>
            </numRef>
          </cat>
          <val>
            <numRef>
              <f>'Forecast &amp; Aggregators'!$B$36:$B$266</f>
            </numRef>
          </val>
          <smooth val="0"/>
        </ser>
        <ser>
          <idx val="1"/>
          <order val="1"/>
          <tx>
            <strRef>
              <f>'Forecast &amp; Aggregators'!G35</f>
            </strRef>
          </tx>
          <spPr>
            <a:ln w="22000">
              <a:solidFill>
                <a:srgbClr val="2E5FA3"/>
              </a:solidFill>
              <a:prstDash val="solid"/>
            </a:ln>
          </spPr>
          <marker>
            <symbol val="none"/>
            <spPr>
              <a:ln>
                <a:prstDash val="solid"/>
              </a:ln>
            </spPr>
          </marker>
          <cat>
            <numRef>
              <f>'Forecast &amp; Aggregators'!$I$36:$I$266</f>
            </numRef>
          </cat>
          <val>
            <numRef>
              <f>'Forecast &amp; Aggregators'!$G$36:$G$266</f>
            </numRef>
          </val>
          <smooth val="0"/>
        </ser>
        <axId val="10"/>
        <axId val="100"/>
      </line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95"/>
          <min val="0.3"/>
        </scaling>
        <delete val="0"/>
        <axPos val="l"/>
        <majorGridlines>
          <spPr>
            <a:ln w="6350">
              <a:solidFill>
                <a:srgbClr val="EDEFF3"/>
              </a:solidFill>
              <a:prstDash val="solid"/>
            </a:ln>
          </spPr>
        </majorGridlines>
        <title>
          <tx>
            <rich>
              <a:bodyPr/>
              <a:p>
                <a:pPr>
                  <a:defRPr sz="950" b="0">
                    <a:solidFill>
                      <a:srgbClr val="3B3B3B"/>
                    </a:solidFill>
                  </a:defRPr>
                </a:pPr>
                <a:r>
                  <a:t>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1"/>
      </valAx>
    </plotArea>
    <legend>
      <legendPos val="t"/>
      <overlay val="0"/>
      <txPr>
        <a:bodyPr/>
        <a:p>
          <a:pPr>
            <a:defRPr sz="900" b="0">
              <a:solidFill>
                <a:srgbClr val="3B3B3B"/>
              </a:solidFill>
            </a:defRPr>
          </a:pPr>
          <a:r>
            <a:t/>
          </a:r>
          <a:endParaRPr sz="900" b="0">
            <a:solidFill>
              <a:srgbClr val="3B3B3B"/>
            </a:solidFill>
          </a:endParaRPr>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200" b="1">
                <a:solidFill>
                  <a:srgbClr val="1F3864"/>
                </a:solidFill>
              </a:defRPr>
            </a:pPr>
            <a:r>
              <a:t>Margin of victory — implied probability by bracket</a:t>
            </a:r>
          </a:p>
        </rich>
      </tx>
    </title>
    <plotArea>
      <layout>
        <manualLayout>
          <xMode val="edge"/>
          <yMode val="edge"/>
          <wMode val="factor"/>
          <hMode val="factor"/>
          <x val="0.075"/>
          <y val="0.17"/>
          <w val="0.895"/>
          <h val="0.6399999999999999"/>
        </manualLayout>
      </layout>
      <barChart>
        <barDir val="col"/>
        <grouping val="clustered"/>
        <ser>
          <idx val="0"/>
          <order val="0"/>
          <tx>
            <strRef>
              <f>'Margin of Victory'!F15</f>
            </strRef>
          </tx>
          <spPr>
            <a:solidFill>
              <a:srgbClr val="2E5FA3"/>
            </a:solidFill>
            <a:ln>
              <a:prstDash val="solid"/>
            </a:ln>
          </spPr>
          <cat>
            <numRef>
              <f>'Margin of Victory'!$A$16:$A$25</f>
            </numRef>
          </cat>
          <val>
            <numRef>
              <f>'Margin of Victory'!$F$16:$F$25</f>
            </numRef>
          </val>
        </ser>
        <gapWidth val="40"/>
        <axId val="10"/>
        <axId val="100"/>
      </bar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w="6350">
              <a:solidFill>
                <a:srgbClr val="EDEFF3"/>
              </a:solidFill>
              <a:prstDash val="solid"/>
            </a:ln>
          </spPr>
        </majorGridlines>
        <title>
          <tx>
            <rich>
              <a:bodyPr/>
              <a:p>
                <a:pPr>
                  <a:defRPr sz="950" b="0">
                    <a:solidFill>
                      <a:srgbClr val="3B3B3B"/>
                    </a:solidFill>
                  </a:defRPr>
                </a:pPr>
                <a:r>
                  <a:t>Normalised 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valAx>
    </plotArea>
    <plotVisOnly val="1"/>
    <dispBlanksAs val="gap"/>
  </chart>
</chartSpace>
</file>

<file path=xl/charts/chart9.xml><?xml version="1.0" encoding="utf-8"?>
<chartSpace xmlns:a="http://schemas.openxmlformats.org/drawingml/2006/main" xmlns="http://schemas.openxmlformats.org/drawingml/2006/chart">
  <chart>
    <title>
      <tx>
        <rich>
          <a:bodyPr/>
          <a:p>
            <a:pPr>
              <a:defRPr sz="1200" b="1">
                <a:solidFill>
                  <a:srgbClr val="1F3864"/>
                </a:solidFill>
              </a:defRPr>
            </a:pPr>
            <a:r>
              <a:t>PA Democratic House seats — implied probability</a:t>
            </a:r>
          </a:p>
        </rich>
      </tx>
    </title>
    <plotArea>
      <layout>
        <manualLayout>
          <xMode val="edge"/>
          <yMode val="edge"/>
          <wMode val="factor"/>
          <hMode val="factor"/>
          <x val="0.075"/>
          <y val="0.17"/>
          <w val="0.895"/>
          <h val="0.6399999999999999"/>
        </manualLayout>
      </layout>
      <barChart>
        <barDir val="col"/>
        <grouping val="clustered"/>
        <ser>
          <idx val="0"/>
          <order val="0"/>
          <tx>
            <strRef>
              <f>'PA Seat Count'!G12</f>
            </strRef>
          </tx>
          <spPr>
            <a:solidFill>
              <a:srgbClr val="5B8C5A"/>
            </a:solidFill>
            <a:ln>
              <a:prstDash val="solid"/>
            </a:ln>
          </spPr>
          <cat>
            <numRef>
              <f>'PA Seat Count'!$A$13:$A$20</f>
            </numRef>
          </cat>
          <val>
            <numRef>
              <f>'PA Seat Count'!$G$13:$G$20</f>
            </numRef>
          </val>
        </ser>
        <dLbls>
          <showVal val="1"/>
        </dLbls>
        <gapWidth val="40"/>
        <axId val="10"/>
        <axId val="100"/>
      </bar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w="6350">
              <a:solidFill>
                <a:srgbClr val="EDEFF3"/>
              </a:solidFill>
              <a:prstDash val="solid"/>
            </a:ln>
          </spPr>
        </majorGridlines>
        <title>
          <tx>
            <rich>
              <a:bodyPr/>
              <a:p>
                <a:pPr>
                  <a:defRPr sz="950" b="0">
                    <a:solidFill>
                      <a:srgbClr val="3B3B3B"/>
                    </a:solidFill>
                  </a:defRPr>
                </a:pPr>
                <a:r>
                  <a:t>Normalised 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sz="1200" b="1">
                <a:solidFill>
                  <a:srgbClr val="1F3864"/>
                </a:solidFill>
              </a:defRPr>
            </a:pPr>
            <a:r>
              <a:t>Markets vs polls — implied margin (D−R)</a:t>
            </a:r>
          </a:p>
        </rich>
      </tx>
    </title>
    <plotArea>
      <layout>
        <manualLayout>
          <xMode val="edge"/>
          <yMode val="edge"/>
          <wMode val="factor"/>
          <hMode val="factor"/>
          <x val="0.075"/>
          <y val="0.17"/>
          <w val="0.895"/>
          <h val="0.6399999999999999"/>
        </manualLayout>
      </layout>
      <barChart>
        <barDir val="col"/>
        <grouping val="clustered"/>
        <ser>
          <idx val="0"/>
          <order val="0"/>
          <spPr>
            <a:solidFill>
              <a:srgbClr val="2E5FA3"/>
            </a:solidFill>
            <a:ln>
              <a:prstDash val="solid"/>
            </a:ln>
          </spPr>
          <cat>
            <numRef>
              <f>'Distributions'!$A$179:$A$181</f>
            </numRef>
          </cat>
          <val>
            <numRef>
              <f>'Distributions'!$B$179:$B$181</f>
            </numRef>
          </val>
        </ser>
        <dLbls>
          <showVal val="1"/>
        </dLbls>
        <gapWidth val="60"/>
        <axId val="10"/>
        <axId val="100"/>
      </bar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w="6350">
              <a:solidFill>
                <a:srgbClr val="EDEFF3"/>
              </a:solidFill>
              <a:prstDash val="solid"/>
            </a:ln>
          </spPr>
        </majorGridlines>
        <title>
          <tx>
            <rich>
              <a:bodyPr/>
              <a:p>
                <a:pPr>
                  <a:defRPr sz="950" b="0">
                    <a:solidFill>
                      <a:srgbClr val="3B3B3B"/>
                    </a:solidFill>
                  </a:defRPr>
                </a:pPr>
                <a:r>
                  <a:t>Percentage points</a:t>
                </a:r>
              </a:p>
            </rich>
          </tx>
        </title>
        <numFmt formatCode="0.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valAx>
    </plotArea>
    <plotVisOnly val="1"/>
    <dispBlanksAs val="gap"/>
  </chart>
</chartSpace>
</file>

<file path=xl/charts/chart11.xml><?xml version="1.0" encoding="utf-8"?>
<chartSpace xmlns:a="http://schemas.openxmlformats.org/drawingml/2006/main" xmlns="http://schemas.openxmlformats.org/drawingml/2006/chart">
  <chart>
    <title>
      <tx>
        <rich>
          <a:bodyPr/>
          <a:p>
            <a:pPr>
              <a:defRPr sz="1200" b="1">
                <a:solidFill>
                  <a:srgbClr val="1F3864"/>
                </a:solidFill>
              </a:defRPr>
            </a:pPr>
            <a:r>
              <a:t>Brooks in primary polling vs the actual result</a:t>
            </a:r>
          </a:p>
        </rich>
      </tx>
    </title>
    <plotArea>
      <layout>
        <manualLayout>
          <xMode val="edge"/>
          <yMode val="edge"/>
          <wMode val="factor"/>
          <hMode val="factor"/>
          <x val="0.075"/>
          <y val="0.17"/>
          <w val="0.895"/>
          <h val="0.6399999999999999"/>
        </manualLayout>
      </layout>
      <barChart>
        <barDir val="col"/>
        <grouping val="clustered"/>
        <ser>
          <idx val="0"/>
          <order val="0"/>
          <spPr>
            <a:solidFill>
              <a:srgbClr val="2E5FA3"/>
            </a:solidFill>
            <a:ln>
              <a:prstDash val="solid"/>
            </a:ln>
          </spPr>
          <cat>
            <numRef>
              <f>'Distributions'!$A$184:$A$188</f>
            </numRef>
          </cat>
          <val>
            <numRef>
              <f>'Distributions'!$B$184:$B$188</f>
            </numRef>
          </val>
        </ser>
        <dLbls>
          <showVal val="1"/>
        </dLbls>
        <gapWidth val="50"/>
        <axId val="10"/>
        <axId val="100"/>
      </bar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w="6350">
              <a:solidFill>
                <a:srgbClr val="EDEFF3"/>
              </a:solidFill>
              <a:prstDash val="solid"/>
            </a:ln>
          </spPr>
        </majorGridlines>
        <title>
          <tx>
            <rich>
              <a:bodyPr/>
              <a:p>
                <a:pPr>
                  <a:defRPr sz="950" b="0">
                    <a:solidFill>
                      <a:srgbClr val="3B3B3B"/>
                    </a:solidFill>
                  </a:defRPr>
                </a:pPr>
                <a:r>
                  <a:t>Share of the primary vote</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valAx>
    </plotArea>
    <plotVisOnly val="1"/>
    <dispBlanksAs val="gap"/>
  </chart>
</chartSpace>
</file>

<file path=xl/charts/chart12.xml><?xml version="1.0" encoding="utf-8"?>
<chartSpace xmlns:a="http://schemas.openxmlformats.org/drawingml/2006/main" xmlns="http://schemas.openxmlformats.org/drawingml/2006/chart">
  <chart>
    <title>
      <tx>
        <rich>
          <a:bodyPr/>
          <a:p>
            <a:pPr>
              <a:defRPr sz="1200" b="1">
                <a:solidFill>
                  <a:srgbClr val="1F3864"/>
                </a:solidFill>
              </a:defRPr>
            </a:pPr>
            <a:r>
              <a:t>Voter turnout — P(turnout at or above each threshold)</a:t>
            </a:r>
          </a:p>
        </rich>
      </tx>
    </title>
    <plotArea>
      <layout>
        <manualLayout>
          <xMode val="edge"/>
          <yMode val="edge"/>
          <wMode val="factor"/>
          <hMode val="factor"/>
          <x val="0.075"/>
          <y val="0.17"/>
          <w val="0.895"/>
          <h val="0.6399999999999999"/>
        </manualLayout>
      </layout>
      <lineChart>
        <grouping val="standard"/>
        <ser>
          <idx val="0"/>
          <order val="0"/>
          <spPr>
            <a:ln w="22000">
              <a:solidFill>
                <a:srgbClr val="5B8C5A"/>
              </a:solidFill>
              <a:prstDash val="solid"/>
            </a:ln>
          </spPr>
          <marker>
            <symbol val="none"/>
            <spPr>
              <a:ln>
                <a:prstDash val="solid"/>
              </a:ln>
            </spPr>
          </marker>
          <cat>
            <numRef>
              <f>'Voter Turnout'!$A$14:$A$21</f>
            </numRef>
          </cat>
          <val>
            <numRef>
              <f>'Voter Turnout'!$E$14:$E$21</f>
            </numRef>
          </val>
          <smooth val="0"/>
        </ser>
        <axId val="10"/>
        <axId val="100"/>
      </lineChart>
      <catAx>
        <axId val="10"/>
        <scaling>
          <orientation val="minMax"/>
        </scaling>
        <delete val="0"/>
        <axPos val="l"/>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0"/>
        <lblOffset val="100"/>
      </catAx>
      <valAx>
        <axId val="100"/>
        <scaling>
          <orientation val="minMax"/>
          <max val="0.8"/>
          <min val="0"/>
        </scaling>
        <delete val="0"/>
        <axPos val="l"/>
        <majorGridlines>
          <spPr>
            <a:ln w="6350">
              <a:solidFill>
                <a:srgbClr val="EDEFF3"/>
              </a:solidFill>
              <a:prstDash val="solid"/>
            </a:ln>
          </spPr>
        </majorGridlines>
        <title>
          <tx>
            <rich>
              <a:bodyPr/>
              <a:p>
                <a:pPr>
                  <a:defRPr sz="950" b="0">
                    <a:solidFill>
                      <a:srgbClr val="3B3B3B"/>
                    </a:solidFill>
                  </a:defRPr>
                </a:pPr>
                <a:r>
                  <a:t>Probability</a:t>
                </a:r>
              </a:p>
            </rich>
          </tx>
        </title>
        <numFmt formatCode="0%" sourceLinked="0"/>
        <majorTickMark val="out"/>
        <minorTickMark val="none"/>
        <tickLblPos val="low"/>
        <spPr>
          <a:ln w="12700">
            <a:solidFill>
              <a:srgbClr val="44546A"/>
            </a:solidFill>
            <a:prstDash val="solid"/>
          </a:ln>
        </spPr>
        <txPr>
          <a:bodyPr/>
          <a:p>
            <a:pPr>
              <a:defRPr sz="900" b="0">
                <a:solidFill>
                  <a:srgbClr val="3B3B3B"/>
                </a:solidFill>
              </a:defRPr>
            </a:pPr>
            <a:r>
              <a:t/>
            </a:r>
            <a:endParaRPr sz="900" b="0">
              <a:solidFill>
                <a:srgbClr val="3B3B3B"/>
              </a:solidFill>
            </a:endParaRPr>
          </a:p>
        </txPr>
        <crossAx val="10"/>
        <majorUnit val="0.2"/>
      </valAx>
    </plotArea>
    <plotVisOnly val="1"/>
    <dispBlanksAs val="gap"/>
  </chart>
</chartSpace>
</file>

<file path=xl/comments/comment1.xml><?xml version="1.0" encoding="utf-8"?>
<comments xmlns="http://schemas.openxmlformats.org/spreadsheetml/2006/main">
  <authors>
    <author>Tracker</author>
  </authors>
  <commentList>
    <comment ref="H25" authorId="0" shapeId="0">
      <text>
        <t>The Polymarket figure is lifetime USD volume across the two party markets; the Kalshi figure is resting size at top of book only. They are not like-for-like — read each against its own venue over time.</t>
      </text>
    </comment>
    <comment ref="B45" authorId="0" shapeId="0">
      <text>
        <t>Buying both YES legs guarantees a $1 payout, since exactly one party wins. Any 'YES' here is gross of Kalshi trading fees (quadratic, roughly 7c x p x (1-p) per contract), Polymarket gas and spread, the size actually resting at those asks, and the capital tied up until November 2026. Small negative edges are the normal state.</t>
      </text>
    </comment>
    <comment ref="D48" authorId="0" shapeId="0">
      <text>
        <t>The date the lookup landed on, not the date the label asks for. Each row targets the latest date in the Polymarket series minus N days and takes the most recent quote on or before it, because the daily history has gaps (11, 9 and 4 days across spring 2026) and a row offset would silently read a different calendar date. Where the two differ, this column is the honest one. A blank price and a blank date together mean the history does not reach back that far.</t>
      </text>
    </comment>
  </commentList>
</comments>
</file>

<file path=xl/comments/comment2.xml><?xml version="1.0" encoding="utf-8"?>
<comments xmlns="http://schemas.openxmlformats.org/spreadsheetml/2006/main">
  <authors>
    <author>Tracker</author>
  </authors>
  <commentList>
    <comment ref="D21" authorId="0" shapeId="0">
      <text>
        <t>Two-sided overround. Sum &gt; 100% means the pair of YES contracts costs more than the $1 they must jointly pay out; sum &lt; 100% is a theoretical arbitrage before fees, slippage and capital cost.</t>
      </text>
    </comment>
    <comment ref="A24" authorId="0" shapeId="0">
      <text>
        <t>One row per UTC day, taken from CLOB /prices-history at fidelity=1440 (daily). Blue cells are raw API values; black cells are derived. Normalised columns rescale the pair to sum to 100%% so the two outcomes read as a clean probability split.</t>
      </text>
    </comment>
    <comment ref="H24" authorId="0" shapeId="0">
      <text>
        <t>Change against the price N CALENDAR days earlier, not N rows earlier — the series has gaps, so the two are not the same. Where a gap leaves no quote within 3 days of the target date, the cell is left blank rather than report a differently-sized window.</t>
      </text>
    </comment>
  </commentList>
</comments>
</file>

<file path=xl/comments/comment3.xml><?xml version="1.0" encoding="utf-8"?>
<comments xmlns="http://schemas.openxmlformats.org/spreadsheetml/2006/main">
  <authors>
    <author>Tracker</author>
  </authors>
  <commentList>
    <comment ref="D17" authorId="0" shapeId="0">
      <text>
        <t>Kalshi's REST market object returned null for yes_bid/yes_ask on this market, so top-of-book is derived from the /orderbook endpoint. A YES ask is the complement of the best NO bid: buying YES at price p is the same trade as selling NO at 1-p.</t>
      </text>
    </comment>
  </commentList>
</comments>
</file>

<file path=xl/comments/comment4.xml><?xml version="1.0" encoding="utf-8"?>
<comments xmlns="http://schemas.openxmlformats.org/spreadsheetml/2006/main">
  <authors>
    <author>Tracker</author>
  </authors>
  <commentList>
    <comment ref="B15" authorId="0" shapeId="0">
      <text>
        <t>ASSUMPTION: the signed centre of each bracket in margin points, positive for a Democratic win. Closed brackets use their true midpoint (0-3% -&gt; 1.5). The two open-ended brackets are judgement calls: 'Democrat 18%+' is set to +20.0 and 'Republican 6%+' to -8.0. Both feed the expected-margin figure below; change them here and it updates.</t>
      </text>
    </comment>
    <comment ref="E26" authorId="0" shapeId="0">
      <text>
        <t>Sum of the ten bracket mids. Exactly one bracket must pay out, so a fair ladder sums to 100%. This one sums well above that because several brackets are quoted with very wide bid-ask spreads on thin volume, which inflates the mid. The Normalised column rescales to 100% and is the column to read.</t>
      </text>
    </comment>
    <comment ref="B32" authorId="0" shapeId="0">
      <text>
        <t>Both 'under N pts' lines sum the Normalised column over every bracket whose signed midpoint in column B falls strictly inside ±N, rather than matching bracket labels by name. The labels come straight from the Polymarket API, so an en-dash for a hyphen, a spacing change or a split bracket would silently drop a term from a name-matched sum; the midpoint is numeric and survives all of that. The two open-ended brackets are included on the strength of the assumed midpoints noted on the ladder header — 'Republican 6%+' at -8.0 sits outside both thresholds, so editing that assumption inside ±6 would move it into the under-6 figure.</t>
      </text>
    </comment>
  </commentList>
</comments>
</file>

<file path=xl/comments/comment5.xml><?xml version="1.0" encoding="utf-8"?>
<comments xmlns="http://schemas.openxmlformats.org/spreadsheetml/2006/main">
  <authors>
    <author>Tracker</author>
  </authors>
  <commentList>
    <comment ref="H12" authorId="0" shapeId="0">
      <text>
        <t>ASSUMPTION: the representative turnout for each bucket. Closed buckets use their true centre. The two open-ended ones are judgement calls — below the lowest threshold is taken as 295,000 and above the highest as 385,000. Both feed the expected-turnout figure; change them here and it updates.</t>
      </text>
    </comment>
    <comment ref="G13" authorId="0" shapeId="0">
      <text>
        <t>Not a quoted market — the residual, 1 minus P(turnout above the lowest threshold).</t>
      </text>
    </comment>
    <comment ref="B28" authorId="0" shapeId="0">
      <text>
        <t>403,314 ballots were cast in the 2024 PA-07 House race (Mackenzie 50.5%% / Wild 49.5%%), per the certified count as reported by Ballotpedia and AP. NOTE: 2024 was a presidential year and 2026 is a midterm, so a double-digit fall here is the normal pattern, not a collapse — do not read the change line as a turnout warning.</t>
      </text>
    </comment>
  </commentList>
</comments>
</file>

<file path=xl/comments/comment6.xml><?xml version="1.0" encoding="utf-8"?>
<comments xmlns="http://schemas.openxmlformats.org/spreadsheetml/2006/main">
  <authors>
    <author>Tracker</author>
  </authors>
  <commentList>
    <comment ref="B12" authorId="0" shapeId="0">
      <text>
        <t>ASSUMPTION: seat count assumed for each bracket. Exact brackets (7 through 12) use their own number. The two open-ended brackets are judgement calls: 'Below 7' is set to 6 and 'Above 12' to 13.</t>
      </text>
    </comment>
    <comment ref="F13" authorId="0" shapeId="0">
      <text>
        <t>Two brackets ('Below 7' and 'Above 12') have no resting YES bid at all — only an ask. For those the mid formula falls back to half the ask rather than dropping the bracket, which keeps the ladder summing sensibly. Both are quoted at 1-2c, so the choice barely moves the expected-seats figure.</t>
      </text>
    </comment>
  </commentList>
</comments>
</file>

<file path=xl/comments/comment7.xml><?xml version="1.0" encoding="utf-8"?>
<comments xmlns="http://schemas.openxmlformats.org/spreadsheetml/2006/main">
  <authors>
    <author>Tracker</author>
  </authors>
  <commentList>
    <comment ref="C11" authorId="0" shapeId="0">
      <text>
        <t>Taken from the 'partisan' field of house.csv: DEM -&gt; D, REP -&gt; R, empty -&gt; None. Drives the house-effect adjustment below.</t>
      </text>
    </comment>
    <comment ref="F12" authorId="0" shapeId="0">
      <text>
        <t>ASSUMPTION: the sample_size field is empty for this poll in house.csv. 550 likely voters is used, the figure Pollsmax reports for the same GBAO survey. Sample size only affects this poll's weight, and with one general-election poll in the log it changes nothing.</t>
      </text>
    </comment>
    <comment ref="B29" authorId="0" shapeId="0">
      <text>
        <t>A poll's weight halves every N days. 45 is a reasonable default for a race still ten weeks out, not a fitted value. Shorten it to make the average more reactive.</t>
      </text>
    </comment>
    <comment ref="B30" authorId="0" shapeId="0">
      <text>
        <t>ASSUMPTION — not from any source. Sponsor-released partisan polls have historically favoured their sponsor by roughly 3-4 points on the margin. This is subtracted in proportion to net partisan sponsorship. Set to 0 to disable.</t>
      </text>
    </comment>
    <comment ref="B36" authorId="0" shapeId="0">
      <text>
        <t>Weight-share of D-sponsored polls minus weight-share of R-sponsored polls. +1.00 means every poll in the average came from a Democratic sponsor.</t>
      </text>
    </comment>
    <comment ref="H49" authorId="0" shapeId="0">
      <text>
        <t>Brooks won with roughly 41.4% at about 74% of votes counted, per Ballotpedia's primary-night report. Recorded so the primary polls above can be scored: every poll understated him, largely because 31-53% of respondents were undecided.</t>
      </text>
    </comment>
  </commentList>
</comments>
</file>

<file path=xl/comments/comment8.xml><?xml version="1.0" encoding="utf-8"?>
<comments xmlns="http://schemas.openxmlformats.org/spreadsheetml/2006/main">
  <authors>
    <author>Tracker</author>
  </authors>
  <commentList>
    <comment ref="B7" authorId="0" shapeId="0">
      <text>
        <t>These answer different questions and are not expected to agree exactly. The model is a vote-share estimate pushed through a margin-to-odds curve; the market is what people will pay. A model projecting a ~1-point race is mechanically near a coin flip, while traders pricing the same race well above 50% are expressing confidence the model's uncertainty band does not. Read a large gap as a question about which is mispriced, not as an error in either.</t>
      </text>
    </comment>
    <comment ref="G35" authorId="0" shapeId="0">
      <text>
        <t>Polymarket's Democratic price on the same calendar date, matched exactly — blank where the market has no quote for that day. This is what makes the model and the market directly comparable: same day, same question, two different ways of answering it.</t>
      </text>
    </comment>
    <comment ref="E271" authorId="0" shapeId="0">
      <text>
        <t>City &amp; State says it sources Kalshi (via an aggregator, PredictionEdge). We read Kalshi directly from its API, so a gap here is drift in their pipeline, not a difference of opinion about the race. Their own page also shows TWO different Brooks numbers that disagree with each other.</t>
      </text>
    </comment>
  </commentList>
</comments>
</file>

<file path=xl/comments/comment9.xml><?xml version="1.0" encoding="utf-8"?>
<comments xmlns="http://schemas.openxmlformats.org/spreadsheetml/2006/main">
  <authors>
    <author>Tracker</author>
  </authors>
  <commentList>
    <comment ref="B5" authorId="0" shapeId="0">
      <text>
        <t>FEC filings lag by months — quarterly for most House committees. Everything on this sheet is as of this date, NOT today, and the gap widens every day until the next filing deadline. Do not read a stale cash-on-hand figure as current.</t>
      </text>
    </comment>
    <comment ref="B19" authorId="0" shapeId="0">
      <text>
        <t>Matched on candidate NAME, not row position: the FEC API returns candidates in no guaranteed order, and a positional subtraction would silently flip sign the day that order changed.</t>
      </text>
    </comment>
  </commentList>
</comments>
</file>

<file path=xl/comments/comment10.xml><?xml version="1.0" encoding="utf-8"?>
<comments xmlns="http://schemas.openxmlformats.org/spreadsheetml/2006/main">
  <authors>
    <author>Tracker</author>
  </authors>
  <commentList>
    <comment ref="B7" authorId="0" shapeId="0">
      <text>
        <t>Positive means Polymarket prices the Democrat higher than Kalshi does. Persistent gaps reflect different fee structures, capital costs and user bases rather than a free lunch — the tradeable gap is the cross-venue ask total on the Summary sheet, not this mid-to-mid difference.</t>
      </text>
    </comment>
    <comment ref="B11" authorId="0" shapeId="0">
      <text>
        <t>Days listed in the series that produce no divergence: either the date predates Kalshi's history, or one venue had no quote that day. Polymarket is missing a Democratic price on 2026-07-29 and a Republican price on 2026-04-18; those days are excluded rather than read as a price of zero.</t>
      </text>
    </comment>
    <comment ref="H14" authorId="0" shapeId="0">
      <text>
        <t>Columns H-J use mid prices, not executable asks, because the daily history carries no book. Treat the Pair Total as indicative only; the executable version is the arbitrage check on the Summary sheet, built from live top-of-book.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 Type="http://schemas.openxmlformats.org/officeDocument/2006/relationships/chart" Target="/xl/charts/chart11.xml" Id="rId4" /><Relationship Type="http://schemas.openxmlformats.org/officeDocument/2006/relationships/chart" Target="/xl/charts/chart12.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9144000" cy="4464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32</row>
      <rowOff>0</rowOff>
    </from>
    <ext cx="9144000" cy="4464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61</row>
      <rowOff>0</rowOff>
    </from>
    <ext cx="9144000" cy="4464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90</row>
      <rowOff>0</rowOff>
    </from>
    <ext cx="9144000" cy="4464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119</row>
      <rowOff>0</rowOff>
    </from>
    <ext cx="9144000" cy="4464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148</row>
      <rowOff>0</rowOff>
    </from>
    <ext cx="9144000" cy="4464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177</row>
      <rowOff>0</rowOff>
    </from>
    <ext cx="9144000" cy="4464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9144000" cy="4464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32</row>
      <rowOff>0</rowOff>
    </from>
    <ext cx="9144000" cy="4464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119</row>
      <rowOff>0</rowOff>
    </from>
    <ext cx="9144000" cy="4464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148</row>
      <rowOff>0</rowOff>
    </from>
    <ext cx="9144000" cy="4464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61</row>
      <rowOff>0</rowOff>
    </from>
    <ext cx="9144000" cy="4464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H72"/>
  <sheetViews>
    <sheetView showGridLines="0" workbookViewId="0">
      <selection activeCell="A1" sqref="A1"/>
    </sheetView>
  </sheetViews>
  <sheetFormatPr baseColWidth="8" defaultRowHeight="15"/>
  <cols>
    <col width="34" customWidth="1" min="1" max="1"/>
    <col width="16" customWidth="1" min="2" max="2"/>
    <col width="17" customWidth="1" min="3" max="3"/>
    <col width="16" customWidth="1" min="4" max="4"/>
    <col width="16" customWidth="1" min="5" max="5"/>
    <col width="16" customWidth="1" min="6" max="6"/>
    <col width="16" customWidth="1" min="7" max="7"/>
    <col width="18" customWidth="1" min="8" max="8"/>
  </cols>
  <sheetData>
    <row r="1">
      <c r="A1" s="1" t="inlineStr">
        <is>
          <t>PA-07 House Election Winner — Tracker</t>
        </is>
      </c>
    </row>
    <row r="2">
      <c r="A2" s="2" t="inlineStr">
        <is>
          <t>Pennsylvania's 7th Congressional District, general election 3 Nov 2026. Green = pulled from another sheet, black = calculated, blue = entered fact, yellow = key output or assumption. Built 2026-10-12 02:24 UTC.</t>
        </is>
      </c>
    </row>
    <row r="4">
      <c r="A4" s="3" t="inlineStr">
        <is>
          <t>HEADLINE</t>
        </is>
      </c>
      <c r="B4" s="4" t="n"/>
      <c r="C4" s="4" t="n"/>
      <c r="D4" s="4" t="n"/>
      <c r="E4" s="4" t="n"/>
      <c r="F4" s="4" t="n"/>
      <c r="G4" s="4" t="n"/>
      <c r="H4" s="4" t="n"/>
    </row>
    <row r="5" ht="30" customHeight="1">
      <c r="A5" s="6" t="inlineStr">
        <is>
          <t>Consensus Democratic win probability</t>
        </is>
      </c>
      <c r="B5" s="111">
        <f>AVERAGE(Polymarket!D19,Kalshi!E17)</f>
        <v/>
      </c>
      <c r="C5" s="67" t="n"/>
      <c r="D5" s="2" t="inlineStr">
        <is>
          <t>Equal-weighted mean of the two venue mids. Not liquidity-weighted — Polymarket carries the larger book.</t>
        </is>
      </c>
    </row>
    <row r="6" ht="30" customHeight="1">
      <c r="A6" s="6" t="inlineStr">
        <is>
          <t>Consensus Republican win probability</t>
        </is>
      </c>
      <c r="B6" s="111">
        <f>AVERAGE(Polymarket!D20,Kalshi!E18)</f>
        <v/>
      </c>
      <c r="C6" s="67" t="n"/>
      <c r="D6" s="2" t="inlineStr">
        <is>
          <t>Bob Brooks (D) vs incumbent Ryan Mackenzie (R).</t>
        </is>
      </c>
    </row>
    <row r="7" ht="30" customHeight="1">
      <c r="A7" s="6" t="inlineStr">
        <is>
          <t>Market-implied margin (D−R)</t>
        </is>
      </c>
      <c r="B7" s="112">
        <f>'Margin of Victory'!B31</f>
        <v/>
      </c>
      <c r="C7" s="67" t="n"/>
      <c r="D7" s="2" t="inlineStr">
        <is>
          <t>Expected margin from Polymarket's bracket ladder.</t>
        </is>
      </c>
    </row>
    <row r="9">
      <c r="A9" s="3" t="inlineStr">
        <is>
          <t>RACE AT A GLANCE</t>
        </is>
      </c>
      <c r="B9" s="4" t="n"/>
      <c r="C9" s="4" t="n"/>
      <c r="D9" s="4" t="n"/>
      <c r="E9" s="4" t="n"/>
      <c r="F9" s="4" t="n"/>
      <c r="G9" s="4" t="n"/>
      <c r="H9" s="4" t="n"/>
    </row>
    <row r="10">
      <c r="A10" s="6" t="inlineStr">
        <is>
          <t>District</t>
        </is>
      </c>
      <c r="B10" s="26" t="inlineStr">
        <is>
          <t>Pennsylvania 7th (Lehigh Valley: Lehigh, Northampton, part of Monroe)</t>
        </is>
      </c>
      <c r="C10" s="66" t="n"/>
      <c r="D10" s="66" t="n"/>
      <c r="E10" s="66" t="n"/>
      <c r="F10" s="66" t="n"/>
      <c r="G10" s="66" t="n"/>
      <c r="H10" s="67" t="n"/>
    </row>
    <row r="11">
      <c r="A11" s="6" t="inlineStr">
        <is>
          <t>Election date</t>
        </is>
      </c>
      <c r="B11" s="39" t="n">
        <v>46329</v>
      </c>
      <c r="C11" s="66" t="n"/>
      <c r="D11" s="66" t="n"/>
      <c r="E11" s="66" t="n"/>
      <c r="F11" s="66" t="n"/>
      <c r="G11" s="66" t="n"/>
      <c r="H11" s="67" t="n"/>
    </row>
    <row r="12">
      <c r="A12" s="6" t="inlineStr">
        <is>
          <t>Days until election</t>
        </is>
      </c>
      <c r="B12" s="40">
        <f>DATE(2026,11,3)-TODAY()</f>
        <v/>
      </c>
      <c r="C12" s="66" t="n"/>
      <c r="D12" s="66" t="n"/>
      <c r="E12" s="66" t="n"/>
      <c r="F12" s="66" t="n"/>
      <c r="G12" s="66" t="n"/>
      <c r="H12" s="67" t="n"/>
    </row>
    <row r="13">
      <c r="A13" s="6" t="inlineStr">
        <is>
          <t>Republican nominee</t>
        </is>
      </c>
      <c r="B13" s="26" t="inlineStr">
        <is>
          <t>Ryan Mackenzie (incumbent, serving since 3 Jan 2025)</t>
        </is>
      </c>
      <c r="C13" s="66" t="n"/>
      <c r="D13" s="66" t="n"/>
      <c r="E13" s="66" t="n"/>
      <c r="F13" s="66" t="n"/>
      <c r="G13" s="66" t="n"/>
      <c r="H13" s="67" t="n"/>
    </row>
    <row r="14">
      <c r="A14" s="6" t="inlineStr">
        <is>
          <t>Democratic nominee</t>
        </is>
      </c>
      <c r="B14" s="26" t="inlineStr">
        <is>
          <t>Bob Brooks (president, PA Professional Fire Fighters Association)</t>
        </is>
      </c>
      <c r="C14" s="66" t="n"/>
      <c r="D14" s="66" t="n"/>
      <c r="E14" s="66" t="n"/>
      <c r="F14" s="66" t="n"/>
      <c r="G14" s="66" t="n"/>
      <c r="H14" s="67" t="n"/>
    </row>
    <row r="15">
      <c r="A15" s="6" t="inlineStr">
        <is>
          <t>Democratic primary</t>
        </is>
      </c>
      <c r="B15" s="26" t="inlineStr">
        <is>
          <t>19 May 2026 — Brooks won with ~41.4% over Crosswell, McClure, Obando-Derstine</t>
        </is>
      </c>
      <c r="C15" s="66" t="n"/>
      <c r="D15" s="66" t="n"/>
      <c r="E15" s="66" t="n"/>
      <c r="F15" s="66" t="n"/>
      <c r="G15" s="66" t="n"/>
      <c r="H15" s="67" t="n"/>
    </row>
    <row r="16">
      <c r="A16" s="6" t="inlineStr">
        <is>
          <t>Republican primary</t>
        </is>
      </c>
      <c r="B16" s="26" t="inlineStr">
        <is>
          <t>19 May 2026 — Mackenzie unopposed</t>
        </is>
      </c>
      <c r="C16" s="66" t="n"/>
      <c r="D16" s="66" t="n"/>
      <c r="E16" s="66" t="n"/>
      <c r="F16" s="66" t="n"/>
      <c r="G16" s="66" t="n"/>
      <c r="H16" s="67" t="n"/>
    </row>
    <row r="17">
      <c r="A17" s="6" t="inlineStr">
        <is>
          <t>2024 House result</t>
        </is>
      </c>
      <c r="B17" s="26" t="inlineStr">
        <is>
          <t>Mackenzie (R) 50.4% – Wild (D) 49.4% (R+1.0; narrowest PA House margin of 2024)</t>
        </is>
      </c>
      <c r="C17" s="66" t="n"/>
      <c r="D17" s="66" t="n"/>
      <c r="E17" s="66" t="n"/>
      <c r="F17" s="66" t="n"/>
      <c r="G17" s="66" t="n"/>
      <c r="H17" s="67" t="n"/>
    </row>
    <row r="18">
      <c r="A18" s="6" t="inlineStr">
        <is>
          <t>Cook PVI</t>
        </is>
      </c>
      <c r="B18" s="26" t="inlineStr">
        <is>
          <t>R+1</t>
        </is>
      </c>
      <c r="C18" s="66" t="n"/>
      <c r="D18" s="66" t="n"/>
      <c r="E18" s="66" t="n"/>
      <c r="F18" s="66" t="n"/>
      <c r="G18" s="66" t="n"/>
      <c r="H18" s="67" t="n"/>
    </row>
    <row r="19">
      <c r="A19" s="6" t="inlineStr">
        <is>
          <t>2024 presidential</t>
        </is>
      </c>
      <c r="B19" s="26" t="inlineStr">
        <is>
          <t>Trump +1 (2026 GBAO sample recall: 47–46)</t>
        </is>
      </c>
      <c r="C19" s="66" t="n"/>
      <c r="D19" s="66" t="n"/>
      <c r="E19" s="66" t="n"/>
      <c r="F19" s="66" t="n"/>
      <c r="G19" s="66" t="n"/>
      <c r="H19" s="67" t="n"/>
    </row>
    <row r="20">
      <c r="A20" s="6" t="inlineStr">
        <is>
          <t>Cook Political Report</t>
        </is>
      </c>
      <c r="B20" s="26" t="inlineStr">
        <is>
          <t>Toss Up</t>
        </is>
      </c>
      <c r="C20" s="66" t="n"/>
      <c r="D20" s="66" t="n"/>
      <c r="E20" s="66" t="n"/>
      <c r="F20" s="66" t="n"/>
      <c r="G20" s="66" t="n"/>
      <c r="H20" s="67" t="n"/>
    </row>
    <row r="21">
      <c r="A21" s="6" t="inlineStr">
        <is>
          <t>Sabato's Crystal Ball</t>
        </is>
      </c>
      <c r="B21" s="26" t="inlineStr">
        <is>
          <t>Toss-up (moved from Lean D on 1 Feb 2026)</t>
        </is>
      </c>
      <c r="C21" s="66" t="n"/>
      <c r="D21" s="66" t="n"/>
      <c r="E21" s="66" t="n"/>
      <c r="F21" s="66" t="n"/>
      <c r="G21" s="66" t="n"/>
      <c r="H21" s="67" t="n"/>
    </row>
    <row r="22">
      <c r="A22" s="6" t="inlineStr">
        <is>
          <t>Inside Elections</t>
        </is>
      </c>
      <c r="B22" s="26" t="inlineStr">
        <is>
          <t>Toss-up</t>
        </is>
      </c>
      <c r="C22" s="66" t="n"/>
      <c r="D22" s="66" t="n"/>
      <c r="E22" s="66" t="n"/>
      <c r="F22" s="66" t="n"/>
      <c r="G22" s="66" t="n"/>
      <c r="H22" s="67" t="n"/>
    </row>
    <row r="24">
      <c r="A24" s="3" t="inlineStr">
        <is>
          <t>LIVE MARKET SNAPSHOT — WINNER</t>
        </is>
      </c>
      <c r="B24" s="4" t="n"/>
      <c r="C24" s="4" t="n"/>
      <c r="D24" s="4" t="n"/>
      <c r="E24" s="4" t="n"/>
      <c r="F24" s="4" t="n"/>
      <c r="G24" s="4" t="n"/>
      <c r="H24" s="4" t="n"/>
    </row>
    <row r="25" ht="30" customHeight="1">
      <c r="A25" s="5" t="inlineStr">
        <is>
          <t>Venue</t>
        </is>
      </c>
      <c r="B25" s="5" t="inlineStr">
        <is>
          <t>Dem Mid</t>
        </is>
      </c>
      <c r="C25" s="5" t="inlineStr">
        <is>
          <t>Rep Mid</t>
        </is>
      </c>
      <c r="D25" s="5" t="inlineStr">
        <is>
          <t>Sum of Mids</t>
        </is>
      </c>
      <c r="E25" s="5" t="inlineStr">
        <is>
          <t>Overround (vig)</t>
        </is>
      </c>
      <c r="F25" s="5" t="inlineStr">
        <is>
          <t>Dem Bid-Ask</t>
        </is>
      </c>
      <c r="G25" s="5" t="inlineStr">
        <is>
          <t>Dem Normalised</t>
        </is>
      </c>
      <c r="H25" s="5" t="inlineStr">
        <is>
          <t>Depth / Volume</t>
        </is>
      </c>
    </row>
    <row r="26">
      <c r="A26" s="22" t="inlineStr">
        <is>
          <t>Polymarket</t>
        </is>
      </c>
      <c r="B26" s="113">
        <f>Polymarket!D19</f>
        <v/>
      </c>
      <c r="C26" s="114">
        <f>Polymarket!D20</f>
        <v/>
      </c>
      <c r="D26" s="85">
        <f>Polymarket!D21</f>
        <v/>
      </c>
      <c r="E26" s="18">
        <f>B26+C26-1</f>
        <v/>
      </c>
      <c r="F26" s="115">
        <f>Polymarket!E19</f>
        <v/>
      </c>
      <c r="G26" s="20">
        <f>IFERROR(B26/D26,"")</f>
        <v/>
      </c>
      <c r="H26" s="116">
        <f>Polymarket!B12+Polymarket!C12</f>
        <v/>
      </c>
    </row>
    <row r="27">
      <c r="A27" s="22" t="inlineStr">
        <is>
          <t>Kalshi</t>
        </is>
      </c>
      <c r="B27" s="113">
        <f>Kalshi!E17</f>
        <v/>
      </c>
      <c r="C27" s="114">
        <f>Kalshi!E18</f>
        <v/>
      </c>
      <c r="D27" s="85">
        <f>Kalshi!E19</f>
        <v/>
      </c>
      <c r="E27" s="18">
        <f>B27+C27-1</f>
        <v/>
      </c>
      <c r="F27" s="115">
        <f>Kalshi!F17</f>
        <v/>
      </c>
      <c r="G27" s="20">
        <f>IFERROR(B27/D27,"")</f>
        <v/>
      </c>
      <c r="H27" s="116">
        <f>Kalshi!G17+Kalshi!G18</f>
        <v/>
      </c>
    </row>
    <row r="28">
      <c r="A28" s="47" t="inlineStr">
        <is>
          <t>Consensus (equal weight)</t>
        </is>
      </c>
      <c r="B28" s="79">
        <f>AVERAGE(B26:B27)</f>
        <v/>
      </c>
      <c r="C28" s="79">
        <f>AVERAGE(C26:C27)</f>
        <v/>
      </c>
      <c r="D28" s="79">
        <f>AVERAGE(D26:D27)</f>
        <v/>
      </c>
      <c r="E28" s="55">
        <f>AVERAGE(E26:E27)</f>
        <v/>
      </c>
      <c r="F28" s="55">
        <f>AVERAGE(F26:F27)</f>
        <v/>
      </c>
      <c r="G28" s="79">
        <f>AVERAGE(G26:G27)</f>
        <v/>
      </c>
      <c r="H28" s="80">
        <f>SUM(H26:H27)</f>
        <v/>
      </c>
    </row>
    <row r="30">
      <c r="A30" s="3" t="inlineStr">
        <is>
          <t>OTHER SUBJECTS TRACKED</t>
        </is>
      </c>
      <c r="B30" s="4" t="n"/>
      <c r="C30" s="4" t="n"/>
      <c r="D30" s="4" t="n"/>
      <c r="E30" s="4" t="n"/>
      <c r="F30" s="4" t="n"/>
      <c r="G30" s="4" t="n"/>
      <c r="H30" s="4" t="n"/>
    </row>
    <row r="31" ht="30" customHeight="1">
      <c r="A31" s="5" t="inlineStr">
        <is>
          <t>Subject</t>
        </is>
      </c>
      <c r="B31" s="5" t="inlineStr">
        <is>
          <t>Venue</t>
        </is>
      </c>
      <c r="C31" s="5" t="inlineStr">
        <is>
          <t>Key figure</t>
        </is>
      </c>
      <c r="D31" s="5" t="inlineStr">
        <is>
          <t>Value</t>
        </is>
      </c>
      <c r="E31" s="5" t="inlineStr">
        <is>
          <t>Sheet</t>
        </is>
      </c>
      <c r="F31" s="5" t="inlineStr"/>
      <c r="G31" s="5" t="inlineStr"/>
      <c r="H31" s="5" t="inlineStr"/>
    </row>
    <row r="32">
      <c r="A32" s="6" t="inlineStr">
        <is>
          <t>Winner (party)</t>
        </is>
      </c>
      <c r="B32" s="59" t="inlineStr">
        <is>
          <t>Polymarket + Kalshi</t>
        </is>
      </c>
      <c r="C32" s="59" t="inlineStr">
        <is>
          <t>Consensus P(Dem)</t>
        </is>
      </c>
      <c r="D32" s="117">
        <f>B5</f>
        <v/>
      </c>
      <c r="E32" s="59" t="inlineStr">
        <is>
          <t>Polymarket / Kalshi</t>
        </is>
      </c>
    </row>
    <row r="33">
      <c r="A33" s="118" t="inlineStr">
        <is>
          <t>Margin of victory</t>
        </is>
      </c>
      <c r="B33" s="60" t="inlineStr">
        <is>
          <t>Polymarket only</t>
        </is>
      </c>
      <c r="C33" s="60" t="inlineStr">
        <is>
          <t>Expected margin (D−R)</t>
        </is>
      </c>
      <c r="D33" s="119">
        <f>'Margin of Victory'!B31</f>
        <v/>
      </c>
      <c r="E33" s="60" t="inlineStr">
        <is>
          <t>Margin of Victory</t>
        </is>
      </c>
      <c r="F33" s="88" t="n"/>
      <c r="G33" s="88" t="n"/>
      <c r="H33" s="88" t="n"/>
    </row>
    <row r="34">
      <c r="A34" s="6" t="inlineStr">
        <is>
          <t>Margin of victory</t>
        </is>
      </c>
      <c r="B34" s="59" t="inlineStr">
        <is>
          <t>Polymarket only</t>
        </is>
      </c>
      <c r="C34" s="59" t="inlineStr">
        <is>
          <t>P(margin under 3 pts)</t>
        </is>
      </c>
      <c r="D34" s="117">
        <f>'Margin of Victory'!B32</f>
        <v/>
      </c>
      <c r="E34" s="59" t="inlineStr">
        <is>
          <t>Margin of Victory</t>
        </is>
      </c>
    </row>
    <row r="35">
      <c r="A35" s="118" t="inlineStr">
        <is>
          <t>Voter turnout</t>
        </is>
      </c>
      <c r="B35" s="60" t="inlineStr">
        <is>
          <t>Kalshi only</t>
        </is>
      </c>
      <c r="C35" s="60" t="inlineStr">
        <is>
          <t>Expected ballots cast</t>
        </is>
      </c>
      <c r="D35" s="120">
        <f>'Voter Turnout'!B25</f>
        <v/>
      </c>
      <c r="E35" s="60" t="inlineStr">
        <is>
          <t>Voter Turnout</t>
        </is>
      </c>
      <c r="F35" s="88" t="n"/>
      <c r="G35" s="88" t="n"/>
      <c r="H35" s="88" t="n"/>
    </row>
    <row r="36">
      <c r="A36" s="6" t="inlineStr">
        <is>
          <t>PA Democratic seats</t>
        </is>
      </c>
      <c r="B36" s="59" t="inlineStr">
        <is>
          <t>Kalshi only</t>
        </is>
      </c>
      <c r="C36" s="59" t="inlineStr">
        <is>
          <t>Expected seats of 17</t>
        </is>
      </c>
      <c r="D36" s="121">
        <f>'PA Seat Count'!B24</f>
        <v/>
      </c>
      <c r="E36" s="59" t="inlineStr">
        <is>
          <t>PA Seat Count</t>
        </is>
      </c>
    </row>
    <row r="37">
      <c r="A37" s="118" t="inlineStr">
        <is>
          <t>Dem primary (settled)</t>
        </is>
      </c>
      <c r="B37" s="60" t="inlineStr">
        <is>
          <t>Kalshi + polls</t>
        </is>
      </c>
      <c r="C37" s="60" t="inlineStr">
        <is>
          <t>Brooks actual result</t>
        </is>
      </c>
      <c r="D37" s="122">
        <f>Polls!H49</f>
        <v/>
      </c>
      <c r="E37" s="60" t="inlineStr">
        <is>
          <t>Polls</t>
        </is>
      </c>
      <c r="F37" s="88" t="n"/>
      <c r="G37" s="88" t="n"/>
      <c r="H37" s="88" t="n"/>
    </row>
    <row r="38">
      <c r="A38" s="2" t="inlineStr">
        <is>
          <t>Kalshi also quotes a margin-of-victory ladder (KXMIDTERMMOV-PA07D/R), but too thinly to use: most rungs have no two-sided quote, so it is collected and not shown. Turnout is Kalshi-only. PA-07 still has no entry in Kalshi's closest-race market, and its PA-07 nominee and 2024 events return no tradeable markets. Full inventory on Notes &amp; Sources.</t>
        </is>
      </c>
    </row>
    <row r="40">
      <c r="A40" s="3" t="inlineStr">
        <is>
          <t>CROSS-VENUE ARBITRAGE CHECK (live, executable prices)</t>
        </is>
      </c>
      <c r="B40" s="4" t="n"/>
      <c r="C40" s="4" t="n"/>
      <c r="D40" s="4" t="n"/>
      <c r="E40" s="4" t="n"/>
      <c r="F40" s="4" t="n"/>
      <c r="G40" s="4" t="n"/>
      <c r="H40" s="4" t="n"/>
    </row>
    <row r="41">
      <c r="A41" s="6" t="inlineStr">
        <is>
          <t>Cheapest Dem YES ask</t>
        </is>
      </c>
      <c r="B41" s="17">
        <f>MIN(Polymarket!C19,Kalshi!D17)</f>
        <v/>
      </c>
      <c r="C41" s="123">
        <f>IF(Polymarket!C19&lt;=Kalshi!D17,"Polymarket","Kalshi")</f>
        <v/>
      </c>
    </row>
    <row r="42">
      <c r="A42" s="6" t="inlineStr">
        <is>
          <t>Cheapest Rep YES ask</t>
        </is>
      </c>
      <c r="B42" s="17">
        <f>MIN(Polymarket!C20,Kalshi!D18)</f>
        <v/>
      </c>
      <c r="C42" s="123">
        <f>IF(Polymarket!C20&lt;=Kalshi!D18,"Polymarket","Kalshi")</f>
        <v/>
      </c>
    </row>
    <row r="43">
      <c r="A43" s="6" t="inlineStr">
        <is>
          <t>Total cost of both legs</t>
        </is>
      </c>
      <c r="B43" s="23">
        <f>B41+B42</f>
        <v/>
      </c>
    </row>
    <row r="44">
      <c r="A44" s="6" t="inlineStr">
        <is>
          <t>Gross edge per $1 payout</t>
        </is>
      </c>
      <c r="B44" s="57">
        <f>1-B43</f>
        <v/>
      </c>
    </row>
    <row r="45">
      <c r="A45" s="6" t="inlineStr">
        <is>
          <t>Arbitrage present?</t>
        </is>
      </c>
      <c r="B45" s="6">
        <f>IF(B44&gt;0,"YES — gross, before fees","No")</f>
        <v/>
      </c>
      <c r="C45" s="66" t="n"/>
      <c r="D45" s="67" t="n"/>
    </row>
    <row r="47">
      <c r="A47" s="3" t="inlineStr">
        <is>
          <t>MOMENTUM — Polymarket Democratic price</t>
        </is>
      </c>
      <c r="B47" s="4" t="n"/>
      <c r="C47" s="4" t="n"/>
      <c r="D47" s="4" t="n"/>
      <c r="E47" s="4" t="n"/>
      <c r="F47" s="4" t="n"/>
      <c r="G47" s="4" t="n"/>
      <c r="H47" s="4" t="n"/>
    </row>
    <row r="48">
      <c r="A48" s="6" t="inlineStr">
        <is>
          <t>Latest</t>
        </is>
      </c>
      <c r="B48" s="100">
        <f>IFERROR(IF(INDEX(Polymarket!$B$25:$B$303,MATCH(Polymarket!$A$303-0,Polymarket!$A$25:$A$303,1))=0,"",INDEX(Polymarket!$B$25:$B$303,MATCH(Polymarket!$A$303-0,Polymarket!$A$25:$A$303,1))),"")</f>
        <v/>
      </c>
      <c r="C48" s="2" t="inlineStr">
        <is>
          <t>change vs latest</t>
        </is>
      </c>
      <c r="D48" s="124">
        <f>IFERROR(IF(INDEX(Polymarket!$A$25:$A$303,MATCH(Polymarket!$A$303-0,Polymarket!$A$25:$A$303,1))=0,"",INDEX(Polymarket!$A$25:$A$303,MATCH(Polymarket!$A$303-0,Polymarket!$A$25:$A$303,1))),"")</f>
        <v/>
      </c>
      <c r="E48" s="2" t="inlineStr">
        <is>
          <t>date actually used</t>
        </is>
      </c>
    </row>
    <row r="49">
      <c r="A49" s="6" t="inlineStr">
        <is>
          <t>7 days ago</t>
        </is>
      </c>
      <c r="B49" s="100">
        <f>IFERROR(IF(INDEX(Polymarket!$B$25:$B$303,MATCH(Polymarket!$A$303-7,Polymarket!$A$25:$A$303,1))=0,"",INDEX(Polymarket!$B$25:$B$303,MATCH(Polymarket!$A$303-7,Polymarket!$A$25:$A$303,1))),"")</f>
        <v/>
      </c>
      <c r="C49" s="18">
        <f>IF(AND(ISNUMBER(B48),ISNUMBER(B49)),B48-B49,"")</f>
        <v/>
      </c>
      <c r="D49" s="124">
        <f>IFERROR(IF(INDEX(Polymarket!$A$25:$A$303,MATCH(Polymarket!$A$303-7,Polymarket!$A$25:$A$303,1))=0,"",INDEX(Polymarket!$A$25:$A$303,MATCH(Polymarket!$A$303-7,Polymarket!$A$25:$A$303,1))),"")</f>
        <v/>
      </c>
    </row>
    <row r="50">
      <c r="A50" s="6" t="inlineStr">
        <is>
          <t>30 days ago</t>
        </is>
      </c>
      <c r="B50" s="100">
        <f>IFERROR(IF(INDEX(Polymarket!$B$25:$B$303,MATCH(Polymarket!$A$303-30,Polymarket!$A$25:$A$303,1))=0,"",INDEX(Polymarket!$B$25:$B$303,MATCH(Polymarket!$A$303-30,Polymarket!$A$25:$A$303,1))),"")</f>
        <v/>
      </c>
      <c r="C50" s="18">
        <f>IF(AND(ISNUMBER(B48),ISNUMBER(B50)),B48-B50,"")</f>
        <v/>
      </c>
      <c r="D50" s="124">
        <f>IFERROR(IF(INDEX(Polymarket!$A$25:$A$303,MATCH(Polymarket!$A$303-30,Polymarket!$A$25:$A$303,1))=0,"",INDEX(Polymarket!$A$25:$A$303,MATCH(Polymarket!$A$303-30,Polymarket!$A$25:$A$303,1))),"")</f>
        <v/>
      </c>
    </row>
    <row r="51">
      <c r="A51" s="6" t="inlineStr">
        <is>
          <t>90 days ago</t>
        </is>
      </c>
      <c r="B51" s="100">
        <f>IFERROR(IF(INDEX(Polymarket!$B$25:$B$303,MATCH(Polymarket!$A$303-90,Polymarket!$A$25:$A$303,1))=0,"",INDEX(Polymarket!$B$25:$B$303,MATCH(Polymarket!$A$303-90,Polymarket!$A$25:$A$303,1))),"")</f>
        <v/>
      </c>
      <c r="C51" s="18">
        <f>IF(AND(ISNUMBER(B48),ISNUMBER(B51)),B48-B51,"")</f>
        <v/>
      </c>
      <c r="D51" s="124">
        <f>IFERROR(IF(INDEX(Polymarket!$A$25:$A$303,MATCH(Polymarket!$A$303-90,Polymarket!$A$25:$A$303,1))=0,"",INDEX(Polymarket!$A$25:$A$303,MATCH(Polymarket!$A$303-90,Polymarket!$A$25:$A$303,1))),"")</f>
        <v/>
      </c>
    </row>
    <row r="52">
      <c r="A52" s="6" t="inlineStr">
        <is>
          <t>Series high</t>
        </is>
      </c>
      <c r="B52" s="20">
        <f>MAX(Polymarket!B25:B303)</f>
        <v/>
      </c>
    </row>
    <row r="53">
      <c r="A53" s="6" t="inlineStr">
        <is>
          <t>Series low</t>
        </is>
      </c>
      <c r="B53" s="20">
        <f>MIN(Polymarket!B25:B303)</f>
        <v/>
      </c>
    </row>
    <row r="54">
      <c r="A54" s="6" t="inlineStr">
        <is>
          <t>Series start (17 Dec 2025)</t>
        </is>
      </c>
      <c r="B54" s="100">
        <f>Polymarket!B25</f>
        <v/>
      </c>
      <c r="C54" s="18">
        <f>IF(AND(ISNUMBER(B48),ISNUMBER(B54)),B48-B54,"")</f>
        <v/>
      </c>
    </row>
    <row r="56">
      <c r="A56" s="3" t="inlineStr">
        <is>
          <t>MARKETS vs POLLS</t>
        </is>
      </c>
      <c r="B56" s="4" t="n"/>
      <c r="C56" s="4" t="n"/>
      <c r="D56" s="4" t="n"/>
      <c r="E56" s="4" t="n"/>
      <c r="F56" s="4" t="n"/>
      <c r="G56" s="4" t="n"/>
      <c r="H56" s="4" t="n"/>
    </row>
    <row r="57">
      <c r="A57" s="6" t="inlineStr">
        <is>
          <t>Weighted poll margin (D−R)</t>
        </is>
      </c>
      <c r="B57" s="115">
        <f>Polls!B35</f>
        <v/>
      </c>
    </row>
    <row r="58">
      <c r="A58" s="6" t="inlineStr">
        <is>
          <t>House-effect adjusted poll margin</t>
        </is>
      </c>
      <c r="B58" s="115">
        <f>Polls!B37</f>
        <v/>
      </c>
    </row>
    <row r="59">
      <c r="A59" s="6" t="inlineStr">
        <is>
          <t>Market-implied margin (ladder)</t>
        </is>
      </c>
      <c r="B59" s="125">
        <f>'Margin of Victory'!B31</f>
        <v/>
      </c>
    </row>
    <row r="60">
      <c r="A60" s="6" t="inlineStr">
        <is>
          <t>Market − polls (raw)</t>
        </is>
      </c>
      <c r="B60" s="18">
        <f>IFERROR(B59/100-B57,"")</f>
        <v/>
      </c>
    </row>
    <row r="61">
      <c r="A61" s="6" t="inlineStr">
        <is>
          <t>Market − polls (adjusted)</t>
        </is>
      </c>
      <c r="B61" s="18">
        <f>IFERROR(B59/100-B58,"")</f>
        <v/>
      </c>
    </row>
    <row r="62">
      <c r="A62" s="6" t="inlineStr">
        <is>
          <t>Read</t>
        </is>
      </c>
      <c r="B62" s="126">
        <f>IF(B61="","",IF(B61&gt;0,"Markets more bullish on Brooks than the adjusted polls","Markets less bullish on Brooks than the adjusted polls"))</f>
        <v/>
      </c>
      <c r="C62" s="66" t="n"/>
      <c r="D62" s="66" t="n"/>
      <c r="E62" s="66" t="n"/>
      <c r="F62" s="66" t="n"/>
      <c r="G62" s="66" t="n"/>
      <c r="H62" s="67" t="n"/>
    </row>
    <row r="63">
      <c r="A63" s="6" t="inlineStr">
        <is>
          <t>Polls in average</t>
        </is>
      </c>
      <c r="B63" s="40">
        <f>COUNT(Polls!L12:L24)</f>
        <v/>
      </c>
    </row>
    <row r="64">
      <c r="A64" s="6" t="inlineStr">
        <is>
          <t>Days since most recent poll</t>
        </is>
      </c>
      <c r="B64" s="40">
        <f>IFERROR(TODAY()-MAX(Polls!E12:E24),"")</f>
        <v/>
      </c>
    </row>
    <row r="65">
      <c r="A65" s="2" t="inlineStr">
        <is>
          <t>The ladder's expected margin is in percentage points, so it is divided by 100 to compare with the poll margin, which is stored as a fraction. One public general-election poll exists and it is Democratic-sponsored, so the adjusted line is the fairer comparison.</t>
        </is>
      </c>
    </row>
    <row r="67">
      <c r="A67" s="3" t="inlineStr">
        <is>
          <t>DATA FRESHNESS</t>
        </is>
      </c>
      <c r="B67" s="4" t="n"/>
      <c r="C67" s="4" t="n"/>
      <c r="D67" s="4" t="n"/>
      <c r="E67" s="4" t="n"/>
      <c r="F67" s="4" t="n"/>
      <c r="G67" s="4" t="n"/>
      <c r="H67" s="4" t="n"/>
    </row>
    <row r="68">
      <c r="A68" s="6" t="inlineStr">
        <is>
          <t>Snapshot pulled</t>
        </is>
      </c>
      <c r="B68" s="26" t="inlineStr">
        <is>
          <t>2026-10-12 02:24 UTC</t>
        </is>
      </c>
      <c r="C68" s="66" t="n"/>
      <c r="D68" s="66" t="n"/>
      <c r="E68" s="67" t="n"/>
    </row>
    <row r="69">
      <c r="A69" s="6" t="inlineStr">
        <is>
          <t>Polymarket winner history</t>
        </is>
      </c>
      <c r="B69" s="59">
        <f>TEXT(Polymarket!A25,"yyyy-mm-dd")&amp;" to "&amp;TEXT(Polymarket!A303,"yyyy-mm-dd")&amp;"  ("&amp;COUNT(Polymarket!A25:A303)&amp;" days)"</f>
        <v/>
      </c>
      <c r="C69" s="66" t="n"/>
      <c r="D69" s="66" t="n"/>
      <c r="E69" s="67" t="n"/>
    </row>
    <row r="70">
      <c r="A70" s="6" t="inlineStr">
        <is>
          <t>Kalshi winner history</t>
        </is>
      </c>
      <c r="B70" s="59">
        <f>TEXT(Kalshi!A31,"yyyy-mm-dd")&amp;" to "&amp;TEXT(Kalshi!A485,"yyyy-mm-dd")&amp;"  ("&amp;COUNT(Kalshi!A31:A485)&amp;" days)"</f>
        <v/>
      </c>
      <c r="C70" s="66" t="n"/>
      <c r="D70" s="66" t="n"/>
      <c r="E70" s="67" t="n"/>
    </row>
    <row r="71">
      <c r="A71" s="6" t="inlineStr">
        <is>
          <t>Polls source</t>
        </is>
      </c>
      <c r="B71" s="26" t="inlineStr">
        <is>
          <t>house.csv (NYT / 538 house-poll file) — PA-07 rows: 1 general, 4 primary</t>
        </is>
      </c>
      <c r="C71" s="66" t="n"/>
      <c r="D71" s="66" t="n"/>
      <c r="E71" s="66" t="n"/>
      <c r="F71" s="66" t="n"/>
      <c r="G71" s="66" t="n"/>
      <c r="H71" s="67" t="n"/>
    </row>
    <row r="72">
      <c r="A72" s="6" t="inlineStr">
        <is>
          <t>Refresh</t>
        </is>
      </c>
      <c r="B72" s="126" t="inlineStr">
        <is>
          <t>See Notes &amp; Sources for the exact API call behind every blue cell.</t>
        </is>
      </c>
      <c r="C72" s="66" t="n"/>
      <c r="D72" s="66" t="n"/>
      <c r="E72" s="66" t="n"/>
      <c r="F72" s="66" t="n"/>
      <c r="G72" s="66" t="n"/>
      <c r="H72" s="67" t="n"/>
    </row>
  </sheetData>
  <mergeCells count="25">
    <mergeCell ref="B7:C7"/>
    <mergeCell ref="B68:E68"/>
    <mergeCell ref="B15:H15"/>
    <mergeCell ref="B20:H20"/>
    <mergeCell ref="A65:H65"/>
    <mergeCell ref="B16:H16"/>
    <mergeCell ref="B62:H62"/>
    <mergeCell ref="B72:H72"/>
    <mergeCell ref="B22:H22"/>
    <mergeCell ref="B18:H18"/>
    <mergeCell ref="B45:D45"/>
    <mergeCell ref="B71:H71"/>
    <mergeCell ref="B21:H21"/>
    <mergeCell ref="B70:E70"/>
    <mergeCell ref="B12:H12"/>
    <mergeCell ref="B11:H11"/>
    <mergeCell ref="B6:C6"/>
    <mergeCell ref="B14:H14"/>
    <mergeCell ref="B17:H17"/>
    <mergeCell ref="B13:H13"/>
    <mergeCell ref="B5:C5"/>
    <mergeCell ref="A38:H38"/>
    <mergeCell ref="B69:E69"/>
    <mergeCell ref="B10:H10"/>
    <mergeCell ref="B19:H19"/>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211"/>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Charts — Race Trajectory</t>
        </is>
      </c>
    </row>
    <row r="2">
      <c r="A2" s="2" t="inlineStr">
        <is>
          <t>Every chart is bound to the cell ranges on the data sheets, so all of them redraw automatically each time the tracker refreshes. Built 2026-10-12 02:24 UTC.</t>
        </is>
      </c>
    </row>
    <row r="207">
      <c r="A207" s="2" t="inlineStr">
        <is>
          <t>Chart 7 — the PollsMax model against Polymarket, matched day by day. The two answer the same question by different means, so a persistent gap is a claim that one of them is mispriced.</t>
        </is>
      </c>
    </row>
    <row r="208">
      <c r="A208" s="2" t="inlineStr">
        <is>
          <t>Chart 1 — the headline. The dashed grey line is even odds; both venues have held Brooks above it since late April 2026.</t>
        </is>
      </c>
    </row>
    <row r="209">
      <c r="A209" s="2" t="inlineStr">
        <is>
          <t>Chart 2 — a persistent gap is normal: different fees, capital costs and user bases. It is not tradeable unless the two ASK prices sum below 100%, which is the check on the Summary sheet.</t>
        </is>
      </c>
    </row>
    <row r="210">
      <c r="A210" s="2" t="inlineStr">
        <is>
          <t>Chart 3 — the gap between the two lines is the bid-ask spread. A narrowing band means the market is getting more confident and more liquid.</t>
        </is>
      </c>
    </row>
    <row r="211">
      <c r="A211" s="2" t="inlineStr">
        <is>
          <t>Chart 5 — a fair pair of prices sums to 100%. Below that, buying both sides locks in a profit; above it, the venue is charging a spread.</t>
        </is>
      </c>
    </row>
  </sheetData>
  <mergeCells count="5">
    <mergeCell ref="A208:P208"/>
    <mergeCell ref="A207:P207"/>
    <mergeCell ref="A211:P211"/>
    <mergeCell ref="A209:P209"/>
    <mergeCell ref="A210:P2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192"/>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2" customWidth="1" min="5" max="5"/>
    <col width="12" customWidth="1" min="6" max="6"/>
    <col width="12" customWidth="1" min="7" max="7"/>
    <col width="12" customWidth="1" min="8" max="8"/>
  </cols>
  <sheetData>
    <row r="1">
      <c r="A1" s="1" t="inlineStr">
        <is>
          <t>Charts — Distributions &amp; Polls</t>
        </is>
      </c>
    </row>
    <row r="2">
      <c r="A2" s="2" t="inlineStr">
        <is>
          <t>What the market thinks the result will look like, and how that squares with the polling. Built 2026-10-12 02:24 UTC.</t>
        </is>
      </c>
    </row>
    <row r="178">
      <c r="A178" s="3" t="inlineStr">
        <is>
          <t>MARKETS vs POLLS — margin in percentage points</t>
        </is>
      </c>
      <c r="B178" s="4" t="n"/>
      <c r="C178" s="4" t="n"/>
      <c r="D178" s="4" t="n"/>
      <c r="E178" s="4" t="n"/>
      <c r="F178" s="4" t="n"/>
      <c r="G178" s="4" t="n"/>
      <c r="H178" s="4" t="n"/>
    </row>
    <row r="179">
      <c r="A179" s="6" t="inlineStr">
        <is>
          <t>Weighted poll margin</t>
        </is>
      </c>
      <c r="B179" s="127">
        <f>Polls!B35*100</f>
        <v/>
      </c>
      <c r="C179" s="2" t="inlineStr">
        <is>
          <t>Positive favours Brooks (D). Poll margins are scaled from fractions to points so all three bars share one axis.</t>
        </is>
      </c>
    </row>
    <row r="180">
      <c r="A180" s="6" t="inlineStr">
        <is>
          <t>Adjusted poll margin</t>
        </is>
      </c>
      <c r="B180" s="127">
        <f>Polls!B37*100</f>
        <v/>
      </c>
    </row>
    <row r="181">
      <c r="A181" s="6" t="inlineStr">
        <is>
          <t>Market-implied margin</t>
        </is>
      </c>
      <c r="B181" s="127">
        <f>'Margin of Victory'!B31</f>
        <v/>
      </c>
    </row>
    <row r="183">
      <c r="A183" s="3" t="inlineStr">
        <is>
          <t>DEMOCRATIC PRIMARY — what the polls said vs what happened</t>
        </is>
      </c>
      <c r="B183" s="4" t="n"/>
      <c r="C183" s="4" t="n"/>
      <c r="D183" s="4" t="n"/>
      <c r="E183" s="4" t="n"/>
      <c r="F183" s="4" t="n"/>
      <c r="G183" s="4" t="n"/>
      <c r="H183" s="4" t="n"/>
    </row>
    <row r="184">
      <c r="A184" s="128">
        <f>Polls!A45&amp;" ("&amp;TEXT(Polls!E45,"d mmm")&amp;")"</f>
        <v/>
      </c>
      <c r="B184" s="100">
        <f>Polls!H45</f>
        <v/>
      </c>
    </row>
    <row r="185">
      <c r="A185" s="128">
        <f>Polls!A46&amp;" ("&amp;TEXT(Polls!E46,"d mmm")&amp;")"</f>
        <v/>
      </c>
      <c r="B185" s="100">
        <f>Polls!H46</f>
        <v/>
      </c>
    </row>
    <row r="186">
      <c r="A186" s="128">
        <f>Polls!A47&amp;" ("&amp;TEXT(Polls!E47,"d mmm")&amp;")"</f>
        <v/>
      </c>
      <c r="B186" s="100">
        <f>Polls!H47</f>
        <v/>
      </c>
    </row>
    <row r="187">
      <c r="A187" s="128">
        <f>Polls!A48&amp;" ("&amp;TEXT(Polls!E48,"d mmm")&amp;")"</f>
        <v/>
      </c>
      <c r="B187" s="100">
        <f>Polls!H48</f>
        <v/>
      </c>
    </row>
    <row r="188">
      <c r="A188" s="6" t="inlineStr">
        <is>
          <t>ACTUAL RESULT</t>
        </is>
      </c>
      <c r="B188" s="129">
        <f>Polls!H49</f>
        <v/>
      </c>
    </row>
    <row r="190">
      <c r="A190" s="2" t="inlineStr">
        <is>
          <t>Every primary poll understated Brooks, the last of them by 15 points, because 31-53% of respondents were undecided. Worth remembering when reading the single general-election poll.</t>
        </is>
      </c>
    </row>
    <row r="191">
      <c r="A191" s="2" t="inlineStr">
        <is>
          <t>Chart 11 is deliberately a curve, not bars: turnout thresholds are nested, so bars would imply an exclusivity the market does not have.</t>
        </is>
      </c>
    </row>
    <row r="192">
      <c r="A192" s="2" t="inlineStr">
        <is>
          <t>The margin chart mixes sources on purpose: the poll bars come from one Democratic-sponsored survey, the market bar from Polymarket's bracket ladder. Treat the gap as a question, not a signal.</t>
        </is>
      </c>
    </row>
  </sheetData>
  <mergeCells count="3">
    <mergeCell ref="A192:P192"/>
    <mergeCell ref="A191:P191"/>
    <mergeCell ref="A190:P19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303"/>
  <sheetViews>
    <sheetView showGridLines="0" workbookViewId="0">
      <pane xSplit="1" ySplit="24" topLeftCell="B2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Polymarket — PA-07 House Election Winner</t>
        </is>
      </c>
    </row>
    <row r="2">
      <c r="A2" s="2" t="inlineStr">
        <is>
          <t>Source: Polymarket CLOB API (clob.polymarket.com) + Gamma API. Prices are per-$1 contracts; price = implied probability. Pulled 2026-10-12 02:24 UTC.</t>
        </is>
      </c>
    </row>
    <row r="4">
      <c r="A4" s="3" t="inlineStr">
        <is>
          <t>MARKET METADATA</t>
        </is>
      </c>
      <c r="B4" s="4" t="n"/>
      <c r="C4" s="4" t="n"/>
      <c r="D4" s="4" t="n"/>
      <c r="E4" s="4" t="n"/>
      <c r="F4" s="4" t="n"/>
      <c r="G4" s="4" t="n"/>
      <c r="H4" s="4" t="n"/>
      <c r="I4" s="4" t="n"/>
      <c r="J4" s="4" t="n"/>
    </row>
    <row r="5" ht="28" customHeight="1">
      <c r="A5" s="5" t="inlineStr">
        <is>
          <t>Field</t>
        </is>
      </c>
      <c r="B5" s="5" t="inlineStr">
        <is>
          <t>Democratic Party</t>
        </is>
      </c>
      <c r="C5" s="5" t="inlineStr">
        <is>
          <t>Republican Party</t>
        </is>
      </c>
      <c r="D5" s="5" t="inlineStr"/>
      <c r="E5" s="5" t="inlineStr"/>
      <c r="F5" s="5" t="inlineStr"/>
      <c r="G5" s="5" t="inlineStr"/>
      <c r="H5" s="5" t="inlineStr"/>
      <c r="I5" s="5" t="inlineStr"/>
      <c r="J5" s="5" t="inlineStr"/>
    </row>
    <row r="6">
      <c r="A6" s="6" t="inlineStr">
        <is>
          <t>Question</t>
        </is>
      </c>
      <c r="B6" s="7" t="inlineStr">
        <is>
          <t>Will the Democratic Party win the PA-07 House seat?</t>
        </is>
      </c>
      <c r="C6" s="8" t="inlineStr">
        <is>
          <t>Will the Republican Party win the PA-07 House seat?</t>
        </is>
      </c>
    </row>
    <row r="7">
      <c r="A7" s="6" t="inlineStr">
        <is>
          <t>Market slug</t>
        </is>
      </c>
      <c r="B7" s="7" t="inlineStr">
        <is>
          <t>will-the-democratic-party-win-the-pa-07-house-seat</t>
        </is>
      </c>
      <c r="C7" s="8" t="inlineStr">
        <is>
          <t>will-the-republican-party-win-the-pa-07-house-seat</t>
        </is>
      </c>
    </row>
    <row r="8">
      <c r="A8" s="6" t="inlineStr">
        <is>
          <t>CLOB token ID</t>
        </is>
      </c>
      <c r="B8" s="7" t="inlineStr">
        <is>
          <t>37713776886536763857380242322222367371582682723176215910322979366716585040762</t>
        </is>
      </c>
      <c r="C8" s="8" t="inlineStr">
        <is>
          <t>56412855186822728853119072474894085602768054645914780515455268260878947887549</t>
        </is>
      </c>
    </row>
    <row r="9">
      <c r="A9" s="6" t="inlineStr">
        <is>
          <t>Condition ID</t>
        </is>
      </c>
      <c r="B9" s="7" t="inlineStr">
        <is>
          <t>0x863ec10c7b201b57ff3ca07ddbc74c5c464bb9ac732d2e003786b8455658592a</t>
        </is>
      </c>
      <c r="C9" s="8" t="inlineStr">
        <is>
          <t>0x1a8fadca151b214722192338aa6ea3ec4122902576fb4192d7f6da3dd3a8f9ec</t>
        </is>
      </c>
    </row>
    <row r="10">
      <c r="A10" s="6" t="inlineStr">
        <is>
          <t>Market opened</t>
        </is>
      </c>
      <c r="B10" s="7" t="inlineStr">
        <is>
          <t>2025-12-16</t>
        </is>
      </c>
      <c r="C10" s="8" t="inlineStr">
        <is>
          <t>2025-12-16</t>
        </is>
      </c>
    </row>
    <row r="11">
      <c r="A11" s="6" t="inlineStr">
        <is>
          <t>Resolution date</t>
        </is>
      </c>
      <c r="B11" s="7" t="inlineStr">
        <is>
          <t>2026-11-04</t>
        </is>
      </c>
      <c r="C11" s="8" t="inlineStr">
        <is>
          <t>2026-11-04</t>
        </is>
      </c>
    </row>
    <row r="12">
      <c r="A12" s="6" t="inlineStr">
        <is>
          <t>Volume ($)</t>
        </is>
      </c>
      <c r="B12" s="9" t="n">
        <v>25905.074007</v>
      </c>
      <c r="C12" s="10" t="n">
        <v>8864.533057000004</v>
      </c>
    </row>
    <row r="13">
      <c r="A13" s="6" t="inlineStr">
        <is>
          <t>Liquidity ($)</t>
        </is>
      </c>
      <c r="B13" s="9" t="n">
        <v>22485.8166</v>
      </c>
      <c r="C13" s="10" t="n">
        <v>44428.7046</v>
      </c>
    </row>
    <row r="14">
      <c r="A14" s="6" t="inlineStr">
        <is>
          <t>Last trade</t>
        </is>
      </c>
      <c r="B14" s="11" t="n">
        <v>0.87</v>
      </c>
      <c r="C14" s="12" t="n">
        <v>0.1</v>
      </c>
    </row>
    <row r="15">
      <c r="A15" s="6" t="inlineStr">
        <is>
          <t>24h price change</t>
        </is>
      </c>
      <c r="B15" s="13" t="n"/>
      <c r="C15" s="14" t="n"/>
    </row>
    <row r="17">
      <c r="A17" s="3" t="inlineStr">
        <is>
          <t>LIVE ORDER BOOK SNAPSHOT</t>
        </is>
      </c>
      <c r="B17" s="4" t="n"/>
      <c r="C17" s="4" t="n"/>
      <c r="D17" s="4" t="n"/>
      <c r="E17" s="4" t="n"/>
      <c r="F17" s="4" t="n"/>
      <c r="G17" s="4" t="n"/>
      <c r="H17" s="4" t="n"/>
      <c r="I17" s="4" t="n"/>
      <c r="J17" s="4" t="n"/>
    </row>
    <row r="18" ht="28" customHeight="1">
      <c r="A18" s="5" t="inlineStr">
        <is>
          <t>Outcome</t>
        </is>
      </c>
      <c r="B18" s="5" t="inlineStr">
        <is>
          <t>Best Bid</t>
        </is>
      </c>
      <c r="C18" s="5" t="inlineStr">
        <is>
          <t>Best Ask</t>
        </is>
      </c>
      <c r="D18" s="5" t="inlineStr">
        <is>
          <t>Mid</t>
        </is>
      </c>
      <c r="E18" s="5" t="inlineStr">
        <is>
          <t>Bid-Ask Spread</t>
        </is>
      </c>
      <c r="F18" s="5" t="inlineStr">
        <is>
          <t>Bid Size ($)</t>
        </is>
      </c>
      <c r="G18" s="5" t="inlineStr">
        <is>
          <t>Ask Size ($)</t>
        </is>
      </c>
      <c r="H18" s="5" t="inlineStr">
        <is>
          <t>Implied Prob (normalised)</t>
        </is>
      </c>
      <c r="I18" s="5" t="inlineStr"/>
      <c r="J18" s="5" t="inlineStr"/>
    </row>
    <row r="19">
      <c r="A19" s="15" t="inlineStr">
        <is>
          <t>Democratic Party</t>
        </is>
      </c>
      <c r="B19" s="16" t="n">
        <v>0.85</v>
      </c>
      <c r="C19" s="16" t="n">
        <v>0.87</v>
      </c>
      <c r="D19" s="17">
        <f>(B19+C19)/2</f>
        <v/>
      </c>
      <c r="E19" s="18">
        <f>C19-B19</f>
        <v/>
      </c>
      <c r="F19" s="19" t="n">
        <v>397.04</v>
      </c>
      <c r="G19" s="19" t="n">
        <v>72.56999999999999</v>
      </c>
      <c r="H19" s="20">
        <f>IFERROR(D19/$D$21,"")</f>
        <v/>
      </c>
    </row>
    <row r="20">
      <c r="A20" s="21" t="inlineStr">
        <is>
          <t>Republican Party</t>
        </is>
      </c>
      <c r="B20" s="16" t="n">
        <v>0.13</v>
      </c>
      <c r="C20" s="16" t="n">
        <v>0.14</v>
      </c>
      <c r="D20" s="17">
        <f>(B20+C20)/2</f>
        <v/>
      </c>
      <c r="E20" s="18">
        <f>C20-B20</f>
        <v/>
      </c>
      <c r="F20" s="19" t="n">
        <v>698.3099999999999</v>
      </c>
      <c r="G20" s="19" t="n">
        <v>514.7</v>
      </c>
      <c r="H20" s="20">
        <f>IFERROR(D20/$D$21,"")</f>
        <v/>
      </c>
    </row>
    <row r="21">
      <c r="A21" s="22" t="inlineStr">
        <is>
          <t>Sum of mids (100% = no vig)</t>
        </is>
      </c>
      <c r="D21" s="23">
        <f>SUM(D19:D20)</f>
        <v/>
      </c>
      <c r="E21" s="18">
        <f>D21-1</f>
        <v/>
      </c>
      <c r="H21" s="20">
        <f>SUM(H19:H20)</f>
        <v/>
      </c>
    </row>
    <row r="23">
      <c r="A23" s="3" t="inlineStr">
        <is>
          <t>DAILY PRICE HISTORY</t>
        </is>
      </c>
      <c r="B23" s="4" t="n"/>
      <c r="C23" s="4" t="n"/>
      <c r="D23" s="4" t="n"/>
      <c r="E23" s="4" t="n"/>
      <c r="F23" s="4" t="n"/>
      <c r="G23" s="4" t="n"/>
      <c r="H23" s="4" t="n"/>
      <c r="I23" s="4" t="n"/>
      <c r="J23" s="4" t="n"/>
    </row>
    <row r="24" ht="28" customHeight="1">
      <c r="A24" s="5" t="inlineStr">
        <is>
          <t>Date</t>
        </is>
      </c>
      <c r="B24" s="5" t="inlineStr">
        <is>
          <t>Dem YES Price</t>
        </is>
      </c>
      <c r="C24" s="5" t="inlineStr">
        <is>
          <t>Rep YES Price</t>
        </is>
      </c>
      <c r="D24" s="5" t="inlineStr">
        <is>
          <t>Sum (D+R)</t>
        </is>
      </c>
      <c r="E24" s="5" t="inlineStr">
        <is>
          <t>Dem Normalised</t>
        </is>
      </c>
      <c r="F24" s="5" t="inlineStr">
        <is>
          <t>Rep Normalised</t>
        </is>
      </c>
      <c r="G24" s="5" t="inlineStr">
        <is>
          <t>Dem − Rep Spread</t>
        </is>
      </c>
      <c r="H24" s="5" t="inlineStr">
        <is>
          <t>Dem 7d Change</t>
        </is>
      </c>
      <c r="I24" s="5" t="inlineStr">
        <is>
          <t>Dem 30d Change</t>
        </is>
      </c>
      <c r="J24" s="5" t="inlineStr">
        <is>
          <t>Days to Election</t>
        </is>
      </c>
      <c r="K24" s="5" t="inlineStr">
        <is>
          <t>Axis label</t>
        </is>
      </c>
    </row>
    <row r="25">
      <c r="A25" s="39" t="n">
        <v>46008</v>
      </c>
      <c r="B25" s="16" t="n">
        <v>0.48</v>
      </c>
      <c r="C25" s="16" t="n">
        <v>0.5</v>
      </c>
      <c r="D25" s="17">
        <f>IF(COUNT(B25:C25)=2,B25+C25,"")</f>
        <v/>
      </c>
      <c r="E25" s="20">
        <f>IF(ISNUMBER(B25),IFERROR(B25/$D25,""),"")</f>
        <v/>
      </c>
      <c r="F25" s="20">
        <f>IF(ISNUMBER(C25),IFERROR(C25/$D25,""),"")</f>
        <v/>
      </c>
      <c r="G25" s="18">
        <f>IF(COUNT(B25:C25)=2,B25-C25,"")</f>
        <v/>
      </c>
      <c r="H25" s="18">
        <f>IFERROR(IF(AND(ISNUMBER(B25),INDEX($B$25:$B25,MATCH($A25-7,$A$25:$A25,1))&lt;&gt;0,INDEX($A$25:$A25,MATCH($A25-7,$A$25:$A25,1))&lt;&gt;0,$A25-INDEX($A$25:$A25,MATCH($A25-7,$A$25:$A25,1))&lt;=10),B25-INDEX($B$25:$B25,MATCH($A25-7,$A$25:$A25,1)),""),"")</f>
        <v/>
      </c>
      <c r="I25" s="18">
        <f>IFERROR(IF(AND(ISNUMBER(B25),INDEX($B$25:$B25,MATCH($A25-30,$A$25:$A25,1))&lt;&gt;0,INDEX($A$25:$A25,MATCH($A25-30,$A$25:$A25,1))&lt;&gt;0,$A25-INDEX($A$25:$A25,MATCH($A25-30,$A$25:$A25,1))&lt;=33),B25-INDEX($B$25:$B25,MATCH($A25-30,$A$25:$A25,1)),""),"")</f>
        <v/>
      </c>
      <c r="J25" s="40">
        <f>DATE(2026,11,3)-A25</f>
        <v/>
      </c>
      <c r="K25" s="26" t="inlineStr">
        <is>
          <t>17 Dec</t>
        </is>
      </c>
    </row>
    <row r="26">
      <c r="A26" s="41" t="n">
        <v>46009</v>
      </c>
      <c r="B26" s="28" t="n">
        <v>0.48</v>
      </c>
      <c r="C26" s="28" t="n">
        <v>0.5</v>
      </c>
      <c r="D26" s="29">
        <f>IF(COUNT(B26:C26)=2,B26+C26,"")</f>
        <v/>
      </c>
      <c r="E26" s="30">
        <f>IF(ISNUMBER(B26),IFERROR(B26/$D26,""),"")</f>
        <v/>
      </c>
      <c r="F26" s="30">
        <f>IF(ISNUMBER(C26),IFERROR(C26/$D26,""),"")</f>
        <v/>
      </c>
      <c r="G26" s="31">
        <f>IF(COUNT(B26:C26)=2,B26-C26,"")</f>
        <v/>
      </c>
      <c r="H26" s="31">
        <f>IFERROR(IF(AND(ISNUMBER(B26),INDEX($B$25:$B26,MATCH($A26-7,$A$25:$A26,1))&lt;&gt;0,INDEX($A$25:$A26,MATCH($A26-7,$A$25:$A26,1))&lt;&gt;0,$A26-INDEX($A$25:$A26,MATCH($A26-7,$A$25:$A26,1))&lt;=10),B26-INDEX($B$25:$B26,MATCH($A26-7,$A$25:$A26,1)),""),"")</f>
        <v/>
      </c>
      <c r="I26" s="31">
        <f>IFERROR(IF(AND(ISNUMBER(B26),INDEX($B$25:$B26,MATCH($A26-30,$A$25:$A26,1))&lt;&gt;0,INDEX($A$25:$A26,MATCH($A26-30,$A$25:$A26,1))&lt;&gt;0,$A26-INDEX($A$25:$A26,MATCH($A26-30,$A$25:$A26,1))&lt;=33),B26-INDEX($B$25:$B26,MATCH($A26-30,$A$25:$A26,1)),""),"")</f>
        <v/>
      </c>
      <c r="J26" s="42">
        <f>DATE(2026,11,3)-A26</f>
        <v/>
      </c>
      <c r="K26" s="26" t="inlineStr">
        <is>
          <t>18 Dec</t>
        </is>
      </c>
    </row>
    <row r="27">
      <c r="A27" s="39" t="n">
        <v>46010</v>
      </c>
      <c r="B27" s="16" t="n">
        <v>0.485</v>
      </c>
      <c r="C27" s="16" t="n">
        <v>0.49</v>
      </c>
      <c r="D27" s="17">
        <f>IF(COUNT(B27:C27)=2,B27+C27,"")</f>
        <v/>
      </c>
      <c r="E27" s="20">
        <f>IF(ISNUMBER(B27),IFERROR(B27/$D27,""),"")</f>
        <v/>
      </c>
      <c r="F27" s="20">
        <f>IF(ISNUMBER(C27),IFERROR(C27/$D27,""),"")</f>
        <v/>
      </c>
      <c r="G27" s="18">
        <f>IF(COUNT(B27:C27)=2,B27-C27,"")</f>
        <v/>
      </c>
      <c r="H27" s="18">
        <f>IFERROR(IF(AND(ISNUMBER(B27),INDEX($B$25:$B27,MATCH($A27-7,$A$25:$A27,1))&lt;&gt;0,INDEX($A$25:$A27,MATCH($A27-7,$A$25:$A27,1))&lt;&gt;0,$A27-INDEX($A$25:$A27,MATCH($A27-7,$A$25:$A27,1))&lt;=10),B27-INDEX($B$25:$B27,MATCH($A27-7,$A$25:$A27,1)),""),"")</f>
        <v/>
      </c>
      <c r="I27" s="18">
        <f>IFERROR(IF(AND(ISNUMBER(B27),INDEX($B$25:$B27,MATCH($A27-30,$A$25:$A27,1))&lt;&gt;0,INDEX($A$25:$A27,MATCH($A27-30,$A$25:$A27,1))&lt;&gt;0,$A27-INDEX($A$25:$A27,MATCH($A27-30,$A$25:$A27,1))&lt;=33),B27-INDEX($B$25:$B27,MATCH($A27-30,$A$25:$A27,1)),""),"")</f>
        <v/>
      </c>
      <c r="J27" s="40">
        <f>DATE(2026,11,3)-A27</f>
        <v/>
      </c>
      <c r="K27" s="26" t="inlineStr">
        <is>
          <t>19 Dec</t>
        </is>
      </c>
    </row>
    <row r="28">
      <c r="A28" s="41" t="n">
        <v>46011</v>
      </c>
      <c r="B28" s="28" t="n">
        <v>0.49</v>
      </c>
      <c r="C28" s="28" t="n">
        <v>0.495</v>
      </c>
      <c r="D28" s="29">
        <f>IF(COUNT(B28:C28)=2,B28+C28,"")</f>
        <v/>
      </c>
      <c r="E28" s="30">
        <f>IF(ISNUMBER(B28),IFERROR(B28/$D28,""),"")</f>
        <v/>
      </c>
      <c r="F28" s="30">
        <f>IF(ISNUMBER(C28),IFERROR(C28/$D28,""),"")</f>
        <v/>
      </c>
      <c r="G28" s="31">
        <f>IF(COUNT(B28:C28)=2,B28-C28,"")</f>
        <v/>
      </c>
      <c r="H28" s="31">
        <f>IFERROR(IF(AND(ISNUMBER(B28),INDEX($B$25:$B28,MATCH($A28-7,$A$25:$A28,1))&lt;&gt;0,INDEX($A$25:$A28,MATCH($A28-7,$A$25:$A28,1))&lt;&gt;0,$A28-INDEX($A$25:$A28,MATCH($A28-7,$A$25:$A28,1))&lt;=10),B28-INDEX($B$25:$B28,MATCH($A28-7,$A$25:$A28,1)),""),"")</f>
        <v/>
      </c>
      <c r="I28" s="31">
        <f>IFERROR(IF(AND(ISNUMBER(B28),INDEX($B$25:$B28,MATCH($A28-30,$A$25:$A28,1))&lt;&gt;0,INDEX($A$25:$A28,MATCH($A28-30,$A$25:$A28,1))&lt;&gt;0,$A28-INDEX($A$25:$A28,MATCH($A28-30,$A$25:$A28,1))&lt;=33),B28-INDEX($B$25:$B28,MATCH($A28-30,$A$25:$A28,1)),""),"")</f>
        <v/>
      </c>
      <c r="J28" s="42">
        <f>DATE(2026,11,3)-A28</f>
        <v/>
      </c>
      <c r="K28" s="26" t="inlineStr">
        <is>
          <t>20 Dec</t>
        </is>
      </c>
    </row>
    <row r="29">
      <c r="A29" s="39" t="n">
        <v>46012</v>
      </c>
      <c r="B29" s="16" t="n">
        <v>0.49</v>
      </c>
      <c r="C29" s="16" t="n">
        <v>0.495</v>
      </c>
      <c r="D29" s="17">
        <f>IF(COUNT(B29:C29)=2,B29+C29,"")</f>
        <v/>
      </c>
      <c r="E29" s="20">
        <f>IF(ISNUMBER(B29),IFERROR(B29/$D29,""),"")</f>
        <v/>
      </c>
      <c r="F29" s="20">
        <f>IF(ISNUMBER(C29),IFERROR(C29/$D29,""),"")</f>
        <v/>
      </c>
      <c r="G29" s="18">
        <f>IF(COUNT(B29:C29)=2,B29-C29,"")</f>
        <v/>
      </c>
      <c r="H29" s="18">
        <f>IFERROR(IF(AND(ISNUMBER(B29),INDEX($B$25:$B29,MATCH($A29-7,$A$25:$A29,1))&lt;&gt;0,INDEX($A$25:$A29,MATCH($A29-7,$A$25:$A29,1))&lt;&gt;0,$A29-INDEX($A$25:$A29,MATCH($A29-7,$A$25:$A29,1))&lt;=10),B29-INDEX($B$25:$B29,MATCH($A29-7,$A$25:$A29,1)),""),"")</f>
        <v/>
      </c>
      <c r="I29" s="18">
        <f>IFERROR(IF(AND(ISNUMBER(B29),INDEX($B$25:$B29,MATCH($A29-30,$A$25:$A29,1))&lt;&gt;0,INDEX($A$25:$A29,MATCH($A29-30,$A$25:$A29,1))&lt;&gt;0,$A29-INDEX($A$25:$A29,MATCH($A29-30,$A$25:$A29,1))&lt;=33),B29-INDEX($B$25:$B29,MATCH($A29-30,$A$25:$A29,1)),""),"")</f>
        <v/>
      </c>
      <c r="J29" s="40">
        <f>DATE(2026,11,3)-A29</f>
        <v/>
      </c>
      <c r="K29" s="26" t="inlineStr">
        <is>
          <t>21 Dec</t>
        </is>
      </c>
    </row>
    <row r="30">
      <c r="A30" s="41" t="n">
        <v>46013</v>
      </c>
      <c r="B30" s="28" t="n">
        <v>0.485</v>
      </c>
      <c r="C30" s="28" t="n">
        <v>0.5</v>
      </c>
      <c r="D30" s="29">
        <f>IF(COUNT(B30:C30)=2,B30+C30,"")</f>
        <v/>
      </c>
      <c r="E30" s="30">
        <f>IF(ISNUMBER(B30),IFERROR(B30/$D30,""),"")</f>
        <v/>
      </c>
      <c r="F30" s="30">
        <f>IF(ISNUMBER(C30),IFERROR(C30/$D30,""),"")</f>
        <v/>
      </c>
      <c r="G30" s="31">
        <f>IF(COUNT(B30:C30)=2,B30-C30,"")</f>
        <v/>
      </c>
      <c r="H30" s="31">
        <f>IFERROR(IF(AND(ISNUMBER(B30),INDEX($B$25:$B30,MATCH($A30-7,$A$25:$A30,1))&lt;&gt;0,INDEX($A$25:$A30,MATCH($A30-7,$A$25:$A30,1))&lt;&gt;0,$A30-INDEX($A$25:$A30,MATCH($A30-7,$A$25:$A30,1))&lt;=10),B30-INDEX($B$25:$B30,MATCH($A30-7,$A$25:$A30,1)),""),"")</f>
        <v/>
      </c>
      <c r="I30" s="31">
        <f>IFERROR(IF(AND(ISNUMBER(B30),INDEX($B$25:$B30,MATCH($A30-30,$A$25:$A30,1))&lt;&gt;0,INDEX($A$25:$A30,MATCH($A30-30,$A$25:$A30,1))&lt;&gt;0,$A30-INDEX($A$25:$A30,MATCH($A30-30,$A$25:$A30,1))&lt;=33),B30-INDEX($B$25:$B30,MATCH($A30-30,$A$25:$A30,1)),""),"")</f>
        <v/>
      </c>
      <c r="J30" s="42">
        <f>DATE(2026,11,3)-A30</f>
        <v/>
      </c>
      <c r="K30" s="26" t="inlineStr">
        <is>
          <t>22 Dec</t>
        </is>
      </c>
    </row>
    <row r="31">
      <c r="A31" s="39" t="n">
        <v>46014</v>
      </c>
      <c r="B31" s="16" t="n">
        <v>0.495</v>
      </c>
      <c r="C31" s="16" t="n">
        <v>0.5</v>
      </c>
      <c r="D31" s="17">
        <f>IF(COUNT(B31:C31)=2,B31+C31,"")</f>
        <v/>
      </c>
      <c r="E31" s="20">
        <f>IF(ISNUMBER(B31),IFERROR(B31/$D31,""),"")</f>
        <v/>
      </c>
      <c r="F31" s="20">
        <f>IF(ISNUMBER(C31),IFERROR(C31/$D31,""),"")</f>
        <v/>
      </c>
      <c r="G31" s="18">
        <f>IF(COUNT(B31:C31)=2,B31-C31,"")</f>
        <v/>
      </c>
      <c r="H31" s="18">
        <f>IFERROR(IF(AND(ISNUMBER(B31),INDEX($B$25:$B31,MATCH($A31-7,$A$25:$A31,1))&lt;&gt;0,INDEX($A$25:$A31,MATCH($A31-7,$A$25:$A31,1))&lt;&gt;0,$A31-INDEX($A$25:$A31,MATCH($A31-7,$A$25:$A31,1))&lt;=10),B31-INDEX($B$25:$B31,MATCH($A31-7,$A$25:$A31,1)),""),"")</f>
        <v/>
      </c>
      <c r="I31" s="18">
        <f>IFERROR(IF(AND(ISNUMBER(B31),INDEX($B$25:$B31,MATCH($A31-30,$A$25:$A31,1))&lt;&gt;0,INDEX($A$25:$A31,MATCH($A31-30,$A$25:$A31,1))&lt;&gt;0,$A31-INDEX($A$25:$A31,MATCH($A31-30,$A$25:$A31,1))&lt;=33),B31-INDEX($B$25:$B31,MATCH($A31-30,$A$25:$A31,1)),""),"")</f>
        <v/>
      </c>
      <c r="J31" s="40">
        <f>DATE(2026,11,3)-A31</f>
        <v/>
      </c>
      <c r="K31" s="26" t="inlineStr">
        <is>
          <t>23 Dec</t>
        </is>
      </c>
    </row>
    <row r="32">
      <c r="A32" s="41" t="n">
        <v>46015</v>
      </c>
      <c r="B32" s="28" t="n">
        <v>0.49</v>
      </c>
      <c r="C32" s="28" t="n">
        <v>0.5</v>
      </c>
      <c r="D32" s="29">
        <f>IF(COUNT(B32:C32)=2,B32+C32,"")</f>
        <v/>
      </c>
      <c r="E32" s="30">
        <f>IF(ISNUMBER(B32),IFERROR(B32/$D32,""),"")</f>
        <v/>
      </c>
      <c r="F32" s="30">
        <f>IF(ISNUMBER(C32),IFERROR(C32/$D32,""),"")</f>
        <v/>
      </c>
      <c r="G32" s="31">
        <f>IF(COUNT(B32:C32)=2,B32-C32,"")</f>
        <v/>
      </c>
      <c r="H32" s="31">
        <f>IFERROR(IF(AND(ISNUMBER(B32),INDEX($B$25:$B32,MATCH($A32-7,$A$25:$A32,1))&lt;&gt;0,INDEX($A$25:$A32,MATCH($A32-7,$A$25:$A32,1))&lt;&gt;0,$A32-INDEX($A$25:$A32,MATCH($A32-7,$A$25:$A32,1))&lt;=10),B32-INDEX($B$25:$B32,MATCH($A32-7,$A$25:$A32,1)),""),"")</f>
        <v/>
      </c>
      <c r="I32" s="31">
        <f>IFERROR(IF(AND(ISNUMBER(B32),INDEX($B$25:$B32,MATCH($A32-30,$A$25:$A32,1))&lt;&gt;0,INDEX($A$25:$A32,MATCH($A32-30,$A$25:$A32,1))&lt;&gt;0,$A32-INDEX($A$25:$A32,MATCH($A32-30,$A$25:$A32,1))&lt;=33),B32-INDEX($B$25:$B32,MATCH($A32-30,$A$25:$A32,1)),""),"")</f>
        <v/>
      </c>
      <c r="J32" s="42">
        <f>DATE(2026,11,3)-A32</f>
        <v/>
      </c>
      <c r="K32" s="26" t="inlineStr">
        <is>
          <t>24 Dec</t>
        </is>
      </c>
    </row>
    <row r="33">
      <c r="A33" s="39" t="n">
        <v>46016</v>
      </c>
      <c r="B33" s="16" t="n">
        <v>0.49</v>
      </c>
      <c r="C33" s="16" t="n">
        <v>0.49</v>
      </c>
      <c r="D33" s="17">
        <f>IF(COUNT(B33:C33)=2,B33+C33,"")</f>
        <v/>
      </c>
      <c r="E33" s="20">
        <f>IF(ISNUMBER(B33),IFERROR(B33/$D33,""),"")</f>
        <v/>
      </c>
      <c r="F33" s="20">
        <f>IF(ISNUMBER(C33),IFERROR(C33/$D33,""),"")</f>
        <v/>
      </c>
      <c r="G33" s="18">
        <f>IF(COUNT(B33:C33)=2,B33-C33,"")</f>
        <v/>
      </c>
      <c r="H33" s="18">
        <f>IFERROR(IF(AND(ISNUMBER(B33),INDEX($B$25:$B33,MATCH($A33-7,$A$25:$A33,1))&lt;&gt;0,INDEX($A$25:$A33,MATCH($A33-7,$A$25:$A33,1))&lt;&gt;0,$A33-INDEX($A$25:$A33,MATCH($A33-7,$A$25:$A33,1))&lt;=10),B33-INDEX($B$25:$B33,MATCH($A33-7,$A$25:$A33,1)),""),"")</f>
        <v/>
      </c>
      <c r="I33" s="18">
        <f>IFERROR(IF(AND(ISNUMBER(B33),INDEX($B$25:$B33,MATCH($A33-30,$A$25:$A33,1))&lt;&gt;0,INDEX($A$25:$A33,MATCH($A33-30,$A$25:$A33,1))&lt;&gt;0,$A33-INDEX($A$25:$A33,MATCH($A33-30,$A$25:$A33,1))&lt;=33),B33-INDEX($B$25:$B33,MATCH($A33-30,$A$25:$A33,1)),""),"")</f>
        <v/>
      </c>
      <c r="J33" s="40">
        <f>DATE(2026,11,3)-A33</f>
        <v/>
      </c>
      <c r="K33" s="26" t="inlineStr">
        <is>
          <t>25 Dec</t>
        </is>
      </c>
    </row>
    <row r="34">
      <c r="A34" s="41" t="n">
        <v>46017</v>
      </c>
      <c r="B34" s="28" t="n">
        <v>0.49</v>
      </c>
      <c r="C34" s="28" t="n">
        <v>0.495</v>
      </c>
      <c r="D34" s="29">
        <f>IF(COUNT(B34:C34)=2,B34+C34,"")</f>
        <v/>
      </c>
      <c r="E34" s="30">
        <f>IF(ISNUMBER(B34),IFERROR(B34/$D34,""),"")</f>
        <v/>
      </c>
      <c r="F34" s="30">
        <f>IF(ISNUMBER(C34),IFERROR(C34/$D34,""),"")</f>
        <v/>
      </c>
      <c r="G34" s="31">
        <f>IF(COUNT(B34:C34)=2,B34-C34,"")</f>
        <v/>
      </c>
      <c r="H34" s="31">
        <f>IFERROR(IF(AND(ISNUMBER(B34),INDEX($B$25:$B34,MATCH($A34-7,$A$25:$A34,1))&lt;&gt;0,INDEX($A$25:$A34,MATCH($A34-7,$A$25:$A34,1))&lt;&gt;0,$A34-INDEX($A$25:$A34,MATCH($A34-7,$A$25:$A34,1))&lt;=10),B34-INDEX($B$25:$B34,MATCH($A34-7,$A$25:$A34,1)),""),"")</f>
        <v/>
      </c>
      <c r="I34" s="31">
        <f>IFERROR(IF(AND(ISNUMBER(B34),INDEX($B$25:$B34,MATCH($A34-30,$A$25:$A34,1))&lt;&gt;0,INDEX($A$25:$A34,MATCH($A34-30,$A$25:$A34,1))&lt;&gt;0,$A34-INDEX($A$25:$A34,MATCH($A34-30,$A$25:$A34,1))&lt;=33),B34-INDEX($B$25:$B34,MATCH($A34-30,$A$25:$A34,1)),""),"")</f>
        <v/>
      </c>
      <c r="J34" s="42">
        <f>DATE(2026,11,3)-A34</f>
        <v/>
      </c>
      <c r="K34" s="26" t="inlineStr">
        <is>
          <t>26 Dec</t>
        </is>
      </c>
    </row>
    <row r="35">
      <c r="A35" s="39" t="n">
        <v>46018</v>
      </c>
      <c r="B35" s="16" t="n">
        <v>0.495</v>
      </c>
      <c r="C35" s="16" t="n">
        <v>0.5</v>
      </c>
      <c r="D35" s="17">
        <f>IF(COUNT(B35:C35)=2,B35+C35,"")</f>
        <v/>
      </c>
      <c r="E35" s="20">
        <f>IF(ISNUMBER(B35),IFERROR(B35/$D35,""),"")</f>
        <v/>
      </c>
      <c r="F35" s="20">
        <f>IF(ISNUMBER(C35),IFERROR(C35/$D35,""),"")</f>
        <v/>
      </c>
      <c r="G35" s="18">
        <f>IF(COUNT(B35:C35)=2,B35-C35,"")</f>
        <v/>
      </c>
      <c r="H35" s="18">
        <f>IFERROR(IF(AND(ISNUMBER(B35),INDEX($B$25:$B35,MATCH($A35-7,$A$25:$A35,1))&lt;&gt;0,INDEX($A$25:$A35,MATCH($A35-7,$A$25:$A35,1))&lt;&gt;0,$A35-INDEX($A$25:$A35,MATCH($A35-7,$A$25:$A35,1))&lt;=10),B35-INDEX($B$25:$B35,MATCH($A35-7,$A$25:$A35,1)),""),"")</f>
        <v/>
      </c>
      <c r="I35" s="18">
        <f>IFERROR(IF(AND(ISNUMBER(B35),INDEX($B$25:$B35,MATCH($A35-30,$A$25:$A35,1))&lt;&gt;0,INDEX($A$25:$A35,MATCH($A35-30,$A$25:$A35,1))&lt;&gt;0,$A35-INDEX($A$25:$A35,MATCH($A35-30,$A$25:$A35,1))&lt;=33),B35-INDEX($B$25:$B35,MATCH($A35-30,$A$25:$A35,1)),""),"")</f>
        <v/>
      </c>
      <c r="J35" s="40">
        <f>DATE(2026,11,3)-A35</f>
        <v/>
      </c>
      <c r="K35" s="26" t="inlineStr">
        <is>
          <t>27 Dec</t>
        </is>
      </c>
    </row>
    <row r="36">
      <c r="A36" s="41" t="n">
        <v>46019</v>
      </c>
      <c r="B36" s="28" t="n">
        <v>0.485</v>
      </c>
      <c r="C36" s="28" t="n">
        <v>0.495</v>
      </c>
      <c r="D36" s="29">
        <f>IF(COUNT(B36:C36)=2,B36+C36,"")</f>
        <v/>
      </c>
      <c r="E36" s="30">
        <f>IF(ISNUMBER(B36),IFERROR(B36/$D36,""),"")</f>
        <v/>
      </c>
      <c r="F36" s="30">
        <f>IF(ISNUMBER(C36),IFERROR(C36/$D36,""),"")</f>
        <v/>
      </c>
      <c r="G36" s="31">
        <f>IF(COUNT(B36:C36)=2,B36-C36,"")</f>
        <v/>
      </c>
      <c r="H36" s="31">
        <f>IFERROR(IF(AND(ISNUMBER(B36),INDEX($B$25:$B36,MATCH($A36-7,$A$25:$A36,1))&lt;&gt;0,INDEX($A$25:$A36,MATCH($A36-7,$A$25:$A36,1))&lt;&gt;0,$A36-INDEX($A$25:$A36,MATCH($A36-7,$A$25:$A36,1))&lt;=10),B36-INDEX($B$25:$B36,MATCH($A36-7,$A$25:$A36,1)),""),"")</f>
        <v/>
      </c>
      <c r="I36" s="31">
        <f>IFERROR(IF(AND(ISNUMBER(B36),INDEX($B$25:$B36,MATCH($A36-30,$A$25:$A36,1))&lt;&gt;0,INDEX($A$25:$A36,MATCH($A36-30,$A$25:$A36,1))&lt;&gt;0,$A36-INDEX($A$25:$A36,MATCH($A36-30,$A$25:$A36,1))&lt;=33),B36-INDEX($B$25:$B36,MATCH($A36-30,$A$25:$A36,1)),""),"")</f>
        <v/>
      </c>
      <c r="J36" s="42">
        <f>DATE(2026,11,3)-A36</f>
        <v/>
      </c>
      <c r="K36" s="26" t="inlineStr">
        <is>
          <t>28 Dec</t>
        </is>
      </c>
    </row>
    <row r="37">
      <c r="A37" s="39" t="n">
        <v>46020</v>
      </c>
      <c r="B37" s="16" t="n">
        <v>0.52</v>
      </c>
      <c r="C37" s="16" t="n">
        <v>0.48</v>
      </c>
      <c r="D37" s="17">
        <f>IF(COUNT(B37:C37)=2,B37+C37,"")</f>
        <v/>
      </c>
      <c r="E37" s="20">
        <f>IF(ISNUMBER(B37),IFERROR(B37/$D37,""),"")</f>
        <v/>
      </c>
      <c r="F37" s="20">
        <f>IF(ISNUMBER(C37),IFERROR(C37/$D37,""),"")</f>
        <v/>
      </c>
      <c r="G37" s="18">
        <f>IF(COUNT(B37:C37)=2,B37-C37,"")</f>
        <v/>
      </c>
      <c r="H37" s="18">
        <f>IFERROR(IF(AND(ISNUMBER(B37),INDEX($B$25:$B37,MATCH($A37-7,$A$25:$A37,1))&lt;&gt;0,INDEX($A$25:$A37,MATCH($A37-7,$A$25:$A37,1))&lt;&gt;0,$A37-INDEX($A$25:$A37,MATCH($A37-7,$A$25:$A37,1))&lt;=10),B37-INDEX($B$25:$B37,MATCH($A37-7,$A$25:$A37,1)),""),"")</f>
        <v/>
      </c>
      <c r="I37" s="18">
        <f>IFERROR(IF(AND(ISNUMBER(B37),INDEX($B$25:$B37,MATCH($A37-30,$A$25:$A37,1))&lt;&gt;0,INDEX($A$25:$A37,MATCH($A37-30,$A$25:$A37,1))&lt;&gt;0,$A37-INDEX($A$25:$A37,MATCH($A37-30,$A$25:$A37,1))&lt;=33),B37-INDEX($B$25:$B37,MATCH($A37-30,$A$25:$A37,1)),""),"")</f>
        <v/>
      </c>
      <c r="J37" s="40">
        <f>DATE(2026,11,3)-A37</f>
        <v/>
      </c>
      <c r="K37" s="26" t="inlineStr">
        <is>
          <t>29 Dec</t>
        </is>
      </c>
    </row>
    <row r="38">
      <c r="A38" s="41" t="n">
        <v>46021</v>
      </c>
      <c r="B38" s="28" t="n">
        <v>0.495</v>
      </c>
      <c r="C38" s="28" t="n">
        <v>0.5</v>
      </c>
      <c r="D38" s="29">
        <f>IF(COUNT(B38:C38)=2,B38+C38,"")</f>
        <v/>
      </c>
      <c r="E38" s="30">
        <f>IF(ISNUMBER(B38),IFERROR(B38/$D38,""),"")</f>
        <v/>
      </c>
      <c r="F38" s="30">
        <f>IF(ISNUMBER(C38),IFERROR(C38/$D38,""),"")</f>
        <v/>
      </c>
      <c r="G38" s="31">
        <f>IF(COUNT(B38:C38)=2,B38-C38,"")</f>
        <v/>
      </c>
      <c r="H38" s="31">
        <f>IFERROR(IF(AND(ISNUMBER(B38),INDEX($B$25:$B38,MATCH($A38-7,$A$25:$A38,1))&lt;&gt;0,INDEX($A$25:$A38,MATCH($A38-7,$A$25:$A38,1))&lt;&gt;0,$A38-INDEX($A$25:$A38,MATCH($A38-7,$A$25:$A38,1))&lt;=10),B38-INDEX($B$25:$B38,MATCH($A38-7,$A$25:$A38,1)),""),"")</f>
        <v/>
      </c>
      <c r="I38" s="31">
        <f>IFERROR(IF(AND(ISNUMBER(B38),INDEX($B$25:$B38,MATCH($A38-30,$A$25:$A38,1))&lt;&gt;0,INDEX($A$25:$A38,MATCH($A38-30,$A$25:$A38,1))&lt;&gt;0,$A38-INDEX($A$25:$A38,MATCH($A38-30,$A$25:$A38,1))&lt;=33),B38-INDEX($B$25:$B38,MATCH($A38-30,$A$25:$A38,1)),""),"")</f>
        <v/>
      </c>
      <c r="J38" s="42">
        <f>DATE(2026,11,3)-A38</f>
        <v/>
      </c>
      <c r="K38" s="26" t="inlineStr">
        <is>
          <t>30 Dec</t>
        </is>
      </c>
    </row>
    <row r="39">
      <c r="A39" s="39" t="n">
        <v>46022</v>
      </c>
      <c r="B39" s="16" t="n">
        <v>0.505</v>
      </c>
      <c r="C39" s="16" t="n">
        <v>0.495</v>
      </c>
      <c r="D39" s="17">
        <f>IF(COUNT(B39:C39)=2,B39+C39,"")</f>
        <v/>
      </c>
      <c r="E39" s="20">
        <f>IF(ISNUMBER(B39),IFERROR(B39/$D39,""),"")</f>
        <v/>
      </c>
      <c r="F39" s="20">
        <f>IF(ISNUMBER(C39),IFERROR(C39/$D39,""),"")</f>
        <v/>
      </c>
      <c r="G39" s="18">
        <f>IF(COUNT(B39:C39)=2,B39-C39,"")</f>
        <v/>
      </c>
      <c r="H39" s="18">
        <f>IFERROR(IF(AND(ISNUMBER(B39),INDEX($B$25:$B39,MATCH($A39-7,$A$25:$A39,1))&lt;&gt;0,INDEX($A$25:$A39,MATCH($A39-7,$A$25:$A39,1))&lt;&gt;0,$A39-INDEX($A$25:$A39,MATCH($A39-7,$A$25:$A39,1))&lt;=10),B39-INDEX($B$25:$B39,MATCH($A39-7,$A$25:$A39,1)),""),"")</f>
        <v/>
      </c>
      <c r="I39" s="18">
        <f>IFERROR(IF(AND(ISNUMBER(B39),INDEX($B$25:$B39,MATCH($A39-30,$A$25:$A39,1))&lt;&gt;0,INDEX($A$25:$A39,MATCH($A39-30,$A$25:$A39,1))&lt;&gt;0,$A39-INDEX($A$25:$A39,MATCH($A39-30,$A$25:$A39,1))&lt;=33),B39-INDEX($B$25:$B39,MATCH($A39-30,$A$25:$A39,1)),""),"")</f>
        <v/>
      </c>
      <c r="J39" s="40">
        <f>DATE(2026,11,3)-A39</f>
        <v/>
      </c>
      <c r="K39" s="26" t="inlineStr">
        <is>
          <t>31 Dec</t>
        </is>
      </c>
    </row>
    <row r="40">
      <c r="A40" s="41" t="n">
        <v>46023</v>
      </c>
      <c r="B40" s="28" t="n">
        <v>0.52</v>
      </c>
      <c r="C40" s="28" t="n">
        <v>0.465</v>
      </c>
      <c r="D40" s="29">
        <f>IF(COUNT(B40:C40)=2,B40+C40,"")</f>
        <v/>
      </c>
      <c r="E40" s="30">
        <f>IF(ISNUMBER(B40),IFERROR(B40/$D40,""),"")</f>
        <v/>
      </c>
      <c r="F40" s="30">
        <f>IF(ISNUMBER(C40),IFERROR(C40/$D40,""),"")</f>
        <v/>
      </c>
      <c r="G40" s="31">
        <f>IF(COUNT(B40:C40)=2,B40-C40,"")</f>
        <v/>
      </c>
      <c r="H40" s="31">
        <f>IFERROR(IF(AND(ISNUMBER(B40),INDEX($B$25:$B40,MATCH($A40-7,$A$25:$A40,1))&lt;&gt;0,INDEX($A$25:$A40,MATCH($A40-7,$A$25:$A40,1))&lt;&gt;0,$A40-INDEX($A$25:$A40,MATCH($A40-7,$A$25:$A40,1))&lt;=10),B40-INDEX($B$25:$B40,MATCH($A40-7,$A$25:$A40,1)),""),"")</f>
        <v/>
      </c>
      <c r="I40" s="31">
        <f>IFERROR(IF(AND(ISNUMBER(B40),INDEX($B$25:$B40,MATCH($A40-30,$A$25:$A40,1))&lt;&gt;0,INDEX($A$25:$A40,MATCH($A40-30,$A$25:$A40,1))&lt;&gt;0,$A40-INDEX($A$25:$A40,MATCH($A40-30,$A$25:$A40,1))&lt;=33),B40-INDEX($B$25:$B40,MATCH($A40-30,$A$25:$A40,1)),""),"")</f>
        <v/>
      </c>
      <c r="J40" s="42">
        <f>DATE(2026,11,3)-A40</f>
        <v/>
      </c>
      <c r="K40" s="26" t="inlineStr">
        <is>
          <t>01 Jan</t>
        </is>
      </c>
    </row>
    <row r="41">
      <c r="A41" s="39" t="n">
        <v>46024</v>
      </c>
      <c r="B41" s="16" t="n">
        <v>0.46</v>
      </c>
      <c r="C41" s="16" t="n">
        <v>0.45</v>
      </c>
      <c r="D41" s="17">
        <f>IF(COUNT(B41:C41)=2,B41+C41,"")</f>
        <v/>
      </c>
      <c r="E41" s="20">
        <f>IF(ISNUMBER(B41),IFERROR(B41/$D41,""),"")</f>
        <v/>
      </c>
      <c r="F41" s="20">
        <f>IF(ISNUMBER(C41),IFERROR(C41/$D41,""),"")</f>
        <v/>
      </c>
      <c r="G41" s="18">
        <f>IF(COUNT(B41:C41)=2,B41-C41,"")</f>
        <v/>
      </c>
      <c r="H41" s="18">
        <f>IFERROR(IF(AND(ISNUMBER(B41),INDEX($B$25:$B41,MATCH($A41-7,$A$25:$A41,1))&lt;&gt;0,INDEX($A$25:$A41,MATCH($A41-7,$A$25:$A41,1))&lt;&gt;0,$A41-INDEX($A$25:$A41,MATCH($A41-7,$A$25:$A41,1))&lt;=10),B41-INDEX($B$25:$B41,MATCH($A41-7,$A$25:$A41,1)),""),"")</f>
        <v/>
      </c>
      <c r="I41" s="18">
        <f>IFERROR(IF(AND(ISNUMBER(B41),INDEX($B$25:$B41,MATCH($A41-30,$A$25:$A41,1))&lt;&gt;0,INDEX($A$25:$A41,MATCH($A41-30,$A$25:$A41,1))&lt;&gt;0,$A41-INDEX($A$25:$A41,MATCH($A41-30,$A$25:$A41,1))&lt;=33),B41-INDEX($B$25:$B41,MATCH($A41-30,$A$25:$A41,1)),""),"")</f>
        <v/>
      </c>
      <c r="J41" s="40">
        <f>DATE(2026,11,3)-A41</f>
        <v/>
      </c>
      <c r="K41" s="26" t="inlineStr">
        <is>
          <t>02 Jan</t>
        </is>
      </c>
    </row>
    <row r="42">
      <c r="A42" s="41" t="n">
        <v>46025</v>
      </c>
      <c r="B42" s="28" t="n">
        <v>0.48</v>
      </c>
      <c r="C42" s="28" t="n">
        <v>0.515</v>
      </c>
      <c r="D42" s="29">
        <f>IF(COUNT(B42:C42)=2,B42+C42,"")</f>
        <v/>
      </c>
      <c r="E42" s="30">
        <f>IF(ISNUMBER(B42),IFERROR(B42/$D42,""),"")</f>
        <v/>
      </c>
      <c r="F42" s="30">
        <f>IF(ISNUMBER(C42),IFERROR(C42/$D42,""),"")</f>
        <v/>
      </c>
      <c r="G42" s="31">
        <f>IF(COUNT(B42:C42)=2,B42-C42,"")</f>
        <v/>
      </c>
      <c r="H42" s="31">
        <f>IFERROR(IF(AND(ISNUMBER(B42),INDEX($B$25:$B42,MATCH($A42-7,$A$25:$A42,1))&lt;&gt;0,INDEX($A$25:$A42,MATCH($A42-7,$A$25:$A42,1))&lt;&gt;0,$A42-INDEX($A$25:$A42,MATCH($A42-7,$A$25:$A42,1))&lt;=10),B42-INDEX($B$25:$B42,MATCH($A42-7,$A$25:$A42,1)),""),"")</f>
        <v/>
      </c>
      <c r="I42" s="31">
        <f>IFERROR(IF(AND(ISNUMBER(B42),INDEX($B$25:$B42,MATCH($A42-30,$A$25:$A42,1))&lt;&gt;0,INDEX($A$25:$A42,MATCH($A42-30,$A$25:$A42,1))&lt;&gt;0,$A42-INDEX($A$25:$A42,MATCH($A42-30,$A$25:$A42,1))&lt;=33),B42-INDEX($B$25:$B42,MATCH($A42-30,$A$25:$A42,1)),""),"")</f>
        <v/>
      </c>
      <c r="J42" s="42">
        <f>DATE(2026,11,3)-A42</f>
        <v/>
      </c>
      <c r="K42" s="26" t="inlineStr">
        <is>
          <t>03 Jan</t>
        </is>
      </c>
    </row>
    <row r="43">
      <c r="A43" s="39" t="n">
        <v>46026</v>
      </c>
      <c r="B43" s="16" t="n">
        <v>0.43</v>
      </c>
      <c r="C43" s="16" t="n">
        <v>0.525</v>
      </c>
      <c r="D43" s="17">
        <f>IF(COUNT(B43:C43)=2,B43+C43,"")</f>
        <v/>
      </c>
      <c r="E43" s="20">
        <f>IF(ISNUMBER(B43),IFERROR(B43/$D43,""),"")</f>
        <v/>
      </c>
      <c r="F43" s="20">
        <f>IF(ISNUMBER(C43),IFERROR(C43/$D43,""),"")</f>
        <v/>
      </c>
      <c r="G43" s="18">
        <f>IF(COUNT(B43:C43)=2,B43-C43,"")</f>
        <v/>
      </c>
      <c r="H43" s="18">
        <f>IFERROR(IF(AND(ISNUMBER(B43),INDEX($B$25:$B43,MATCH($A43-7,$A$25:$A43,1))&lt;&gt;0,INDEX($A$25:$A43,MATCH($A43-7,$A$25:$A43,1))&lt;&gt;0,$A43-INDEX($A$25:$A43,MATCH($A43-7,$A$25:$A43,1))&lt;=10),B43-INDEX($B$25:$B43,MATCH($A43-7,$A$25:$A43,1)),""),"")</f>
        <v/>
      </c>
      <c r="I43" s="18">
        <f>IFERROR(IF(AND(ISNUMBER(B43),INDEX($B$25:$B43,MATCH($A43-30,$A$25:$A43,1))&lt;&gt;0,INDEX($A$25:$A43,MATCH($A43-30,$A$25:$A43,1))&lt;&gt;0,$A43-INDEX($A$25:$A43,MATCH($A43-30,$A$25:$A43,1))&lt;=33),B43-INDEX($B$25:$B43,MATCH($A43-30,$A$25:$A43,1)),""),"")</f>
        <v/>
      </c>
      <c r="J43" s="40">
        <f>DATE(2026,11,3)-A43</f>
        <v/>
      </c>
      <c r="K43" s="26" t="inlineStr">
        <is>
          <t>04 Jan</t>
        </is>
      </c>
    </row>
    <row r="44">
      <c r="A44" s="41" t="n">
        <v>46027</v>
      </c>
      <c r="B44" s="28" t="n">
        <v>0.455</v>
      </c>
      <c r="C44" s="28" t="n">
        <v>0.525</v>
      </c>
      <c r="D44" s="29">
        <f>IF(COUNT(B44:C44)=2,B44+C44,"")</f>
        <v/>
      </c>
      <c r="E44" s="30">
        <f>IF(ISNUMBER(B44),IFERROR(B44/$D44,""),"")</f>
        <v/>
      </c>
      <c r="F44" s="30">
        <f>IF(ISNUMBER(C44),IFERROR(C44/$D44,""),"")</f>
        <v/>
      </c>
      <c r="G44" s="31">
        <f>IF(COUNT(B44:C44)=2,B44-C44,"")</f>
        <v/>
      </c>
      <c r="H44" s="31">
        <f>IFERROR(IF(AND(ISNUMBER(B44),INDEX($B$25:$B44,MATCH($A44-7,$A$25:$A44,1))&lt;&gt;0,INDEX($A$25:$A44,MATCH($A44-7,$A$25:$A44,1))&lt;&gt;0,$A44-INDEX($A$25:$A44,MATCH($A44-7,$A$25:$A44,1))&lt;=10),B44-INDEX($B$25:$B44,MATCH($A44-7,$A$25:$A44,1)),""),"")</f>
        <v/>
      </c>
      <c r="I44" s="31">
        <f>IFERROR(IF(AND(ISNUMBER(B44),INDEX($B$25:$B44,MATCH($A44-30,$A$25:$A44,1))&lt;&gt;0,INDEX($A$25:$A44,MATCH($A44-30,$A$25:$A44,1))&lt;&gt;0,$A44-INDEX($A$25:$A44,MATCH($A44-30,$A$25:$A44,1))&lt;=33),B44-INDEX($B$25:$B44,MATCH($A44-30,$A$25:$A44,1)),""),"")</f>
        <v/>
      </c>
      <c r="J44" s="42">
        <f>DATE(2026,11,3)-A44</f>
        <v/>
      </c>
      <c r="K44" s="26" t="inlineStr">
        <is>
          <t>05 Jan</t>
        </is>
      </c>
    </row>
    <row r="45">
      <c r="A45" s="39" t="n">
        <v>46028</v>
      </c>
      <c r="B45" s="16" t="n">
        <v>0.49</v>
      </c>
      <c r="C45" s="16" t="n">
        <v>0.485</v>
      </c>
      <c r="D45" s="17">
        <f>IF(COUNT(B45:C45)=2,B45+C45,"")</f>
        <v/>
      </c>
      <c r="E45" s="20">
        <f>IF(ISNUMBER(B45),IFERROR(B45/$D45,""),"")</f>
        <v/>
      </c>
      <c r="F45" s="20">
        <f>IF(ISNUMBER(C45),IFERROR(C45/$D45,""),"")</f>
        <v/>
      </c>
      <c r="G45" s="18">
        <f>IF(COUNT(B45:C45)=2,B45-C45,"")</f>
        <v/>
      </c>
      <c r="H45" s="18">
        <f>IFERROR(IF(AND(ISNUMBER(B45),INDEX($B$25:$B45,MATCH($A45-7,$A$25:$A45,1))&lt;&gt;0,INDEX($A$25:$A45,MATCH($A45-7,$A$25:$A45,1))&lt;&gt;0,$A45-INDEX($A$25:$A45,MATCH($A45-7,$A$25:$A45,1))&lt;=10),B45-INDEX($B$25:$B45,MATCH($A45-7,$A$25:$A45,1)),""),"")</f>
        <v/>
      </c>
      <c r="I45" s="18">
        <f>IFERROR(IF(AND(ISNUMBER(B45),INDEX($B$25:$B45,MATCH($A45-30,$A$25:$A45,1))&lt;&gt;0,INDEX($A$25:$A45,MATCH($A45-30,$A$25:$A45,1))&lt;&gt;0,$A45-INDEX($A$25:$A45,MATCH($A45-30,$A$25:$A45,1))&lt;=33),B45-INDEX($B$25:$B45,MATCH($A45-30,$A$25:$A45,1)),""),"")</f>
        <v/>
      </c>
      <c r="J45" s="40">
        <f>DATE(2026,11,3)-A45</f>
        <v/>
      </c>
      <c r="K45" s="26" t="inlineStr">
        <is>
          <t>06 Jan</t>
        </is>
      </c>
    </row>
    <row r="46">
      <c r="A46" s="41" t="n">
        <v>46029</v>
      </c>
      <c r="B46" s="28" t="n">
        <v>0.5</v>
      </c>
      <c r="C46" s="28" t="n">
        <v>0.485</v>
      </c>
      <c r="D46" s="29">
        <f>IF(COUNT(B46:C46)=2,B46+C46,"")</f>
        <v/>
      </c>
      <c r="E46" s="30">
        <f>IF(ISNUMBER(B46),IFERROR(B46/$D46,""),"")</f>
        <v/>
      </c>
      <c r="F46" s="30">
        <f>IF(ISNUMBER(C46),IFERROR(C46/$D46,""),"")</f>
        <v/>
      </c>
      <c r="G46" s="31">
        <f>IF(COUNT(B46:C46)=2,B46-C46,"")</f>
        <v/>
      </c>
      <c r="H46" s="31">
        <f>IFERROR(IF(AND(ISNUMBER(B46),INDEX($B$25:$B46,MATCH($A46-7,$A$25:$A46,1))&lt;&gt;0,INDEX($A$25:$A46,MATCH($A46-7,$A$25:$A46,1))&lt;&gt;0,$A46-INDEX($A$25:$A46,MATCH($A46-7,$A$25:$A46,1))&lt;=10),B46-INDEX($B$25:$B46,MATCH($A46-7,$A$25:$A46,1)),""),"")</f>
        <v/>
      </c>
      <c r="I46" s="31">
        <f>IFERROR(IF(AND(ISNUMBER(B46),INDEX($B$25:$B46,MATCH($A46-30,$A$25:$A46,1))&lt;&gt;0,INDEX($A$25:$A46,MATCH($A46-30,$A$25:$A46,1))&lt;&gt;0,$A46-INDEX($A$25:$A46,MATCH($A46-30,$A$25:$A46,1))&lt;=33),B46-INDEX($B$25:$B46,MATCH($A46-30,$A$25:$A46,1)),""),"")</f>
        <v/>
      </c>
      <c r="J46" s="42">
        <f>DATE(2026,11,3)-A46</f>
        <v/>
      </c>
      <c r="K46" s="26" t="inlineStr">
        <is>
          <t>07 Jan</t>
        </is>
      </c>
    </row>
    <row r="47">
      <c r="A47" s="39" t="n">
        <v>46030</v>
      </c>
      <c r="B47" s="16" t="n">
        <v>0.535</v>
      </c>
      <c r="C47" s="16" t="n">
        <v>0.465</v>
      </c>
      <c r="D47" s="17">
        <f>IF(COUNT(B47:C47)=2,B47+C47,"")</f>
        <v/>
      </c>
      <c r="E47" s="20">
        <f>IF(ISNUMBER(B47),IFERROR(B47/$D47,""),"")</f>
        <v/>
      </c>
      <c r="F47" s="20">
        <f>IF(ISNUMBER(C47),IFERROR(C47/$D47,""),"")</f>
        <v/>
      </c>
      <c r="G47" s="18">
        <f>IF(COUNT(B47:C47)=2,B47-C47,"")</f>
        <v/>
      </c>
      <c r="H47" s="18">
        <f>IFERROR(IF(AND(ISNUMBER(B47),INDEX($B$25:$B47,MATCH($A47-7,$A$25:$A47,1))&lt;&gt;0,INDEX($A$25:$A47,MATCH($A47-7,$A$25:$A47,1))&lt;&gt;0,$A47-INDEX($A$25:$A47,MATCH($A47-7,$A$25:$A47,1))&lt;=10),B47-INDEX($B$25:$B47,MATCH($A47-7,$A$25:$A47,1)),""),"")</f>
        <v/>
      </c>
      <c r="I47" s="18">
        <f>IFERROR(IF(AND(ISNUMBER(B47),INDEX($B$25:$B47,MATCH($A47-30,$A$25:$A47,1))&lt;&gt;0,INDEX($A$25:$A47,MATCH($A47-30,$A$25:$A47,1))&lt;&gt;0,$A47-INDEX($A$25:$A47,MATCH($A47-30,$A$25:$A47,1))&lt;=33),B47-INDEX($B$25:$B47,MATCH($A47-30,$A$25:$A47,1)),""),"")</f>
        <v/>
      </c>
      <c r="J47" s="40">
        <f>DATE(2026,11,3)-A47</f>
        <v/>
      </c>
      <c r="K47" s="26" t="inlineStr">
        <is>
          <t>08 Jan</t>
        </is>
      </c>
    </row>
    <row r="48">
      <c r="A48" s="41" t="n">
        <v>46031</v>
      </c>
      <c r="B48" s="28" t="n">
        <v>0.55</v>
      </c>
      <c r="C48" s="28" t="n">
        <v>0.45</v>
      </c>
      <c r="D48" s="29">
        <f>IF(COUNT(B48:C48)=2,B48+C48,"")</f>
        <v/>
      </c>
      <c r="E48" s="30">
        <f>IF(ISNUMBER(B48),IFERROR(B48/$D48,""),"")</f>
        <v/>
      </c>
      <c r="F48" s="30">
        <f>IF(ISNUMBER(C48),IFERROR(C48/$D48,""),"")</f>
        <v/>
      </c>
      <c r="G48" s="31">
        <f>IF(COUNT(B48:C48)=2,B48-C48,"")</f>
        <v/>
      </c>
      <c r="H48" s="31">
        <f>IFERROR(IF(AND(ISNUMBER(B48),INDEX($B$25:$B48,MATCH($A48-7,$A$25:$A48,1))&lt;&gt;0,INDEX($A$25:$A48,MATCH($A48-7,$A$25:$A48,1))&lt;&gt;0,$A48-INDEX($A$25:$A48,MATCH($A48-7,$A$25:$A48,1))&lt;=10),B48-INDEX($B$25:$B48,MATCH($A48-7,$A$25:$A48,1)),""),"")</f>
        <v/>
      </c>
      <c r="I48" s="31">
        <f>IFERROR(IF(AND(ISNUMBER(B48),INDEX($B$25:$B48,MATCH($A48-30,$A$25:$A48,1))&lt;&gt;0,INDEX($A$25:$A48,MATCH($A48-30,$A$25:$A48,1))&lt;&gt;0,$A48-INDEX($A$25:$A48,MATCH($A48-30,$A$25:$A48,1))&lt;=33),B48-INDEX($B$25:$B48,MATCH($A48-30,$A$25:$A48,1)),""),"")</f>
        <v/>
      </c>
      <c r="J48" s="42">
        <f>DATE(2026,11,3)-A48</f>
        <v/>
      </c>
      <c r="K48" s="26" t="inlineStr">
        <is>
          <t>09 Jan</t>
        </is>
      </c>
    </row>
    <row r="49">
      <c r="A49" s="39" t="n">
        <v>46032</v>
      </c>
      <c r="B49" s="16" t="n">
        <v>0.55</v>
      </c>
      <c r="C49" s="16" t="n">
        <v>0.43</v>
      </c>
      <c r="D49" s="17">
        <f>IF(COUNT(B49:C49)=2,B49+C49,"")</f>
        <v/>
      </c>
      <c r="E49" s="20">
        <f>IF(ISNUMBER(B49),IFERROR(B49/$D49,""),"")</f>
        <v/>
      </c>
      <c r="F49" s="20">
        <f>IF(ISNUMBER(C49),IFERROR(C49/$D49,""),"")</f>
        <v/>
      </c>
      <c r="G49" s="18">
        <f>IF(COUNT(B49:C49)=2,B49-C49,"")</f>
        <v/>
      </c>
      <c r="H49" s="18">
        <f>IFERROR(IF(AND(ISNUMBER(B49),INDEX($B$25:$B49,MATCH($A49-7,$A$25:$A49,1))&lt;&gt;0,INDEX($A$25:$A49,MATCH($A49-7,$A$25:$A49,1))&lt;&gt;0,$A49-INDEX($A$25:$A49,MATCH($A49-7,$A$25:$A49,1))&lt;=10),B49-INDEX($B$25:$B49,MATCH($A49-7,$A$25:$A49,1)),""),"")</f>
        <v/>
      </c>
      <c r="I49" s="18">
        <f>IFERROR(IF(AND(ISNUMBER(B49),INDEX($B$25:$B49,MATCH($A49-30,$A$25:$A49,1))&lt;&gt;0,INDEX($A$25:$A49,MATCH($A49-30,$A$25:$A49,1))&lt;&gt;0,$A49-INDEX($A$25:$A49,MATCH($A49-30,$A$25:$A49,1))&lt;=33),B49-INDEX($B$25:$B49,MATCH($A49-30,$A$25:$A49,1)),""),"")</f>
        <v/>
      </c>
      <c r="J49" s="40">
        <f>DATE(2026,11,3)-A49</f>
        <v/>
      </c>
      <c r="K49" s="26" t="inlineStr">
        <is>
          <t>10 Jan</t>
        </is>
      </c>
    </row>
    <row r="50">
      <c r="A50" s="41" t="n">
        <v>46033</v>
      </c>
      <c r="B50" s="28" t="n">
        <v>0.55</v>
      </c>
      <c r="C50" s="28" t="n">
        <v>0.43</v>
      </c>
      <c r="D50" s="29">
        <f>IF(COUNT(B50:C50)=2,B50+C50,"")</f>
        <v/>
      </c>
      <c r="E50" s="30">
        <f>IF(ISNUMBER(B50),IFERROR(B50/$D50,""),"")</f>
        <v/>
      </c>
      <c r="F50" s="30">
        <f>IF(ISNUMBER(C50),IFERROR(C50/$D50,""),"")</f>
        <v/>
      </c>
      <c r="G50" s="31">
        <f>IF(COUNT(B50:C50)=2,B50-C50,"")</f>
        <v/>
      </c>
      <c r="H50" s="31">
        <f>IFERROR(IF(AND(ISNUMBER(B50),INDEX($B$25:$B50,MATCH($A50-7,$A$25:$A50,1))&lt;&gt;0,INDEX($A$25:$A50,MATCH($A50-7,$A$25:$A50,1))&lt;&gt;0,$A50-INDEX($A$25:$A50,MATCH($A50-7,$A$25:$A50,1))&lt;=10),B50-INDEX($B$25:$B50,MATCH($A50-7,$A$25:$A50,1)),""),"")</f>
        <v/>
      </c>
      <c r="I50" s="31">
        <f>IFERROR(IF(AND(ISNUMBER(B50),INDEX($B$25:$B50,MATCH($A50-30,$A$25:$A50,1))&lt;&gt;0,INDEX($A$25:$A50,MATCH($A50-30,$A$25:$A50,1))&lt;&gt;0,$A50-INDEX($A$25:$A50,MATCH($A50-30,$A$25:$A50,1))&lt;=33),B50-INDEX($B$25:$B50,MATCH($A50-30,$A$25:$A50,1)),""),"")</f>
        <v/>
      </c>
      <c r="J50" s="42">
        <f>DATE(2026,11,3)-A50</f>
        <v/>
      </c>
      <c r="K50" s="26" t="inlineStr">
        <is>
          <t>11 Jan</t>
        </is>
      </c>
    </row>
    <row r="51">
      <c r="A51" s="39" t="n">
        <v>46034</v>
      </c>
      <c r="B51" s="16" t="n">
        <v>0.55</v>
      </c>
      <c r="C51" s="16" t="n">
        <v>0.43</v>
      </c>
      <c r="D51" s="17">
        <f>IF(COUNT(B51:C51)=2,B51+C51,"")</f>
        <v/>
      </c>
      <c r="E51" s="20">
        <f>IF(ISNUMBER(B51),IFERROR(B51/$D51,""),"")</f>
        <v/>
      </c>
      <c r="F51" s="20">
        <f>IF(ISNUMBER(C51),IFERROR(C51/$D51,""),"")</f>
        <v/>
      </c>
      <c r="G51" s="18">
        <f>IF(COUNT(B51:C51)=2,B51-C51,"")</f>
        <v/>
      </c>
      <c r="H51" s="18">
        <f>IFERROR(IF(AND(ISNUMBER(B51),INDEX($B$25:$B51,MATCH($A51-7,$A$25:$A51,1))&lt;&gt;0,INDEX($A$25:$A51,MATCH($A51-7,$A$25:$A51,1))&lt;&gt;0,$A51-INDEX($A$25:$A51,MATCH($A51-7,$A$25:$A51,1))&lt;=10),B51-INDEX($B$25:$B51,MATCH($A51-7,$A$25:$A51,1)),""),"")</f>
        <v/>
      </c>
      <c r="I51" s="18">
        <f>IFERROR(IF(AND(ISNUMBER(B51),INDEX($B$25:$B51,MATCH($A51-30,$A$25:$A51,1))&lt;&gt;0,INDEX($A$25:$A51,MATCH($A51-30,$A$25:$A51,1))&lt;&gt;0,$A51-INDEX($A$25:$A51,MATCH($A51-30,$A$25:$A51,1))&lt;=33),B51-INDEX($B$25:$B51,MATCH($A51-30,$A$25:$A51,1)),""),"")</f>
        <v/>
      </c>
      <c r="J51" s="40">
        <f>DATE(2026,11,3)-A51</f>
        <v/>
      </c>
      <c r="K51" s="26" t="inlineStr">
        <is>
          <t>12 Jan</t>
        </is>
      </c>
    </row>
    <row r="52">
      <c r="A52" s="41" t="n">
        <v>46035</v>
      </c>
      <c r="B52" s="28" t="n">
        <v>0.555</v>
      </c>
      <c r="C52" s="28" t="n">
        <v>0.43</v>
      </c>
      <c r="D52" s="29">
        <f>IF(COUNT(B52:C52)=2,B52+C52,"")</f>
        <v/>
      </c>
      <c r="E52" s="30">
        <f>IF(ISNUMBER(B52),IFERROR(B52/$D52,""),"")</f>
        <v/>
      </c>
      <c r="F52" s="30">
        <f>IF(ISNUMBER(C52),IFERROR(C52/$D52,""),"")</f>
        <v/>
      </c>
      <c r="G52" s="31">
        <f>IF(COUNT(B52:C52)=2,B52-C52,"")</f>
        <v/>
      </c>
      <c r="H52" s="31">
        <f>IFERROR(IF(AND(ISNUMBER(B52),INDEX($B$25:$B52,MATCH($A52-7,$A$25:$A52,1))&lt;&gt;0,INDEX($A$25:$A52,MATCH($A52-7,$A$25:$A52,1))&lt;&gt;0,$A52-INDEX($A$25:$A52,MATCH($A52-7,$A$25:$A52,1))&lt;=10),B52-INDEX($B$25:$B52,MATCH($A52-7,$A$25:$A52,1)),""),"")</f>
        <v/>
      </c>
      <c r="I52" s="31">
        <f>IFERROR(IF(AND(ISNUMBER(B52),INDEX($B$25:$B52,MATCH($A52-30,$A$25:$A52,1))&lt;&gt;0,INDEX($A$25:$A52,MATCH($A52-30,$A$25:$A52,1))&lt;&gt;0,$A52-INDEX($A$25:$A52,MATCH($A52-30,$A$25:$A52,1))&lt;=33),B52-INDEX($B$25:$B52,MATCH($A52-30,$A$25:$A52,1)),""),"")</f>
        <v/>
      </c>
      <c r="J52" s="42">
        <f>DATE(2026,11,3)-A52</f>
        <v/>
      </c>
      <c r="K52" s="26" t="inlineStr">
        <is>
          <t>13 Jan</t>
        </is>
      </c>
    </row>
    <row r="53">
      <c r="A53" s="39" t="n">
        <v>46036</v>
      </c>
      <c r="B53" s="16" t="n">
        <v>0.485</v>
      </c>
      <c r="C53" s="16" t="n">
        <v>0.435</v>
      </c>
      <c r="D53" s="17">
        <f>IF(COUNT(B53:C53)=2,B53+C53,"")</f>
        <v/>
      </c>
      <c r="E53" s="20">
        <f>IF(ISNUMBER(B53),IFERROR(B53/$D53,""),"")</f>
        <v/>
      </c>
      <c r="F53" s="20">
        <f>IF(ISNUMBER(C53),IFERROR(C53/$D53,""),"")</f>
        <v/>
      </c>
      <c r="G53" s="18">
        <f>IF(COUNT(B53:C53)=2,B53-C53,"")</f>
        <v/>
      </c>
      <c r="H53" s="18">
        <f>IFERROR(IF(AND(ISNUMBER(B53),INDEX($B$25:$B53,MATCH($A53-7,$A$25:$A53,1))&lt;&gt;0,INDEX($A$25:$A53,MATCH($A53-7,$A$25:$A53,1))&lt;&gt;0,$A53-INDEX($A$25:$A53,MATCH($A53-7,$A$25:$A53,1))&lt;=10),B53-INDEX($B$25:$B53,MATCH($A53-7,$A$25:$A53,1)),""),"")</f>
        <v/>
      </c>
      <c r="I53" s="18">
        <f>IFERROR(IF(AND(ISNUMBER(B53),INDEX($B$25:$B53,MATCH($A53-30,$A$25:$A53,1))&lt;&gt;0,INDEX($A$25:$A53,MATCH($A53-30,$A$25:$A53,1))&lt;&gt;0,$A53-INDEX($A$25:$A53,MATCH($A53-30,$A$25:$A53,1))&lt;=33),B53-INDEX($B$25:$B53,MATCH($A53-30,$A$25:$A53,1)),""),"")</f>
        <v/>
      </c>
      <c r="J53" s="40">
        <f>DATE(2026,11,3)-A53</f>
        <v/>
      </c>
      <c r="K53" s="26" t="inlineStr">
        <is>
          <t>14 Jan</t>
        </is>
      </c>
    </row>
    <row r="54">
      <c r="A54" s="41" t="n">
        <v>46037</v>
      </c>
      <c r="B54" s="28" t="n">
        <v>0.485</v>
      </c>
      <c r="C54" s="28" t="n">
        <v>0.435</v>
      </c>
      <c r="D54" s="29">
        <f>IF(COUNT(B54:C54)=2,B54+C54,"")</f>
        <v/>
      </c>
      <c r="E54" s="30">
        <f>IF(ISNUMBER(B54),IFERROR(B54/$D54,""),"")</f>
        <v/>
      </c>
      <c r="F54" s="30">
        <f>IF(ISNUMBER(C54),IFERROR(C54/$D54,""),"")</f>
        <v/>
      </c>
      <c r="G54" s="31">
        <f>IF(COUNT(B54:C54)=2,B54-C54,"")</f>
        <v/>
      </c>
      <c r="H54" s="31">
        <f>IFERROR(IF(AND(ISNUMBER(B54),INDEX($B$25:$B54,MATCH($A54-7,$A$25:$A54,1))&lt;&gt;0,INDEX($A$25:$A54,MATCH($A54-7,$A$25:$A54,1))&lt;&gt;0,$A54-INDEX($A$25:$A54,MATCH($A54-7,$A$25:$A54,1))&lt;=10),B54-INDEX($B$25:$B54,MATCH($A54-7,$A$25:$A54,1)),""),"")</f>
        <v/>
      </c>
      <c r="I54" s="31">
        <f>IFERROR(IF(AND(ISNUMBER(B54),INDEX($B$25:$B54,MATCH($A54-30,$A$25:$A54,1))&lt;&gt;0,INDEX($A$25:$A54,MATCH($A54-30,$A$25:$A54,1))&lt;&gt;0,$A54-INDEX($A$25:$A54,MATCH($A54-30,$A$25:$A54,1))&lt;=33),B54-INDEX($B$25:$B54,MATCH($A54-30,$A$25:$A54,1)),""),"")</f>
        <v/>
      </c>
      <c r="J54" s="42">
        <f>DATE(2026,11,3)-A54</f>
        <v/>
      </c>
      <c r="K54" s="26" t="inlineStr">
        <is>
          <t>15 Jan</t>
        </is>
      </c>
    </row>
    <row r="55">
      <c r="A55" s="39" t="n">
        <v>46038</v>
      </c>
      <c r="B55" s="16" t="n">
        <v>0.485</v>
      </c>
      <c r="C55" s="16" t="n">
        <v>0.435</v>
      </c>
      <c r="D55" s="17">
        <f>IF(COUNT(B55:C55)=2,B55+C55,"")</f>
        <v/>
      </c>
      <c r="E55" s="20">
        <f>IF(ISNUMBER(B55),IFERROR(B55/$D55,""),"")</f>
        <v/>
      </c>
      <c r="F55" s="20">
        <f>IF(ISNUMBER(C55),IFERROR(C55/$D55,""),"")</f>
        <v/>
      </c>
      <c r="G55" s="18">
        <f>IF(COUNT(B55:C55)=2,B55-C55,"")</f>
        <v/>
      </c>
      <c r="H55" s="18">
        <f>IFERROR(IF(AND(ISNUMBER(B55),INDEX($B$25:$B55,MATCH($A55-7,$A$25:$A55,1))&lt;&gt;0,INDEX($A$25:$A55,MATCH($A55-7,$A$25:$A55,1))&lt;&gt;0,$A55-INDEX($A$25:$A55,MATCH($A55-7,$A$25:$A55,1))&lt;=10),B55-INDEX($B$25:$B55,MATCH($A55-7,$A$25:$A55,1)),""),"")</f>
        <v/>
      </c>
      <c r="I55" s="18">
        <f>IFERROR(IF(AND(ISNUMBER(B55),INDEX($B$25:$B55,MATCH($A55-30,$A$25:$A55,1))&lt;&gt;0,INDEX($A$25:$A55,MATCH($A55-30,$A$25:$A55,1))&lt;&gt;0,$A55-INDEX($A$25:$A55,MATCH($A55-30,$A$25:$A55,1))&lt;=33),B55-INDEX($B$25:$B55,MATCH($A55-30,$A$25:$A55,1)),""),"")</f>
        <v/>
      </c>
      <c r="J55" s="40">
        <f>DATE(2026,11,3)-A55</f>
        <v/>
      </c>
      <c r="K55" s="26" t="inlineStr">
        <is>
          <t>16 Jan</t>
        </is>
      </c>
    </row>
    <row r="56">
      <c r="A56" s="41" t="n">
        <v>46039</v>
      </c>
      <c r="B56" s="28" t="n">
        <v>0.485</v>
      </c>
      <c r="C56" s="28" t="n">
        <v>0.435</v>
      </c>
      <c r="D56" s="29">
        <f>IF(COUNT(B56:C56)=2,B56+C56,"")</f>
        <v/>
      </c>
      <c r="E56" s="30">
        <f>IF(ISNUMBER(B56),IFERROR(B56/$D56,""),"")</f>
        <v/>
      </c>
      <c r="F56" s="30">
        <f>IF(ISNUMBER(C56),IFERROR(C56/$D56,""),"")</f>
        <v/>
      </c>
      <c r="G56" s="31">
        <f>IF(COUNT(B56:C56)=2,B56-C56,"")</f>
        <v/>
      </c>
      <c r="H56" s="31">
        <f>IFERROR(IF(AND(ISNUMBER(B56),INDEX($B$25:$B56,MATCH($A56-7,$A$25:$A56,1))&lt;&gt;0,INDEX($A$25:$A56,MATCH($A56-7,$A$25:$A56,1))&lt;&gt;0,$A56-INDEX($A$25:$A56,MATCH($A56-7,$A$25:$A56,1))&lt;=10),B56-INDEX($B$25:$B56,MATCH($A56-7,$A$25:$A56,1)),""),"")</f>
        <v/>
      </c>
      <c r="I56" s="31">
        <f>IFERROR(IF(AND(ISNUMBER(B56),INDEX($B$25:$B56,MATCH($A56-30,$A$25:$A56,1))&lt;&gt;0,INDEX($A$25:$A56,MATCH($A56-30,$A$25:$A56,1))&lt;&gt;0,$A56-INDEX($A$25:$A56,MATCH($A56-30,$A$25:$A56,1))&lt;=33),B56-INDEX($B$25:$B56,MATCH($A56-30,$A$25:$A56,1)),""),"")</f>
        <v/>
      </c>
      <c r="J56" s="42">
        <f>DATE(2026,11,3)-A56</f>
        <v/>
      </c>
      <c r="K56" s="26" t="inlineStr">
        <is>
          <t>17 Jan</t>
        </is>
      </c>
    </row>
    <row r="57">
      <c r="A57" s="39" t="n">
        <v>46040</v>
      </c>
      <c r="B57" s="16" t="n">
        <v>0.485</v>
      </c>
      <c r="C57" s="16" t="n">
        <v>0.43</v>
      </c>
      <c r="D57" s="17">
        <f>IF(COUNT(B57:C57)=2,B57+C57,"")</f>
        <v/>
      </c>
      <c r="E57" s="20">
        <f>IF(ISNUMBER(B57),IFERROR(B57/$D57,""),"")</f>
        <v/>
      </c>
      <c r="F57" s="20">
        <f>IF(ISNUMBER(C57),IFERROR(C57/$D57,""),"")</f>
        <v/>
      </c>
      <c r="G57" s="18">
        <f>IF(COUNT(B57:C57)=2,B57-C57,"")</f>
        <v/>
      </c>
      <c r="H57" s="18">
        <f>IFERROR(IF(AND(ISNUMBER(B57),INDEX($B$25:$B57,MATCH($A57-7,$A$25:$A57,1))&lt;&gt;0,INDEX($A$25:$A57,MATCH($A57-7,$A$25:$A57,1))&lt;&gt;0,$A57-INDEX($A$25:$A57,MATCH($A57-7,$A$25:$A57,1))&lt;=10),B57-INDEX($B$25:$B57,MATCH($A57-7,$A$25:$A57,1)),""),"")</f>
        <v/>
      </c>
      <c r="I57" s="18">
        <f>IFERROR(IF(AND(ISNUMBER(B57),INDEX($B$25:$B57,MATCH($A57-30,$A$25:$A57,1))&lt;&gt;0,INDEX($A$25:$A57,MATCH($A57-30,$A$25:$A57,1))&lt;&gt;0,$A57-INDEX($A$25:$A57,MATCH($A57-30,$A$25:$A57,1))&lt;=33),B57-INDEX($B$25:$B57,MATCH($A57-30,$A$25:$A57,1)),""),"")</f>
        <v/>
      </c>
      <c r="J57" s="40">
        <f>DATE(2026,11,3)-A57</f>
        <v/>
      </c>
      <c r="K57" s="26" t="inlineStr">
        <is>
          <t>18 Jan</t>
        </is>
      </c>
    </row>
    <row r="58">
      <c r="A58" s="41" t="n">
        <v>46041</v>
      </c>
      <c r="B58" s="28" t="n">
        <v>0.485</v>
      </c>
      <c r="C58" s="28" t="n">
        <v>0.43</v>
      </c>
      <c r="D58" s="29">
        <f>IF(COUNT(B58:C58)=2,B58+C58,"")</f>
        <v/>
      </c>
      <c r="E58" s="30">
        <f>IF(ISNUMBER(B58),IFERROR(B58/$D58,""),"")</f>
        <v/>
      </c>
      <c r="F58" s="30">
        <f>IF(ISNUMBER(C58),IFERROR(C58/$D58,""),"")</f>
        <v/>
      </c>
      <c r="G58" s="31">
        <f>IF(COUNT(B58:C58)=2,B58-C58,"")</f>
        <v/>
      </c>
      <c r="H58" s="31">
        <f>IFERROR(IF(AND(ISNUMBER(B58),INDEX($B$25:$B58,MATCH($A58-7,$A$25:$A58,1))&lt;&gt;0,INDEX($A$25:$A58,MATCH($A58-7,$A$25:$A58,1))&lt;&gt;0,$A58-INDEX($A$25:$A58,MATCH($A58-7,$A$25:$A58,1))&lt;=10),B58-INDEX($B$25:$B58,MATCH($A58-7,$A$25:$A58,1)),""),"")</f>
        <v/>
      </c>
      <c r="I58" s="31">
        <f>IFERROR(IF(AND(ISNUMBER(B58),INDEX($B$25:$B58,MATCH($A58-30,$A$25:$A58,1))&lt;&gt;0,INDEX($A$25:$A58,MATCH($A58-30,$A$25:$A58,1))&lt;&gt;0,$A58-INDEX($A$25:$A58,MATCH($A58-30,$A$25:$A58,1))&lt;=33),B58-INDEX($B$25:$B58,MATCH($A58-30,$A$25:$A58,1)),""),"")</f>
        <v/>
      </c>
      <c r="J58" s="42">
        <f>DATE(2026,11,3)-A58</f>
        <v/>
      </c>
      <c r="K58" s="26" t="inlineStr">
        <is>
          <t>19 Jan</t>
        </is>
      </c>
    </row>
    <row r="59">
      <c r="A59" s="39" t="n">
        <v>46042</v>
      </c>
      <c r="B59" s="16" t="n">
        <v>0.485</v>
      </c>
      <c r="C59" s="16" t="n">
        <v>0.45</v>
      </c>
      <c r="D59" s="17">
        <f>IF(COUNT(B59:C59)=2,B59+C59,"")</f>
        <v/>
      </c>
      <c r="E59" s="20">
        <f>IF(ISNUMBER(B59),IFERROR(B59/$D59,""),"")</f>
        <v/>
      </c>
      <c r="F59" s="20">
        <f>IF(ISNUMBER(C59),IFERROR(C59/$D59,""),"")</f>
        <v/>
      </c>
      <c r="G59" s="18">
        <f>IF(COUNT(B59:C59)=2,B59-C59,"")</f>
        <v/>
      </c>
      <c r="H59" s="18">
        <f>IFERROR(IF(AND(ISNUMBER(B59),INDEX($B$25:$B59,MATCH($A59-7,$A$25:$A59,1))&lt;&gt;0,INDEX($A$25:$A59,MATCH($A59-7,$A$25:$A59,1))&lt;&gt;0,$A59-INDEX($A$25:$A59,MATCH($A59-7,$A$25:$A59,1))&lt;=10),B59-INDEX($B$25:$B59,MATCH($A59-7,$A$25:$A59,1)),""),"")</f>
        <v/>
      </c>
      <c r="I59" s="18">
        <f>IFERROR(IF(AND(ISNUMBER(B59),INDEX($B$25:$B59,MATCH($A59-30,$A$25:$A59,1))&lt;&gt;0,INDEX($A$25:$A59,MATCH($A59-30,$A$25:$A59,1))&lt;&gt;0,$A59-INDEX($A$25:$A59,MATCH($A59-30,$A$25:$A59,1))&lt;=33),B59-INDEX($B$25:$B59,MATCH($A59-30,$A$25:$A59,1)),""),"")</f>
        <v/>
      </c>
      <c r="J59" s="40">
        <f>DATE(2026,11,3)-A59</f>
        <v/>
      </c>
      <c r="K59" s="26" t="inlineStr">
        <is>
          <t>20 Jan</t>
        </is>
      </c>
    </row>
    <row r="60">
      <c r="A60" s="41" t="n">
        <v>46043</v>
      </c>
      <c r="B60" s="28" t="n">
        <v>0.435</v>
      </c>
      <c r="C60" s="28" t="n">
        <v>0.495</v>
      </c>
      <c r="D60" s="29">
        <f>IF(COUNT(B60:C60)=2,B60+C60,"")</f>
        <v/>
      </c>
      <c r="E60" s="30">
        <f>IF(ISNUMBER(B60),IFERROR(B60/$D60,""),"")</f>
        <v/>
      </c>
      <c r="F60" s="30">
        <f>IF(ISNUMBER(C60),IFERROR(C60/$D60,""),"")</f>
        <v/>
      </c>
      <c r="G60" s="31">
        <f>IF(COUNT(B60:C60)=2,B60-C60,"")</f>
        <v/>
      </c>
      <c r="H60" s="31">
        <f>IFERROR(IF(AND(ISNUMBER(B60),INDEX($B$25:$B60,MATCH($A60-7,$A$25:$A60,1))&lt;&gt;0,INDEX($A$25:$A60,MATCH($A60-7,$A$25:$A60,1))&lt;&gt;0,$A60-INDEX($A$25:$A60,MATCH($A60-7,$A$25:$A60,1))&lt;=10),B60-INDEX($B$25:$B60,MATCH($A60-7,$A$25:$A60,1)),""),"")</f>
        <v/>
      </c>
      <c r="I60" s="31">
        <f>IFERROR(IF(AND(ISNUMBER(B60),INDEX($B$25:$B60,MATCH($A60-30,$A$25:$A60,1))&lt;&gt;0,INDEX($A$25:$A60,MATCH($A60-30,$A$25:$A60,1))&lt;&gt;0,$A60-INDEX($A$25:$A60,MATCH($A60-30,$A$25:$A60,1))&lt;=33),B60-INDEX($B$25:$B60,MATCH($A60-30,$A$25:$A60,1)),""),"")</f>
        <v/>
      </c>
      <c r="J60" s="42">
        <f>DATE(2026,11,3)-A60</f>
        <v/>
      </c>
      <c r="K60" s="26" t="inlineStr">
        <is>
          <t>21 Jan</t>
        </is>
      </c>
    </row>
    <row r="61">
      <c r="A61" s="39" t="n">
        <v>46044</v>
      </c>
      <c r="B61" s="16" t="n">
        <v>0.495</v>
      </c>
      <c r="C61" s="16" t="n">
        <v>0.445</v>
      </c>
      <c r="D61" s="17">
        <f>IF(COUNT(B61:C61)=2,B61+C61,"")</f>
        <v/>
      </c>
      <c r="E61" s="20">
        <f>IF(ISNUMBER(B61),IFERROR(B61/$D61,""),"")</f>
        <v/>
      </c>
      <c r="F61" s="20">
        <f>IF(ISNUMBER(C61),IFERROR(C61/$D61,""),"")</f>
        <v/>
      </c>
      <c r="G61" s="18">
        <f>IF(COUNT(B61:C61)=2,B61-C61,"")</f>
        <v/>
      </c>
      <c r="H61" s="18">
        <f>IFERROR(IF(AND(ISNUMBER(B61),INDEX($B$25:$B61,MATCH($A61-7,$A$25:$A61,1))&lt;&gt;0,INDEX($A$25:$A61,MATCH($A61-7,$A$25:$A61,1))&lt;&gt;0,$A61-INDEX($A$25:$A61,MATCH($A61-7,$A$25:$A61,1))&lt;=10),B61-INDEX($B$25:$B61,MATCH($A61-7,$A$25:$A61,1)),""),"")</f>
        <v/>
      </c>
      <c r="I61" s="18">
        <f>IFERROR(IF(AND(ISNUMBER(B61),INDEX($B$25:$B61,MATCH($A61-30,$A$25:$A61,1))&lt;&gt;0,INDEX($A$25:$A61,MATCH($A61-30,$A$25:$A61,1))&lt;&gt;0,$A61-INDEX($A$25:$A61,MATCH($A61-30,$A$25:$A61,1))&lt;=33),B61-INDEX($B$25:$B61,MATCH($A61-30,$A$25:$A61,1)),""),"")</f>
        <v/>
      </c>
      <c r="J61" s="40">
        <f>DATE(2026,11,3)-A61</f>
        <v/>
      </c>
      <c r="K61" s="26" t="inlineStr">
        <is>
          <t>22 Jan</t>
        </is>
      </c>
    </row>
    <row r="62">
      <c r="A62" s="41" t="n">
        <v>46045</v>
      </c>
      <c r="B62" s="28" t="n">
        <v>0.455</v>
      </c>
      <c r="C62" s="28" t="n">
        <v>0.445</v>
      </c>
      <c r="D62" s="29">
        <f>IF(COUNT(B62:C62)=2,B62+C62,"")</f>
        <v/>
      </c>
      <c r="E62" s="30">
        <f>IF(ISNUMBER(B62),IFERROR(B62/$D62,""),"")</f>
        <v/>
      </c>
      <c r="F62" s="30">
        <f>IF(ISNUMBER(C62),IFERROR(C62/$D62,""),"")</f>
        <v/>
      </c>
      <c r="G62" s="31">
        <f>IF(COUNT(B62:C62)=2,B62-C62,"")</f>
        <v/>
      </c>
      <c r="H62" s="31">
        <f>IFERROR(IF(AND(ISNUMBER(B62),INDEX($B$25:$B62,MATCH($A62-7,$A$25:$A62,1))&lt;&gt;0,INDEX($A$25:$A62,MATCH($A62-7,$A$25:$A62,1))&lt;&gt;0,$A62-INDEX($A$25:$A62,MATCH($A62-7,$A$25:$A62,1))&lt;=10),B62-INDEX($B$25:$B62,MATCH($A62-7,$A$25:$A62,1)),""),"")</f>
        <v/>
      </c>
      <c r="I62" s="31">
        <f>IFERROR(IF(AND(ISNUMBER(B62),INDEX($B$25:$B62,MATCH($A62-30,$A$25:$A62,1))&lt;&gt;0,INDEX($A$25:$A62,MATCH($A62-30,$A$25:$A62,1))&lt;&gt;0,$A62-INDEX($A$25:$A62,MATCH($A62-30,$A$25:$A62,1))&lt;=33),B62-INDEX($B$25:$B62,MATCH($A62-30,$A$25:$A62,1)),""),"")</f>
        <v/>
      </c>
      <c r="J62" s="42">
        <f>DATE(2026,11,3)-A62</f>
        <v/>
      </c>
      <c r="K62" s="26" t="inlineStr">
        <is>
          <t>23 Jan</t>
        </is>
      </c>
    </row>
    <row r="63">
      <c r="A63" s="39" t="n">
        <v>46046</v>
      </c>
      <c r="B63" s="16" t="n">
        <v>0.515</v>
      </c>
      <c r="C63" s="16" t="n">
        <v>0.455</v>
      </c>
      <c r="D63" s="17">
        <f>IF(COUNT(B63:C63)=2,B63+C63,"")</f>
        <v/>
      </c>
      <c r="E63" s="20">
        <f>IF(ISNUMBER(B63),IFERROR(B63/$D63,""),"")</f>
        <v/>
      </c>
      <c r="F63" s="20">
        <f>IF(ISNUMBER(C63),IFERROR(C63/$D63,""),"")</f>
        <v/>
      </c>
      <c r="G63" s="18">
        <f>IF(COUNT(B63:C63)=2,B63-C63,"")</f>
        <v/>
      </c>
      <c r="H63" s="18">
        <f>IFERROR(IF(AND(ISNUMBER(B63),INDEX($B$25:$B63,MATCH($A63-7,$A$25:$A63,1))&lt;&gt;0,INDEX($A$25:$A63,MATCH($A63-7,$A$25:$A63,1))&lt;&gt;0,$A63-INDEX($A$25:$A63,MATCH($A63-7,$A$25:$A63,1))&lt;=10),B63-INDEX($B$25:$B63,MATCH($A63-7,$A$25:$A63,1)),""),"")</f>
        <v/>
      </c>
      <c r="I63" s="18">
        <f>IFERROR(IF(AND(ISNUMBER(B63),INDEX($B$25:$B63,MATCH($A63-30,$A$25:$A63,1))&lt;&gt;0,INDEX($A$25:$A63,MATCH($A63-30,$A$25:$A63,1))&lt;&gt;0,$A63-INDEX($A$25:$A63,MATCH($A63-30,$A$25:$A63,1))&lt;=33),B63-INDEX($B$25:$B63,MATCH($A63-30,$A$25:$A63,1)),""),"")</f>
        <v/>
      </c>
      <c r="J63" s="40">
        <f>DATE(2026,11,3)-A63</f>
        <v/>
      </c>
      <c r="K63" s="26" t="inlineStr">
        <is>
          <t>24 Jan</t>
        </is>
      </c>
    </row>
    <row r="64">
      <c r="A64" s="41" t="n">
        <v>46047</v>
      </c>
      <c r="B64" s="28" t="n">
        <v>0.5</v>
      </c>
      <c r="C64" s="28" t="n">
        <v>0.505</v>
      </c>
      <c r="D64" s="29">
        <f>IF(COUNT(B64:C64)=2,B64+C64,"")</f>
        <v/>
      </c>
      <c r="E64" s="30">
        <f>IF(ISNUMBER(B64),IFERROR(B64/$D64,""),"")</f>
        <v/>
      </c>
      <c r="F64" s="30">
        <f>IF(ISNUMBER(C64),IFERROR(C64/$D64,""),"")</f>
        <v/>
      </c>
      <c r="G64" s="31">
        <f>IF(COUNT(B64:C64)=2,B64-C64,"")</f>
        <v/>
      </c>
      <c r="H64" s="31">
        <f>IFERROR(IF(AND(ISNUMBER(B64),INDEX($B$25:$B64,MATCH($A64-7,$A$25:$A64,1))&lt;&gt;0,INDEX($A$25:$A64,MATCH($A64-7,$A$25:$A64,1))&lt;&gt;0,$A64-INDEX($A$25:$A64,MATCH($A64-7,$A$25:$A64,1))&lt;=10),B64-INDEX($B$25:$B64,MATCH($A64-7,$A$25:$A64,1)),""),"")</f>
        <v/>
      </c>
      <c r="I64" s="31">
        <f>IFERROR(IF(AND(ISNUMBER(B64),INDEX($B$25:$B64,MATCH($A64-30,$A$25:$A64,1))&lt;&gt;0,INDEX($A$25:$A64,MATCH($A64-30,$A$25:$A64,1))&lt;&gt;0,$A64-INDEX($A$25:$A64,MATCH($A64-30,$A$25:$A64,1))&lt;=33),B64-INDEX($B$25:$B64,MATCH($A64-30,$A$25:$A64,1)),""),"")</f>
        <v/>
      </c>
      <c r="J64" s="42">
        <f>DATE(2026,11,3)-A64</f>
        <v/>
      </c>
      <c r="K64" s="26" t="inlineStr">
        <is>
          <t>25 Jan</t>
        </is>
      </c>
    </row>
    <row r="65">
      <c r="A65" s="39" t="n">
        <v>46048</v>
      </c>
      <c r="B65" s="16" t="n">
        <v>0.485</v>
      </c>
      <c r="C65" s="16" t="n">
        <v>0.47</v>
      </c>
      <c r="D65" s="17">
        <f>IF(COUNT(B65:C65)=2,B65+C65,"")</f>
        <v/>
      </c>
      <c r="E65" s="20">
        <f>IF(ISNUMBER(B65),IFERROR(B65/$D65,""),"")</f>
        <v/>
      </c>
      <c r="F65" s="20">
        <f>IF(ISNUMBER(C65),IFERROR(C65/$D65,""),"")</f>
        <v/>
      </c>
      <c r="G65" s="18">
        <f>IF(COUNT(B65:C65)=2,B65-C65,"")</f>
        <v/>
      </c>
      <c r="H65" s="18">
        <f>IFERROR(IF(AND(ISNUMBER(B65),INDEX($B$25:$B65,MATCH($A65-7,$A$25:$A65,1))&lt;&gt;0,INDEX($A$25:$A65,MATCH($A65-7,$A$25:$A65,1))&lt;&gt;0,$A65-INDEX($A$25:$A65,MATCH($A65-7,$A$25:$A65,1))&lt;=10),B65-INDEX($B$25:$B65,MATCH($A65-7,$A$25:$A65,1)),""),"")</f>
        <v/>
      </c>
      <c r="I65" s="18">
        <f>IFERROR(IF(AND(ISNUMBER(B65),INDEX($B$25:$B65,MATCH($A65-30,$A$25:$A65,1))&lt;&gt;0,INDEX($A$25:$A65,MATCH($A65-30,$A$25:$A65,1))&lt;&gt;0,$A65-INDEX($A$25:$A65,MATCH($A65-30,$A$25:$A65,1))&lt;=33),B65-INDEX($B$25:$B65,MATCH($A65-30,$A$25:$A65,1)),""),"")</f>
        <v/>
      </c>
      <c r="J65" s="40">
        <f>DATE(2026,11,3)-A65</f>
        <v/>
      </c>
      <c r="K65" s="26" t="inlineStr">
        <is>
          <t>26 Jan</t>
        </is>
      </c>
    </row>
    <row r="66">
      <c r="A66" s="41" t="n">
        <v>46049</v>
      </c>
      <c r="B66" s="28" t="n">
        <v>0.505</v>
      </c>
      <c r="C66" s="28" t="n">
        <v>0.455</v>
      </c>
      <c r="D66" s="29">
        <f>IF(COUNT(B66:C66)=2,B66+C66,"")</f>
        <v/>
      </c>
      <c r="E66" s="30">
        <f>IF(ISNUMBER(B66),IFERROR(B66/$D66,""),"")</f>
        <v/>
      </c>
      <c r="F66" s="30">
        <f>IF(ISNUMBER(C66),IFERROR(C66/$D66,""),"")</f>
        <v/>
      </c>
      <c r="G66" s="31">
        <f>IF(COUNT(B66:C66)=2,B66-C66,"")</f>
        <v/>
      </c>
      <c r="H66" s="31">
        <f>IFERROR(IF(AND(ISNUMBER(B66),INDEX($B$25:$B66,MATCH($A66-7,$A$25:$A66,1))&lt;&gt;0,INDEX($A$25:$A66,MATCH($A66-7,$A$25:$A66,1))&lt;&gt;0,$A66-INDEX($A$25:$A66,MATCH($A66-7,$A$25:$A66,1))&lt;=10),B66-INDEX($B$25:$B66,MATCH($A66-7,$A$25:$A66,1)),""),"")</f>
        <v/>
      </c>
      <c r="I66" s="31">
        <f>IFERROR(IF(AND(ISNUMBER(B66),INDEX($B$25:$B66,MATCH($A66-30,$A$25:$A66,1))&lt;&gt;0,INDEX($A$25:$A66,MATCH($A66-30,$A$25:$A66,1))&lt;&gt;0,$A66-INDEX($A$25:$A66,MATCH($A66-30,$A$25:$A66,1))&lt;=33),B66-INDEX($B$25:$B66,MATCH($A66-30,$A$25:$A66,1)),""),"")</f>
        <v/>
      </c>
      <c r="J66" s="42">
        <f>DATE(2026,11,3)-A66</f>
        <v/>
      </c>
      <c r="K66" s="26" t="inlineStr">
        <is>
          <t>27 Jan</t>
        </is>
      </c>
    </row>
    <row r="67">
      <c r="A67" s="39" t="n">
        <v>46050</v>
      </c>
      <c r="B67" s="16" t="n">
        <v>0.505</v>
      </c>
      <c r="C67" s="16" t="n">
        <v>0.45</v>
      </c>
      <c r="D67" s="17">
        <f>IF(COUNT(B67:C67)=2,B67+C67,"")</f>
        <v/>
      </c>
      <c r="E67" s="20">
        <f>IF(ISNUMBER(B67),IFERROR(B67/$D67,""),"")</f>
        <v/>
      </c>
      <c r="F67" s="20">
        <f>IF(ISNUMBER(C67),IFERROR(C67/$D67,""),"")</f>
        <v/>
      </c>
      <c r="G67" s="18">
        <f>IF(COUNT(B67:C67)=2,B67-C67,"")</f>
        <v/>
      </c>
      <c r="H67" s="18">
        <f>IFERROR(IF(AND(ISNUMBER(B67),INDEX($B$25:$B67,MATCH($A67-7,$A$25:$A67,1))&lt;&gt;0,INDEX($A$25:$A67,MATCH($A67-7,$A$25:$A67,1))&lt;&gt;0,$A67-INDEX($A$25:$A67,MATCH($A67-7,$A$25:$A67,1))&lt;=10),B67-INDEX($B$25:$B67,MATCH($A67-7,$A$25:$A67,1)),""),"")</f>
        <v/>
      </c>
      <c r="I67" s="18">
        <f>IFERROR(IF(AND(ISNUMBER(B67),INDEX($B$25:$B67,MATCH($A67-30,$A$25:$A67,1))&lt;&gt;0,INDEX($A$25:$A67,MATCH($A67-30,$A$25:$A67,1))&lt;&gt;0,$A67-INDEX($A$25:$A67,MATCH($A67-30,$A$25:$A67,1))&lt;=33),B67-INDEX($B$25:$B67,MATCH($A67-30,$A$25:$A67,1)),""),"")</f>
        <v/>
      </c>
      <c r="J67" s="40">
        <f>DATE(2026,11,3)-A67</f>
        <v/>
      </c>
      <c r="K67" s="26" t="inlineStr">
        <is>
          <t>28 Jan</t>
        </is>
      </c>
    </row>
    <row r="68">
      <c r="A68" s="41" t="n">
        <v>46051</v>
      </c>
      <c r="B68" s="28" t="n">
        <v>0.445</v>
      </c>
      <c r="C68" s="28" t="n">
        <v>0.46</v>
      </c>
      <c r="D68" s="29">
        <f>IF(COUNT(B68:C68)=2,B68+C68,"")</f>
        <v/>
      </c>
      <c r="E68" s="30">
        <f>IF(ISNUMBER(B68),IFERROR(B68/$D68,""),"")</f>
        <v/>
      </c>
      <c r="F68" s="30">
        <f>IF(ISNUMBER(C68),IFERROR(C68/$D68,""),"")</f>
        <v/>
      </c>
      <c r="G68" s="31">
        <f>IF(COUNT(B68:C68)=2,B68-C68,"")</f>
        <v/>
      </c>
      <c r="H68" s="31">
        <f>IFERROR(IF(AND(ISNUMBER(B68),INDEX($B$25:$B68,MATCH($A68-7,$A$25:$A68,1))&lt;&gt;0,INDEX($A$25:$A68,MATCH($A68-7,$A$25:$A68,1))&lt;&gt;0,$A68-INDEX($A$25:$A68,MATCH($A68-7,$A$25:$A68,1))&lt;=10),B68-INDEX($B$25:$B68,MATCH($A68-7,$A$25:$A68,1)),""),"")</f>
        <v/>
      </c>
      <c r="I68" s="31">
        <f>IFERROR(IF(AND(ISNUMBER(B68),INDEX($B$25:$B68,MATCH($A68-30,$A$25:$A68,1))&lt;&gt;0,INDEX($A$25:$A68,MATCH($A68-30,$A$25:$A68,1))&lt;&gt;0,$A68-INDEX($A$25:$A68,MATCH($A68-30,$A$25:$A68,1))&lt;=33),B68-INDEX($B$25:$B68,MATCH($A68-30,$A$25:$A68,1)),""),"")</f>
        <v/>
      </c>
      <c r="J68" s="42">
        <f>DATE(2026,11,3)-A68</f>
        <v/>
      </c>
      <c r="K68" s="26" t="inlineStr">
        <is>
          <t>29 Jan</t>
        </is>
      </c>
    </row>
    <row r="69">
      <c r="A69" s="39" t="n">
        <v>46052</v>
      </c>
      <c r="B69" s="16" t="n">
        <v>0.515</v>
      </c>
      <c r="C69" s="16" t="n">
        <v>0.42</v>
      </c>
      <c r="D69" s="17">
        <f>IF(COUNT(B69:C69)=2,B69+C69,"")</f>
        <v/>
      </c>
      <c r="E69" s="20">
        <f>IF(ISNUMBER(B69),IFERROR(B69/$D69,""),"")</f>
        <v/>
      </c>
      <c r="F69" s="20">
        <f>IF(ISNUMBER(C69),IFERROR(C69/$D69,""),"")</f>
        <v/>
      </c>
      <c r="G69" s="18">
        <f>IF(COUNT(B69:C69)=2,B69-C69,"")</f>
        <v/>
      </c>
      <c r="H69" s="18">
        <f>IFERROR(IF(AND(ISNUMBER(B69),INDEX($B$25:$B69,MATCH($A69-7,$A$25:$A69,1))&lt;&gt;0,INDEX($A$25:$A69,MATCH($A69-7,$A$25:$A69,1))&lt;&gt;0,$A69-INDEX($A$25:$A69,MATCH($A69-7,$A$25:$A69,1))&lt;=10),B69-INDEX($B$25:$B69,MATCH($A69-7,$A$25:$A69,1)),""),"")</f>
        <v/>
      </c>
      <c r="I69" s="18">
        <f>IFERROR(IF(AND(ISNUMBER(B69),INDEX($B$25:$B69,MATCH($A69-30,$A$25:$A69,1))&lt;&gt;0,INDEX($A$25:$A69,MATCH($A69-30,$A$25:$A69,1))&lt;&gt;0,$A69-INDEX($A$25:$A69,MATCH($A69-30,$A$25:$A69,1))&lt;=33),B69-INDEX($B$25:$B69,MATCH($A69-30,$A$25:$A69,1)),""),"")</f>
        <v/>
      </c>
      <c r="J69" s="40">
        <f>DATE(2026,11,3)-A69</f>
        <v/>
      </c>
      <c r="K69" s="26" t="inlineStr">
        <is>
          <t>30 Jan</t>
        </is>
      </c>
    </row>
    <row r="70">
      <c r="A70" s="41" t="n">
        <v>46053</v>
      </c>
      <c r="B70" s="28" t="n">
        <v>0.51</v>
      </c>
      <c r="C70" s="28" t="n">
        <v>0.485</v>
      </c>
      <c r="D70" s="29">
        <f>IF(COUNT(B70:C70)=2,B70+C70,"")</f>
        <v/>
      </c>
      <c r="E70" s="30">
        <f>IF(ISNUMBER(B70),IFERROR(B70/$D70,""),"")</f>
        <v/>
      </c>
      <c r="F70" s="30">
        <f>IF(ISNUMBER(C70),IFERROR(C70/$D70,""),"")</f>
        <v/>
      </c>
      <c r="G70" s="31">
        <f>IF(COUNT(B70:C70)=2,B70-C70,"")</f>
        <v/>
      </c>
      <c r="H70" s="31">
        <f>IFERROR(IF(AND(ISNUMBER(B70),INDEX($B$25:$B70,MATCH($A70-7,$A$25:$A70,1))&lt;&gt;0,INDEX($A$25:$A70,MATCH($A70-7,$A$25:$A70,1))&lt;&gt;0,$A70-INDEX($A$25:$A70,MATCH($A70-7,$A$25:$A70,1))&lt;=10),B70-INDEX($B$25:$B70,MATCH($A70-7,$A$25:$A70,1)),""),"")</f>
        <v/>
      </c>
      <c r="I70" s="31">
        <f>IFERROR(IF(AND(ISNUMBER(B70),INDEX($B$25:$B70,MATCH($A70-30,$A$25:$A70,1))&lt;&gt;0,INDEX($A$25:$A70,MATCH($A70-30,$A$25:$A70,1))&lt;&gt;0,$A70-INDEX($A$25:$A70,MATCH($A70-30,$A$25:$A70,1))&lt;=33),B70-INDEX($B$25:$B70,MATCH($A70-30,$A$25:$A70,1)),""),"")</f>
        <v/>
      </c>
      <c r="J70" s="42">
        <f>DATE(2026,11,3)-A70</f>
        <v/>
      </c>
      <c r="K70" s="26" t="inlineStr">
        <is>
          <t>31 Jan</t>
        </is>
      </c>
    </row>
    <row r="71">
      <c r="A71" s="39" t="n">
        <v>46054</v>
      </c>
      <c r="B71" s="16" t="n">
        <v>0.635</v>
      </c>
      <c r="C71" s="16" t="n">
        <v>0.335</v>
      </c>
      <c r="D71" s="17">
        <f>IF(COUNT(B71:C71)=2,B71+C71,"")</f>
        <v/>
      </c>
      <c r="E71" s="20">
        <f>IF(ISNUMBER(B71),IFERROR(B71/$D71,""),"")</f>
        <v/>
      </c>
      <c r="F71" s="20">
        <f>IF(ISNUMBER(C71),IFERROR(C71/$D71,""),"")</f>
        <v/>
      </c>
      <c r="G71" s="18">
        <f>IF(COUNT(B71:C71)=2,B71-C71,"")</f>
        <v/>
      </c>
      <c r="H71" s="18">
        <f>IFERROR(IF(AND(ISNUMBER(B71),INDEX($B$25:$B71,MATCH($A71-7,$A$25:$A71,1))&lt;&gt;0,INDEX($A$25:$A71,MATCH($A71-7,$A$25:$A71,1))&lt;&gt;0,$A71-INDEX($A$25:$A71,MATCH($A71-7,$A$25:$A71,1))&lt;=10),B71-INDEX($B$25:$B71,MATCH($A71-7,$A$25:$A71,1)),""),"")</f>
        <v/>
      </c>
      <c r="I71" s="18">
        <f>IFERROR(IF(AND(ISNUMBER(B71),INDEX($B$25:$B71,MATCH($A71-30,$A$25:$A71,1))&lt;&gt;0,INDEX($A$25:$A71,MATCH($A71-30,$A$25:$A71,1))&lt;&gt;0,$A71-INDEX($A$25:$A71,MATCH($A71-30,$A$25:$A71,1))&lt;=33),B71-INDEX($B$25:$B71,MATCH($A71-30,$A$25:$A71,1)),""),"")</f>
        <v/>
      </c>
      <c r="J71" s="40">
        <f>DATE(2026,11,3)-A71</f>
        <v/>
      </c>
      <c r="K71" s="26" t="inlineStr">
        <is>
          <t>01 Feb</t>
        </is>
      </c>
    </row>
    <row r="72">
      <c r="A72" s="41" t="n">
        <v>46055</v>
      </c>
      <c r="B72" s="28" t="n">
        <v>0.485</v>
      </c>
      <c r="C72" s="28" t="n">
        <v>0.49</v>
      </c>
      <c r="D72" s="29">
        <f>IF(COUNT(B72:C72)=2,B72+C72,"")</f>
        <v/>
      </c>
      <c r="E72" s="30">
        <f>IF(ISNUMBER(B72),IFERROR(B72/$D72,""),"")</f>
        <v/>
      </c>
      <c r="F72" s="30">
        <f>IF(ISNUMBER(C72),IFERROR(C72/$D72,""),"")</f>
        <v/>
      </c>
      <c r="G72" s="31">
        <f>IF(COUNT(B72:C72)=2,B72-C72,"")</f>
        <v/>
      </c>
      <c r="H72" s="31">
        <f>IFERROR(IF(AND(ISNUMBER(B72),INDEX($B$25:$B72,MATCH($A72-7,$A$25:$A72,1))&lt;&gt;0,INDEX($A$25:$A72,MATCH($A72-7,$A$25:$A72,1))&lt;&gt;0,$A72-INDEX($A$25:$A72,MATCH($A72-7,$A$25:$A72,1))&lt;=10),B72-INDEX($B$25:$B72,MATCH($A72-7,$A$25:$A72,1)),""),"")</f>
        <v/>
      </c>
      <c r="I72" s="31">
        <f>IFERROR(IF(AND(ISNUMBER(B72),INDEX($B$25:$B72,MATCH($A72-30,$A$25:$A72,1))&lt;&gt;0,INDEX($A$25:$A72,MATCH($A72-30,$A$25:$A72,1))&lt;&gt;0,$A72-INDEX($A$25:$A72,MATCH($A72-30,$A$25:$A72,1))&lt;=33),B72-INDEX($B$25:$B72,MATCH($A72-30,$A$25:$A72,1)),""),"")</f>
        <v/>
      </c>
      <c r="J72" s="42">
        <f>DATE(2026,11,3)-A72</f>
        <v/>
      </c>
      <c r="K72" s="26" t="inlineStr">
        <is>
          <t>02 Feb</t>
        </is>
      </c>
    </row>
    <row r="73">
      <c r="A73" s="39" t="n">
        <v>46056</v>
      </c>
      <c r="B73" s="16" t="n">
        <v>0.625</v>
      </c>
      <c r="C73" s="16" t="n">
        <v>0.355</v>
      </c>
      <c r="D73" s="17">
        <f>IF(COUNT(B73:C73)=2,B73+C73,"")</f>
        <v/>
      </c>
      <c r="E73" s="20">
        <f>IF(ISNUMBER(B73),IFERROR(B73/$D73,""),"")</f>
        <v/>
      </c>
      <c r="F73" s="20">
        <f>IF(ISNUMBER(C73),IFERROR(C73/$D73,""),"")</f>
        <v/>
      </c>
      <c r="G73" s="18">
        <f>IF(COUNT(B73:C73)=2,B73-C73,"")</f>
        <v/>
      </c>
      <c r="H73" s="18">
        <f>IFERROR(IF(AND(ISNUMBER(B73),INDEX($B$25:$B73,MATCH($A73-7,$A$25:$A73,1))&lt;&gt;0,INDEX($A$25:$A73,MATCH($A73-7,$A$25:$A73,1))&lt;&gt;0,$A73-INDEX($A$25:$A73,MATCH($A73-7,$A$25:$A73,1))&lt;=10),B73-INDEX($B$25:$B73,MATCH($A73-7,$A$25:$A73,1)),""),"")</f>
        <v/>
      </c>
      <c r="I73" s="18">
        <f>IFERROR(IF(AND(ISNUMBER(B73),INDEX($B$25:$B73,MATCH($A73-30,$A$25:$A73,1))&lt;&gt;0,INDEX($A$25:$A73,MATCH($A73-30,$A$25:$A73,1))&lt;&gt;0,$A73-INDEX($A$25:$A73,MATCH($A73-30,$A$25:$A73,1))&lt;=33),B73-INDEX($B$25:$B73,MATCH($A73-30,$A$25:$A73,1)),""),"")</f>
        <v/>
      </c>
      <c r="J73" s="40">
        <f>DATE(2026,11,3)-A73</f>
        <v/>
      </c>
      <c r="K73" s="26" t="inlineStr">
        <is>
          <t>03 Feb</t>
        </is>
      </c>
    </row>
    <row r="74">
      <c r="A74" s="41" t="n">
        <v>46057</v>
      </c>
      <c r="B74" s="28" t="n">
        <v>0.5600000000000001</v>
      </c>
      <c r="C74" s="28" t="n">
        <v>0.315</v>
      </c>
      <c r="D74" s="29">
        <f>IF(COUNT(B74:C74)=2,B74+C74,"")</f>
        <v/>
      </c>
      <c r="E74" s="30">
        <f>IF(ISNUMBER(B74),IFERROR(B74/$D74,""),"")</f>
        <v/>
      </c>
      <c r="F74" s="30">
        <f>IF(ISNUMBER(C74),IFERROR(C74/$D74,""),"")</f>
        <v/>
      </c>
      <c r="G74" s="31">
        <f>IF(COUNT(B74:C74)=2,B74-C74,"")</f>
        <v/>
      </c>
      <c r="H74" s="31">
        <f>IFERROR(IF(AND(ISNUMBER(B74),INDEX($B$25:$B74,MATCH($A74-7,$A$25:$A74,1))&lt;&gt;0,INDEX($A$25:$A74,MATCH($A74-7,$A$25:$A74,1))&lt;&gt;0,$A74-INDEX($A$25:$A74,MATCH($A74-7,$A$25:$A74,1))&lt;=10),B74-INDEX($B$25:$B74,MATCH($A74-7,$A$25:$A74,1)),""),"")</f>
        <v/>
      </c>
      <c r="I74" s="31">
        <f>IFERROR(IF(AND(ISNUMBER(B74),INDEX($B$25:$B74,MATCH($A74-30,$A$25:$A74,1))&lt;&gt;0,INDEX($A$25:$A74,MATCH($A74-30,$A$25:$A74,1))&lt;&gt;0,$A74-INDEX($A$25:$A74,MATCH($A74-30,$A$25:$A74,1))&lt;=33),B74-INDEX($B$25:$B74,MATCH($A74-30,$A$25:$A74,1)),""),"")</f>
        <v/>
      </c>
      <c r="J74" s="42">
        <f>DATE(2026,11,3)-A74</f>
        <v/>
      </c>
      <c r="K74" s="26" t="inlineStr">
        <is>
          <t>04 Feb</t>
        </is>
      </c>
    </row>
    <row r="75">
      <c r="A75" s="39" t="n">
        <v>46058</v>
      </c>
      <c r="B75" s="16" t="n">
        <v>0.63</v>
      </c>
      <c r="C75" s="16" t="n">
        <v>0.335</v>
      </c>
      <c r="D75" s="17">
        <f>IF(COUNT(B75:C75)=2,B75+C75,"")</f>
        <v/>
      </c>
      <c r="E75" s="20">
        <f>IF(ISNUMBER(B75),IFERROR(B75/$D75,""),"")</f>
        <v/>
      </c>
      <c r="F75" s="20">
        <f>IF(ISNUMBER(C75),IFERROR(C75/$D75,""),"")</f>
        <v/>
      </c>
      <c r="G75" s="18">
        <f>IF(COUNT(B75:C75)=2,B75-C75,"")</f>
        <v/>
      </c>
      <c r="H75" s="18">
        <f>IFERROR(IF(AND(ISNUMBER(B75),INDEX($B$25:$B75,MATCH($A75-7,$A$25:$A75,1))&lt;&gt;0,INDEX($A$25:$A75,MATCH($A75-7,$A$25:$A75,1))&lt;&gt;0,$A75-INDEX($A$25:$A75,MATCH($A75-7,$A$25:$A75,1))&lt;=10),B75-INDEX($B$25:$B75,MATCH($A75-7,$A$25:$A75,1)),""),"")</f>
        <v/>
      </c>
      <c r="I75" s="18">
        <f>IFERROR(IF(AND(ISNUMBER(B75),INDEX($B$25:$B75,MATCH($A75-30,$A$25:$A75,1))&lt;&gt;0,INDEX($A$25:$A75,MATCH($A75-30,$A$25:$A75,1))&lt;&gt;0,$A75-INDEX($A$25:$A75,MATCH($A75-30,$A$25:$A75,1))&lt;=33),B75-INDEX($B$25:$B75,MATCH($A75-30,$A$25:$A75,1)),""),"")</f>
        <v/>
      </c>
      <c r="J75" s="40">
        <f>DATE(2026,11,3)-A75</f>
        <v/>
      </c>
      <c r="K75" s="26" t="inlineStr">
        <is>
          <t>05 Feb</t>
        </is>
      </c>
    </row>
    <row r="76">
      <c r="A76" s="41" t="n">
        <v>46059</v>
      </c>
      <c r="B76" s="28" t="n">
        <v>0.645</v>
      </c>
      <c r="C76" s="28" t="n">
        <v>0.345</v>
      </c>
      <c r="D76" s="29">
        <f>IF(COUNT(B76:C76)=2,B76+C76,"")</f>
        <v/>
      </c>
      <c r="E76" s="30">
        <f>IF(ISNUMBER(B76),IFERROR(B76/$D76,""),"")</f>
        <v/>
      </c>
      <c r="F76" s="30">
        <f>IF(ISNUMBER(C76),IFERROR(C76/$D76,""),"")</f>
        <v/>
      </c>
      <c r="G76" s="31">
        <f>IF(COUNT(B76:C76)=2,B76-C76,"")</f>
        <v/>
      </c>
      <c r="H76" s="31">
        <f>IFERROR(IF(AND(ISNUMBER(B76),INDEX($B$25:$B76,MATCH($A76-7,$A$25:$A76,1))&lt;&gt;0,INDEX($A$25:$A76,MATCH($A76-7,$A$25:$A76,1))&lt;&gt;0,$A76-INDEX($A$25:$A76,MATCH($A76-7,$A$25:$A76,1))&lt;=10),B76-INDEX($B$25:$B76,MATCH($A76-7,$A$25:$A76,1)),""),"")</f>
        <v/>
      </c>
      <c r="I76" s="31">
        <f>IFERROR(IF(AND(ISNUMBER(B76),INDEX($B$25:$B76,MATCH($A76-30,$A$25:$A76,1))&lt;&gt;0,INDEX($A$25:$A76,MATCH($A76-30,$A$25:$A76,1))&lt;&gt;0,$A76-INDEX($A$25:$A76,MATCH($A76-30,$A$25:$A76,1))&lt;=33),B76-INDEX($B$25:$B76,MATCH($A76-30,$A$25:$A76,1)),""),"")</f>
        <v/>
      </c>
      <c r="J76" s="42">
        <f>DATE(2026,11,3)-A76</f>
        <v/>
      </c>
      <c r="K76" s="26" t="inlineStr">
        <is>
          <t>06 Feb</t>
        </is>
      </c>
    </row>
    <row r="77">
      <c r="A77" s="39" t="n">
        <v>46060</v>
      </c>
      <c r="B77" s="16" t="n">
        <v>0.645</v>
      </c>
      <c r="C77" s="16" t="n">
        <v>0.335</v>
      </c>
      <c r="D77" s="17">
        <f>IF(COUNT(B77:C77)=2,B77+C77,"")</f>
        <v/>
      </c>
      <c r="E77" s="20">
        <f>IF(ISNUMBER(B77),IFERROR(B77/$D77,""),"")</f>
        <v/>
      </c>
      <c r="F77" s="20">
        <f>IF(ISNUMBER(C77),IFERROR(C77/$D77,""),"")</f>
        <v/>
      </c>
      <c r="G77" s="18">
        <f>IF(COUNT(B77:C77)=2,B77-C77,"")</f>
        <v/>
      </c>
      <c r="H77" s="18">
        <f>IFERROR(IF(AND(ISNUMBER(B77),INDEX($B$25:$B77,MATCH($A77-7,$A$25:$A77,1))&lt;&gt;0,INDEX($A$25:$A77,MATCH($A77-7,$A$25:$A77,1))&lt;&gt;0,$A77-INDEX($A$25:$A77,MATCH($A77-7,$A$25:$A77,1))&lt;=10),B77-INDEX($B$25:$B77,MATCH($A77-7,$A$25:$A77,1)),""),"")</f>
        <v/>
      </c>
      <c r="I77" s="18">
        <f>IFERROR(IF(AND(ISNUMBER(B77),INDEX($B$25:$B77,MATCH($A77-30,$A$25:$A77,1))&lt;&gt;0,INDEX($A$25:$A77,MATCH($A77-30,$A$25:$A77,1))&lt;&gt;0,$A77-INDEX($A$25:$A77,MATCH($A77-30,$A$25:$A77,1))&lt;=33),B77-INDEX($B$25:$B77,MATCH($A77-30,$A$25:$A77,1)),""),"")</f>
        <v/>
      </c>
      <c r="J77" s="40">
        <f>DATE(2026,11,3)-A77</f>
        <v/>
      </c>
      <c r="K77" s="26" t="inlineStr">
        <is>
          <t>07 Feb</t>
        </is>
      </c>
    </row>
    <row r="78">
      <c r="A78" s="41" t="n">
        <v>46061</v>
      </c>
      <c r="B78" s="28" t="n">
        <v>0.5600000000000001</v>
      </c>
      <c r="C78" s="28" t="n">
        <v>0.435</v>
      </c>
      <c r="D78" s="29">
        <f>IF(COUNT(B78:C78)=2,B78+C78,"")</f>
        <v/>
      </c>
      <c r="E78" s="30">
        <f>IF(ISNUMBER(B78),IFERROR(B78/$D78,""),"")</f>
        <v/>
      </c>
      <c r="F78" s="30">
        <f>IF(ISNUMBER(C78),IFERROR(C78/$D78,""),"")</f>
        <v/>
      </c>
      <c r="G78" s="31">
        <f>IF(COUNT(B78:C78)=2,B78-C78,"")</f>
        <v/>
      </c>
      <c r="H78" s="31">
        <f>IFERROR(IF(AND(ISNUMBER(B78),INDEX($B$25:$B78,MATCH($A78-7,$A$25:$A78,1))&lt;&gt;0,INDEX($A$25:$A78,MATCH($A78-7,$A$25:$A78,1))&lt;&gt;0,$A78-INDEX($A$25:$A78,MATCH($A78-7,$A$25:$A78,1))&lt;=10),B78-INDEX($B$25:$B78,MATCH($A78-7,$A$25:$A78,1)),""),"")</f>
        <v/>
      </c>
      <c r="I78" s="31">
        <f>IFERROR(IF(AND(ISNUMBER(B78),INDEX($B$25:$B78,MATCH($A78-30,$A$25:$A78,1))&lt;&gt;0,INDEX($A$25:$A78,MATCH($A78-30,$A$25:$A78,1))&lt;&gt;0,$A78-INDEX($A$25:$A78,MATCH($A78-30,$A$25:$A78,1))&lt;=33),B78-INDEX($B$25:$B78,MATCH($A78-30,$A$25:$A78,1)),""),"")</f>
        <v/>
      </c>
      <c r="J78" s="42">
        <f>DATE(2026,11,3)-A78</f>
        <v/>
      </c>
      <c r="K78" s="26" t="inlineStr">
        <is>
          <t>08 Feb</t>
        </is>
      </c>
    </row>
    <row r="79">
      <c r="A79" s="39" t="n">
        <v>46062</v>
      </c>
      <c r="B79" s="16" t="n">
        <v>0.455</v>
      </c>
      <c r="C79" s="16" t="n">
        <v>0.41</v>
      </c>
      <c r="D79" s="17">
        <f>IF(COUNT(B79:C79)=2,B79+C79,"")</f>
        <v/>
      </c>
      <c r="E79" s="20">
        <f>IF(ISNUMBER(B79),IFERROR(B79/$D79,""),"")</f>
        <v/>
      </c>
      <c r="F79" s="20">
        <f>IF(ISNUMBER(C79),IFERROR(C79/$D79,""),"")</f>
        <v/>
      </c>
      <c r="G79" s="18">
        <f>IF(COUNT(B79:C79)=2,B79-C79,"")</f>
        <v/>
      </c>
      <c r="H79" s="18">
        <f>IFERROR(IF(AND(ISNUMBER(B79),INDEX($B$25:$B79,MATCH($A79-7,$A$25:$A79,1))&lt;&gt;0,INDEX($A$25:$A79,MATCH($A79-7,$A$25:$A79,1))&lt;&gt;0,$A79-INDEX($A$25:$A79,MATCH($A79-7,$A$25:$A79,1))&lt;=10),B79-INDEX($B$25:$B79,MATCH($A79-7,$A$25:$A79,1)),""),"")</f>
        <v/>
      </c>
      <c r="I79" s="18">
        <f>IFERROR(IF(AND(ISNUMBER(B79),INDEX($B$25:$B79,MATCH($A79-30,$A$25:$A79,1))&lt;&gt;0,INDEX($A$25:$A79,MATCH($A79-30,$A$25:$A79,1))&lt;&gt;0,$A79-INDEX($A$25:$A79,MATCH($A79-30,$A$25:$A79,1))&lt;=33),B79-INDEX($B$25:$B79,MATCH($A79-30,$A$25:$A79,1)),""),"")</f>
        <v/>
      </c>
      <c r="J79" s="40">
        <f>DATE(2026,11,3)-A79</f>
        <v/>
      </c>
      <c r="K79" s="26" t="inlineStr">
        <is>
          <t>09 Feb</t>
        </is>
      </c>
    </row>
    <row r="80">
      <c r="A80" s="41" t="n">
        <v>46063</v>
      </c>
      <c r="B80" s="28" t="n">
        <v>0.62</v>
      </c>
      <c r="C80" s="28" t="n">
        <v>0.425</v>
      </c>
      <c r="D80" s="29">
        <f>IF(COUNT(B80:C80)=2,B80+C80,"")</f>
        <v/>
      </c>
      <c r="E80" s="30">
        <f>IF(ISNUMBER(B80),IFERROR(B80/$D80,""),"")</f>
        <v/>
      </c>
      <c r="F80" s="30">
        <f>IF(ISNUMBER(C80),IFERROR(C80/$D80,""),"")</f>
        <v/>
      </c>
      <c r="G80" s="31">
        <f>IF(COUNT(B80:C80)=2,B80-C80,"")</f>
        <v/>
      </c>
      <c r="H80" s="31">
        <f>IFERROR(IF(AND(ISNUMBER(B80),INDEX($B$25:$B80,MATCH($A80-7,$A$25:$A80,1))&lt;&gt;0,INDEX($A$25:$A80,MATCH($A80-7,$A$25:$A80,1))&lt;&gt;0,$A80-INDEX($A$25:$A80,MATCH($A80-7,$A$25:$A80,1))&lt;=10),B80-INDEX($B$25:$B80,MATCH($A80-7,$A$25:$A80,1)),""),"")</f>
        <v/>
      </c>
      <c r="I80" s="31">
        <f>IFERROR(IF(AND(ISNUMBER(B80),INDEX($B$25:$B80,MATCH($A80-30,$A$25:$A80,1))&lt;&gt;0,INDEX($A$25:$A80,MATCH($A80-30,$A$25:$A80,1))&lt;&gt;0,$A80-INDEX($A$25:$A80,MATCH($A80-30,$A$25:$A80,1))&lt;=33),B80-INDEX($B$25:$B80,MATCH($A80-30,$A$25:$A80,1)),""),"")</f>
        <v/>
      </c>
      <c r="J80" s="42">
        <f>DATE(2026,11,3)-A80</f>
        <v/>
      </c>
      <c r="K80" s="26" t="inlineStr">
        <is>
          <t>10 Feb</t>
        </is>
      </c>
    </row>
    <row r="81">
      <c r="A81" s="39" t="n">
        <v>46064</v>
      </c>
      <c r="B81" s="16" t="n">
        <v>0.635</v>
      </c>
      <c r="C81" s="16" t="n">
        <v>0.275</v>
      </c>
      <c r="D81" s="17">
        <f>IF(COUNT(B81:C81)=2,B81+C81,"")</f>
        <v/>
      </c>
      <c r="E81" s="20">
        <f>IF(ISNUMBER(B81),IFERROR(B81/$D81,""),"")</f>
        <v/>
      </c>
      <c r="F81" s="20">
        <f>IF(ISNUMBER(C81),IFERROR(C81/$D81,""),"")</f>
        <v/>
      </c>
      <c r="G81" s="18">
        <f>IF(COUNT(B81:C81)=2,B81-C81,"")</f>
        <v/>
      </c>
      <c r="H81" s="18">
        <f>IFERROR(IF(AND(ISNUMBER(B81),INDEX($B$25:$B81,MATCH($A81-7,$A$25:$A81,1))&lt;&gt;0,INDEX($A$25:$A81,MATCH($A81-7,$A$25:$A81,1))&lt;&gt;0,$A81-INDEX($A$25:$A81,MATCH($A81-7,$A$25:$A81,1))&lt;=10),B81-INDEX($B$25:$B81,MATCH($A81-7,$A$25:$A81,1)),""),"")</f>
        <v/>
      </c>
      <c r="I81" s="18">
        <f>IFERROR(IF(AND(ISNUMBER(B81),INDEX($B$25:$B81,MATCH($A81-30,$A$25:$A81,1))&lt;&gt;0,INDEX($A$25:$A81,MATCH($A81-30,$A$25:$A81,1))&lt;&gt;0,$A81-INDEX($A$25:$A81,MATCH($A81-30,$A$25:$A81,1))&lt;=33),B81-INDEX($B$25:$B81,MATCH($A81-30,$A$25:$A81,1)),""),"")</f>
        <v/>
      </c>
      <c r="J81" s="40">
        <f>DATE(2026,11,3)-A81</f>
        <v/>
      </c>
      <c r="K81" s="26" t="inlineStr">
        <is>
          <t>11 Feb</t>
        </is>
      </c>
    </row>
    <row r="82">
      <c r="A82" s="41" t="n">
        <v>46065</v>
      </c>
      <c r="B82" s="28" t="n">
        <v>0.6</v>
      </c>
      <c r="C82" s="28" t="n">
        <v>0.25</v>
      </c>
      <c r="D82" s="29">
        <f>IF(COUNT(B82:C82)=2,B82+C82,"")</f>
        <v/>
      </c>
      <c r="E82" s="30">
        <f>IF(ISNUMBER(B82),IFERROR(B82/$D82,""),"")</f>
        <v/>
      </c>
      <c r="F82" s="30">
        <f>IF(ISNUMBER(C82),IFERROR(C82/$D82,""),"")</f>
        <v/>
      </c>
      <c r="G82" s="31">
        <f>IF(COUNT(B82:C82)=2,B82-C82,"")</f>
        <v/>
      </c>
      <c r="H82" s="31">
        <f>IFERROR(IF(AND(ISNUMBER(B82),INDEX($B$25:$B82,MATCH($A82-7,$A$25:$A82,1))&lt;&gt;0,INDEX($A$25:$A82,MATCH($A82-7,$A$25:$A82,1))&lt;&gt;0,$A82-INDEX($A$25:$A82,MATCH($A82-7,$A$25:$A82,1))&lt;=10),B82-INDEX($B$25:$B82,MATCH($A82-7,$A$25:$A82,1)),""),"")</f>
        <v/>
      </c>
      <c r="I82" s="31">
        <f>IFERROR(IF(AND(ISNUMBER(B82),INDEX($B$25:$B82,MATCH($A82-30,$A$25:$A82,1))&lt;&gt;0,INDEX($A$25:$A82,MATCH($A82-30,$A$25:$A82,1))&lt;&gt;0,$A82-INDEX($A$25:$A82,MATCH($A82-30,$A$25:$A82,1))&lt;=33),B82-INDEX($B$25:$B82,MATCH($A82-30,$A$25:$A82,1)),""),"")</f>
        <v/>
      </c>
      <c r="J82" s="42">
        <f>DATE(2026,11,3)-A82</f>
        <v/>
      </c>
      <c r="K82" s="26" t="inlineStr">
        <is>
          <t>12 Feb</t>
        </is>
      </c>
    </row>
    <row r="83">
      <c r="A83" s="39" t="n">
        <v>46066</v>
      </c>
      <c r="B83" s="16" t="n">
        <v>0.485</v>
      </c>
      <c r="C83" s="16" t="n">
        <v>0.32</v>
      </c>
      <c r="D83" s="17">
        <f>IF(COUNT(B83:C83)=2,B83+C83,"")</f>
        <v/>
      </c>
      <c r="E83" s="20">
        <f>IF(ISNUMBER(B83),IFERROR(B83/$D83,""),"")</f>
        <v/>
      </c>
      <c r="F83" s="20">
        <f>IF(ISNUMBER(C83),IFERROR(C83/$D83,""),"")</f>
        <v/>
      </c>
      <c r="G83" s="18">
        <f>IF(COUNT(B83:C83)=2,B83-C83,"")</f>
        <v/>
      </c>
      <c r="H83" s="18">
        <f>IFERROR(IF(AND(ISNUMBER(B83),INDEX($B$25:$B83,MATCH($A83-7,$A$25:$A83,1))&lt;&gt;0,INDEX($A$25:$A83,MATCH($A83-7,$A$25:$A83,1))&lt;&gt;0,$A83-INDEX($A$25:$A83,MATCH($A83-7,$A$25:$A83,1))&lt;=10),B83-INDEX($B$25:$B83,MATCH($A83-7,$A$25:$A83,1)),""),"")</f>
        <v/>
      </c>
      <c r="I83" s="18">
        <f>IFERROR(IF(AND(ISNUMBER(B83),INDEX($B$25:$B83,MATCH($A83-30,$A$25:$A83,1))&lt;&gt;0,INDEX($A$25:$A83,MATCH($A83-30,$A$25:$A83,1))&lt;&gt;0,$A83-INDEX($A$25:$A83,MATCH($A83-30,$A$25:$A83,1))&lt;=33),B83-INDEX($B$25:$B83,MATCH($A83-30,$A$25:$A83,1)),""),"")</f>
        <v/>
      </c>
      <c r="J83" s="40">
        <f>DATE(2026,11,3)-A83</f>
        <v/>
      </c>
      <c r="K83" s="26" t="inlineStr">
        <is>
          <t>13 Feb</t>
        </is>
      </c>
    </row>
    <row r="84">
      <c r="A84" s="41" t="n">
        <v>46067</v>
      </c>
      <c r="B84" s="28" t="n">
        <v>0.59</v>
      </c>
      <c r="C84" s="28" t="n">
        <v>0.365</v>
      </c>
      <c r="D84" s="29">
        <f>IF(COUNT(B84:C84)=2,B84+C84,"")</f>
        <v/>
      </c>
      <c r="E84" s="30">
        <f>IF(ISNUMBER(B84),IFERROR(B84/$D84,""),"")</f>
        <v/>
      </c>
      <c r="F84" s="30">
        <f>IF(ISNUMBER(C84),IFERROR(C84/$D84,""),"")</f>
        <v/>
      </c>
      <c r="G84" s="31">
        <f>IF(COUNT(B84:C84)=2,B84-C84,"")</f>
        <v/>
      </c>
      <c r="H84" s="31">
        <f>IFERROR(IF(AND(ISNUMBER(B84),INDEX($B$25:$B84,MATCH($A84-7,$A$25:$A84,1))&lt;&gt;0,INDEX($A$25:$A84,MATCH($A84-7,$A$25:$A84,1))&lt;&gt;0,$A84-INDEX($A$25:$A84,MATCH($A84-7,$A$25:$A84,1))&lt;=10),B84-INDEX($B$25:$B84,MATCH($A84-7,$A$25:$A84,1)),""),"")</f>
        <v/>
      </c>
      <c r="I84" s="31">
        <f>IFERROR(IF(AND(ISNUMBER(B84),INDEX($B$25:$B84,MATCH($A84-30,$A$25:$A84,1))&lt;&gt;0,INDEX($A$25:$A84,MATCH($A84-30,$A$25:$A84,1))&lt;&gt;0,$A84-INDEX($A$25:$A84,MATCH($A84-30,$A$25:$A84,1))&lt;=33),B84-INDEX($B$25:$B84,MATCH($A84-30,$A$25:$A84,1)),""),"")</f>
        <v/>
      </c>
      <c r="J84" s="42">
        <f>DATE(2026,11,3)-A84</f>
        <v/>
      </c>
      <c r="K84" s="26" t="inlineStr">
        <is>
          <t>14 Feb</t>
        </is>
      </c>
    </row>
    <row r="85">
      <c r="A85" s="39" t="n">
        <v>46068</v>
      </c>
      <c r="B85" s="16" t="n">
        <v>0.725</v>
      </c>
      <c r="C85" s="16" t="n">
        <v>0.26</v>
      </c>
      <c r="D85" s="17">
        <f>IF(COUNT(B85:C85)=2,B85+C85,"")</f>
        <v/>
      </c>
      <c r="E85" s="20">
        <f>IF(ISNUMBER(B85),IFERROR(B85/$D85,""),"")</f>
        <v/>
      </c>
      <c r="F85" s="20">
        <f>IF(ISNUMBER(C85),IFERROR(C85/$D85,""),"")</f>
        <v/>
      </c>
      <c r="G85" s="18">
        <f>IF(COUNT(B85:C85)=2,B85-C85,"")</f>
        <v/>
      </c>
      <c r="H85" s="18">
        <f>IFERROR(IF(AND(ISNUMBER(B85),INDEX($B$25:$B85,MATCH($A85-7,$A$25:$A85,1))&lt;&gt;0,INDEX($A$25:$A85,MATCH($A85-7,$A$25:$A85,1))&lt;&gt;0,$A85-INDEX($A$25:$A85,MATCH($A85-7,$A$25:$A85,1))&lt;=10),B85-INDEX($B$25:$B85,MATCH($A85-7,$A$25:$A85,1)),""),"")</f>
        <v/>
      </c>
      <c r="I85" s="18">
        <f>IFERROR(IF(AND(ISNUMBER(B85),INDEX($B$25:$B85,MATCH($A85-30,$A$25:$A85,1))&lt;&gt;0,INDEX($A$25:$A85,MATCH($A85-30,$A$25:$A85,1))&lt;&gt;0,$A85-INDEX($A$25:$A85,MATCH($A85-30,$A$25:$A85,1))&lt;=33),B85-INDEX($B$25:$B85,MATCH($A85-30,$A$25:$A85,1)),""),"")</f>
        <v/>
      </c>
      <c r="J85" s="40">
        <f>DATE(2026,11,3)-A85</f>
        <v/>
      </c>
      <c r="K85" s="26" t="inlineStr">
        <is>
          <t>15 Feb</t>
        </is>
      </c>
    </row>
    <row r="86">
      <c r="A86" s="41" t="n">
        <v>46069</v>
      </c>
      <c r="B86" s="28" t="n">
        <v>0.675</v>
      </c>
      <c r="C86" s="28" t="n">
        <v>0.305</v>
      </c>
      <c r="D86" s="29">
        <f>IF(COUNT(B86:C86)=2,B86+C86,"")</f>
        <v/>
      </c>
      <c r="E86" s="30">
        <f>IF(ISNUMBER(B86),IFERROR(B86/$D86,""),"")</f>
        <v/>
      </c>
      <c r="F86" s="30">
        <f>IF(ISNUMBER(C86),IFERROR(C86/$D86,""),"")</f>
        <v/>
      </c>
      <c r="G86" s="31">
        <f>IF(COUNT(B86:C86)=2,B86-C86,"")</f>
        <v/>
      </c>
      <c r="H86" s="31">
        <f>IFERROR(IF(AND(ISNUMBER(B86),INDEX($B$25:$B86,MATCH($A86-7,$A$25:$A86,1))&lt;&gt;0,INDEX($A$25:$A86,MATCH($A86-7,$A$25:$A86,1))&lt;&gt;0,$A86-INDEX($A$25:$A86,MATCH($A86-7,$A$25:$A86,1))&lt;=10),B86-INDEX($B$25:$B86,MATCH($A86-7,$A$25:$A86,1)),""),"")</f>
        <v/>
      </c>
      <c r="I86" s="31">
        <f>IFERROR(IF(AND(ISNUMBER(B86),INDEX($B$25:$B86,MATCH($A86-30,$A$25:$A86,1))&lt;&gt;0,INDEX($A$25:$A86,MATCH($A86-30,$A$25:$A86,1))&lt;&gt;0,$A86-INDEX($A$25:$A86,MATCH($A86-30,$A$25:$A86,1))&lt;=33),B86-INDEX($B$25:$B86,MATCH($A86-30,$A$25:$A86,1)),""),"")</f>
        <v/>
      </c>
      <c r="J86" s="42">
        <f>DATE(2026,11,3)-A86</f>
        <v/>
      </c>
      <c r="K86" s="26" t="inlineStr">
        <is>
          <t>16 Feb</t>
        </is>
      </c>
    </row>
    <row r="87">
      <c r="A87" s="39" t="n">
        <v>46070</v>
      </c>
      <c r="B87" s="16" t="n">
        <v>0.72</v>
      </c>
      <c r="C87" s="16" t="n">
        <v>0.415</v>
      </c>
      <c r="D87" s="17">
        <f>IF(COUNT(B87:C87)=2,B87+C87,"")</f>
        <v/>
      </c>
      <c r="E87" s="20">
        <f>IF(ISNUMBER(B87),IFERROR(B87/$D87,""),"")</f>
        <v/>
      </c>
      <c r="F87" s="20">
        <f>IF(ISNUMBER(C87),IFERROR(C87/$D87,""),"")</f>
        <v/>
      </c>
      <c r="G87" s="18">
        <f>IF(COUNT(B87:C87)=2,B87-C87,"")</f>
        <v/>
      </c>
      <c r="H87" s="18">
        <f>IFERROR(IF(AND(ISNUMBER(B87),INDEX($B$25:$B87,MATCH($A87-7,$A$25:$A87,1))&lt;&gt;0,INDEX($A$25:$A87,MATCH($A87-7,$A$25:$A87,1))&lt;&gt;0,$A87-INDEX($A$25:$A87,MATCH($A87-7,$A$25:$A87,1))&lt;=10),B87-INDEX($B$25:$B87,MATCH($A87-7,$A$25:$A87,1)),""),"")</f>
        <v/>
      </c>
      <c r="I87" s="18">
        <f>IFERROR(IF(AND(ISNUMBER(B87),INDEX($B$25:$B87,MATCH($A87-30,$A$25:$A87,1))&lt;&gt;0,INDEX($A$25:$A87,MATCH($A87-30,$A$25:$A87,1))&lt;&gt;0,$A87-INDEX($A$25:$A87,MATCH($A87-30,$A$25:$A87,1))&lt;=33),B87-INDEX($B$25:$B87,MATCH($A87-30,$A$25:$A87,1)),""),"")</f>
        <v/>
      </c>
      <c r="J87" s="40">
        <f>DATE(2026,11,3)-A87</f>
        <v/>
      </c>
      <c r="K87" s="26" t="inlineStr">
        <is>
          <t>17 Feb</t>
        </is>
      </c>
    </row>
    <row r="88">
      <c r="A88" s="41" t="n">
        <v>46071</v>
      </c>
      <c r="B88" s="28" t="n">
        <v>0.49</v>
      </c>
      <c r="C88" s="28" t="n">
        <v>0.225</v>
      </c>
      <c r="D88" s="29">
        <f>IF(COUNT(B88:C88)=2,B88+C88,"")</f>
        <v/>
      </c>
      <c r="E88" s="30">
        <f>IF(ISNUMBER(B88),IFERROR(B88/$D88,""),"")</f>
        <v/>
      </c>
      <c r="F88" s="30">
        <f>IF(ISNUMBER(C88),IFERROR(C88/$D88,""),"")</f>
        <v/>
      </c>
      <c r="G88" s="31">
        <f>IF(COUNT(B88:C88)=2,B88-C88,"")</f>
        <v/>
      </c>
      <c r="H88" s="31">
        <f>IFERROR(IF(AND(ISNUMBER(B88),INDEX($B$25:$B88,MATCH($A88-7,$A$25:$A88,1))&lt;&gt;0,INDEX($A$25:$A88,MATCH($A88-7,$A$25:$A88,1))&lt;&gt;0,$A88-INDEX($A$25:$A88,MATCH($A88-7,$A$25:$A88,1))&lt;=10),B88-INDEX($B$25:$B88,MATCH($A88-7,$A$25:$A88,1)),""),"")</f>
        <v/>
      </c>
      <c r="I88" s="31">
        <f>IFERROR(IF(AND(ISNUMBER(B88),INDEX($B$25:$B88,MATCH($A88-30,$A$25:$A88,1))&lt;&gt;0,INDEX($A$25:$A88,MATCH($A88-30,$A$25:$A88,1))&lt;&gt;0,$A88-INDEX($A$25:$A88,MATCH($A88-30,$A$25:$A88,1))&lt;=33),B88-INDEX($B$25:$B88,MATCH($A88-30,$A$25:$A88,1)),""),"")</f>
        <v/>
      </c>
      <c r="J88" s="42">
        <f>DATE(2026,11,3)-A88</f>
        <v/>
      </c>
      <c r="K88" s="26" t="inlineStr">
        <is>
          <t>18 Feb</t>
        </is>
      </c>
    </row>
    <row r="89">
      <c r="A89" s="39" t="n">
        <v>46072</v>
      </c>
      <c r="B89" s="16" t="n">
        <v>0.51</v>
      </c>
      <c r="C89" s="16" t="n">
        <v>0.325</v>
      </c>
      <c r="D89" s="17">
        <f>IF(COUNT(B89:C89)=2,B89+C89,"")</f>
        <v/>
      </c>
      <c r="E89" s="20">
        <f>IF(ISNUMBER(B89),IFERROR(B89/$D89,""),"")</f>
        <v/>
      </c>
      <c r="F89" s="20">
        <f>IF(ISNUMBER(C89),IFERROR(C89/$D89,""),"")</f>
        <v/>
      </c>
      <c r="G89" s="18">
        <f>IF(COUNT(B89:C89)=2,B89-C89,"")</f>
        <v/>
      </c>
      <c r="H89" s="18">
        <f>IFERROR(IF(AND(ISNUMBER(B89),INDEX($B$25:$B89,MATCH($A89-7,$A$25:$A89,1))&lt;&gt;0,INDEX($A$25:$A89,MATCH($A89-7,$A$25:$A89,1))&lt;&gt;0,$A89-INDEX($A$25:$A89,MATCH($A89-7,$A$25:$A89,1))&lt;=10),B89-INDEX($B$25:$B89,MATCH($A89-7,$A$25:$A89,1)),""),"")</f>
        <v/>
      </c>
      <c r="I89" s="18">
        <f>IFERROR(IF(AND(ISNUMBER(B89),INDEX($B$25:$B89,MATCH($A89-30,$A$25:$A89,1))&lt;&gt;0,INDEX($A$25:$A89,MATCH($A89-30,$A$25:$A89,1))&lt;&gt;0,$A89-INDEX($A$25:$A89,MATCH($A89-30,$A$25:$A89,1))&lt;=33),B89-INDEX($B$25:$B89,MATCH($A89-30,$A$25:$A89,1)),""),"")</f>
        <v/>
      </c>
      <c r="J89" s="40">
        <f>DATE(2026,11,3)-A89</f>
        <v/>
      </c>
      <c r="K89" s="26" t="inlineStr">
        <is>
          <t>19 Feb</t>
        </is>
      </c>
    </row>
    <row r="90">
      <c r="A90" s="41" t="n">
        <v>46073</v>
      </c>
      <c r="B90" s="28" t="n">
        <v>0.695</v>
      </c>
      <c r="C90" s="28" t="n">
        <v>0.285</v>
      </c>
      <c r="D90" s="29">
        <f>IF(COUNT(B90:C90)=2,B90+C90,"")</f>
        <v/>
      </c>
      <c r="E90" s="30">
        <f>IF(ISNUMBER(B90),IFERROR(B90/$D90,""),"")</f>
        <v/>
      </c>
      <c r="F90" s="30">
        <f>IF(ISNUMBER(C90),IFERROR(C90/$D90,""),"")</f>
        <v/>
      </c>
      <c r="G90" s="31">
        <f>IF(COUNT(B90:C90)=2,B90-C90,"")</f>
        <v/>
      </c>
      <c r="H90" s="31">
        <f>IFERROR(IF(AND(ISNUMBER(B90),INDEX($B$25:$B90,MATCH($A90-7,$A$25:$A90,1))&lt;&gt;0,INDEX($A$25:$A90,MATCH($A90-7,$A$25:$A90,1))&lt;&gt;0,$A90-INDEX($A$25:$A90,MATCH($A90-7,$A$25:$A90,1))&lt;=10),B90-INDEX($B$25:$B90,MATCH($A90-7,$A$25:$A90,1)),""),"")</f>
        <v/>
      </c>
      <c r="I90" s="31">
        <f>IFERROR(IF(AND(ISNUMBER(B90),INDEX($B$25:$B90,MATCH($A90-30,$A$25:$A90,1))&lt;&gt;0,INDEX($A$25:$A90,MATCH($A90-30,$A$25:$A90,1))&lt;&gt;0,$A90-INDEX($A$25:$A90,MATCH($A90-30,$A$25:$A90,1))&lt;=33),B90-INDEX($B$25:$B90,MATCH($A90-30,$A$25:$A90,1)),""),"")</f>
        <v/>
      </c>
      <c r="J90" s="42">
        <f>DATE(2026,11,3)-A90</f>
        <v/>
      </c>
      <c r="K90" s="26" t="inlineStr">
        <is>
          <t>20 Feb</t>
        </is>
      </c>
    </row>
    <row r="91">
      <c r="A91" s="39" t="n">
        <v>46074</v>
      </c>
      <c r="B91" s="16" t="n">
        <v>0.66</v>
      </c>
      <c r="C91" s="16" t="n">
        <v>0.3</v>
      </c>
      <c r="D91" s="17">
        <f>IF(COUNT(B91:C91)=2,B91+C91,"")</f>
        <v/>
      </c>
      <c r="E91" s="20">
        <f>IF(ISNUMBER(B91),IFERROR(B91/$D91,""),"")</f>
        <v/>
      </c>
      <c r="F91" s="20">
        <f>IF(ISNUMBER(C91),IFERROR(C91/$D91,""),"")</f>
        <v/>
      </c>
      <c r="G91" s="18">
        <f>IF(COUNT(B91:C91)=2,B91-C91,"")</f>
        <v/>
      </c>
      <c r="H91" s="18">
        <f>IFERROR(IF(AND(ISNUMBER(B91),INDEX($B$25:$B91,MATCH($A91-7,$A$25:$A91,1))&lt;&gt;0,INDEX($A$25:$A91,MATCH($A91-7,$A$25:$A91,1))&lt;&gt;0,$A91-INDEX($A$25:$A91,MATCH($A91-7,$A$25:$A91,1))&lt;=10),B91-INDEX($B$25:$B91,MATCH($A91-7,$A$25:$A91,1)),""),"")</f>
        <v/>
      </c>
      <c r="I91" s="18">
        <f>IFERROR(IF(AND(ISNUMBER(B91),INDEX($B$25:$B91,MATCH($A91-30,$A$25:$A91,1))&lt;&gt;0,INDEX($A$25:$A91,MATCH($A91-30,$A$25:$A91,1))&lt;&gt;0,$A91-INDEX($A$25:$A91,MATCH($A91-30,$A$25:$A91,1))&lt;=33),B91-INDEX($B$25:$B91,MATCH($A91-30,$A$25:$A91,1)),""),"")</f>
        <v/>
      </c>
      <c r="J91" s="40">
        <f>DATE(2026,11,3)-A91</f>
        <v/>
      </c>
      <c r="K91" s="26" t="inlineStr">
        <is>
          <t>21 Feb</t>
        </is>
      </c>
    </row>
    <row r="92">
      <c r="A92" s="41" t="n">
        <v>46075</v>
      </c>
      <c r="B92" s="28" t="n">
        <v>0.525</v>
      </c>
      <c r="C92" s="28" t="n">
        <v>0.525</v>
      </c>
      <c r="D92" s="29">
        <f>IF(COUNT(B92:C92)=2,B92+C92,"")</f>
        <v/>
      </c>
      <c r="E92" s="30">
        <f>IF(ISNUMBER(B92),IFERROR(B92/$D92,""),"")</f>
        <v/>
      </c>
      <c r="F92" s="30">
        <f>IF(ISNUMBER(C92),IFERROR(C92/$D92,""),"")</f>
        <v/>
      </c>
      <c r="G92" s="31">
        <f>IF(COUNT(B92:C92)=2,B92-C92,"")</f>
        <v/>
      </c>
      <c r="H92" s="31">
        <f>IFERROR(IF(AND(ISNUMBER(B92),INDEX($B$25:$B92,MATCH($A92-7,$A$25:$A92,1))&lt;&gt;0,INDEX($A$25:$A92,MATCH($A92-7,$A$25:$A92,1))&lt;&gt;0,$A92-INDEX($A$25:$A92,MATCH($A92-7,$A$25:$A92,1))&lt;=10),B92-INDEX($B$25:$B92,MATCH($A92-7,$A$25:$A92,1)),""),"")</f>
        <v/>
      </c>
      <c r="I92" s="31">
        <f>IFERROR(IF(AND(ISNUMBER(B92),INDEX($B$25:$B92,MATCH($A92-30,$A$25:$A92,1))&lt;&gt;0,INDEX($A$25:$A92,MATCH($A92-30,$A$25:$A92,1))&lt;&gt;0,$A92-INDEX($A$25:$A92,MATCH($A92-30,$A$25:$A92,1))&lt;=33),B92-INDEX($B$25:$B92,MATCH($A92-30,$A$25:$A92,1)),""),"")</f>
        <v/>
      </c>
      <c r="J92" s="42">
        <f>DATE(2026,11,3)-A92</f>
        <v/>
      </c>
      <c r="K92" s="26" t="inlineStr">
        <is>
          <t>22 Feb</t>
        </is>
      </c>
    </row>
    <row r="93">
      <c r="A93" s="39" t="n">
        <v>46076</v>
      </c>
      <c r="B93" s="16" t="n">
        <v>0.72</v>
      </c>
      <c r="C93" s="16" t="n">
        <v>0.24</v>
      </c>
      <c r="D93" s="17">
        <f>IF(COUNT(B93:C93)=2,B93+C93,"")</f>
        <v/>
      </c>
      <c r="E93" s="20">
        <f>IF(ISNUMBER(B93),IFERROR(B93/$D93,""),"")</f>
        <v/>
      </c>
      <c r="F93" s="20">
        <f>IF(ISNUMBER(C93),IFERROR(C93/$D93,""),"")</f>
        <v/>
      </c>
      <c r="G93" s="18">
        <f>IF(COUNT(B93:C93)=2,B93-C93,"")</f>
        <v/>
      </c>
      <c r="H93" s="18">
        <f>IFERROR(IF(AND(ISNUMBER(B93),INDEX($B$25:$B93,MATCH($A93-7,$A$25:$A93,1))&lt;&gt;0,INDEX($A$25:$A93,MATCH($A93-7,$A$25:$A93,1))&lt;&gt;0,$A93-INDEX($A$25:$A93,MATCH($A93-7,$A$25:$A93,1))&lt;=10),B93-INDEX($B$25:$B93,MATCH($A93-7,$A$25:$A93,1)),""),"")</f>
        <v/>
      </c>
      <c r="I93" s="18">
        <f>IFERROR(IF(AND(ISNUMBER(B93),INDEX($B$25:$B93,MATCH($A93-30,$A$25:$A93,1))&lt;&gt;0,INDEX($A$25:$A93,MATCH($A93-30,$A$25:$A93,1))&lt;&gt;0,$A93-INDEX($A$25:$A93,MATCH($A93-30,$A$25:$A93,1))&lt;=33),B93-INDEX($B$25:$B93,MATCH($A93-30,$A$25:$A93,1)),""),"")</f>
        <v/>
      </c>
      <c r="J93" s="40">
        <f>DATE(2026,11,3)-A93</f>
        <v/>
      </c>
      <c r="K93" s="26" t="inlineStr">
        <is>
          <t>23 Feb</t>
        </is>
      </c>
    </row>
    <row r="94">
      <c r="A94" s="41" t="n">
        <v>46077</v>
      </c>
      <c r="B94" s="28" t="n">
        <v>0.64</v>
      </c>
      <c r="C94" s="28" t="n">
        <v>0.34</v>
      </c>
      <c r="D94" s="29">
        <f>IF(COUNT(B94:C94)=2,B94+C94,"")</f>
        <v/>
      </c>
      <c r="E94" s="30">
        <f>IF(ISNUMBER(B94),IFERROR(B94/$D94,""),"")</f>
        <v/>
      </c>
      <c r="F94" s="30">
        <f>IF(ISNUMBER(C94),IFERROR(C94/$D94,""),"")</f>
        <v/>
      </c>
      <c r="G94" s="31">
        <f>IF(COUNT(B94:C94)=2,B94-C94,"")</f>
        <v/>
      </c>
      <c r="H94" s="31">
        <f>IFERROR(IF(AND(ISNUMBER(B94),INDEX($B$25:$B94,MATCH($A94-7,$A$25:$A94,1))&lt;&gt;0,INDEX($A$25:$A94,MATCH($A94-7,$A$25:$A94,1))&lt;&gt;0,$A94-INDEX($A$25:$A94,MATCH($A94-7,$A$25:$A94,1))&lt;=10),B94-INDEX($B$25:$B94,MATCH($A94-7,$A$25:$A94,1)),""),"")</f>
        <v/>
      </c>
      <c r="I94" s="31">
        <f>IFERROR(IF(AND(ISNUMBER(B94),INDEX($B$25:$B94,MATCH($A94-30,$A$25:$A94,1))&lt;&gt;0,INDEX($A$25:$A94,MATCH($A94-30,$A$25:$A94,1))&lt;&gt;0,$A94-INDEX($A$25:$A94,MATCH($A94-30,$A$25:$A94,1))&lt;=33),B94-INDEX($B$25:$B94,MATCH($A94-30,$A$25:$A94,1)),""),"")</f>
        <v/>
      </c>
      <c r="J94" s="42">
        <f>DATE(2026,11,3)-A94</f>
        <v/>
      </c>
      <c r="K94" s="26" t="inlineStr">
        <is>
          <t>24 Feb</t>
        </is>
      </c>
    </row>
    <row r="95">
      <c r="A95" s="39" t="n">
        <v>46078</v>
      </c>
      <c r="B95" s="16" t="n">
        <v>0.48</v>
      </c>
      <c r="C95" s="16" t="n">
        <v>0.27</v>
      </c>
      <c r="D95" s="17">
        <f>IF(COUNT(B95:C95)=2,B95+C95,"")</f>
        <v/>
      </c>
      <c r="E95" s="20">
        <f>IF(ISNUMBER(B95),IFERROR(B95/$D95,""),"")</f>
        <v/>
      </c>
      <c r="F95" s="20">
        <f>IF(ISNUMBER(C95),IFERROR(C95/$D95,""),"")</f>
        <v/>
      </c>
      <c r="G95" s="18">
        <f>IF(COUNT(B95:C95)=2,B95-C95,"")</f>
        <v/>
      </c>
      <c r="H95" s="18">
        <f>IFERROR(IF(AND(ISNUMBER(B95),INDEX($B$25:$B95,MATCH($A95-7,$A$25:$A95,1))&lt;&gt;0,INDEX($A$25:$A95,MATCH($A95-7,$A$25:$A95,1))&lt;&gt;0,$A95-INDEX($A$25:$A95,MATCH($A95-7,$A$25:$A95,1))&lt;=10),B95-INDEX($B$25:$B95,MATCH($A95-7,$A$25:$A95,1)),""),"")</f>
        <v/>
      </c>
      <c r="I95" s="18">
        <f>IFERROR(IF(AND(ISNUMBER(B95),INDEX($B$25:$B95,MATCH($A95-30,$A$25:$A95,1))&lt;&gt;0,INDEX($A$25:$A95,MATCH($A95-30,$A$25:$A95,1))&lt;&gt;0,$A95-INDEX($A$25:$A95,MATCH($A95-30,$A$25:$A95,1))&lt;=33),B95-INDEX($B$25:$B95,MATCH($A95-30,$A$25:$A95,1)),""),"")</f>
        <v/>
      </c>
      <c r="J95" s="40">
        <f>DATE(2026,11,3)-A95</f>
        <v/>
      </c>
      <c r="K95" s="26" t="inlineStr">
        <is>
          <t>25 Feb</t>
        </is>
      </c>
    </row>
    <row r="96">
      <c r="A96" s="41" t="n">
        <v>46079</v>
      </c>
      <c r="B96" s="28" t="n">
        <v>0.535</v>
      </c>
      <c r="C96" s="28" t="n">
        <v>0.48</v>
      </c>
      <c r="D96" s="29">
        <f>IF(COUNT(B96:C96)=2,B96+C96,"")</f>
        <v/>
      </c>
      <c r="E96" s="30">
        <f>IF(ISNUMBER(B96),IFERROR(B96/$D96,""),"")</f>
        <v/>
      </c>
      <c r="F96" s="30">
        <f>IF(ISNUMBER(C96),IFERROR(C96/$D96,""),"")</f>
        <v/>
      </c>
      <c r="G96" s="31">
        <f>IF(COUNT(B96:C96)=2,B96-C96,"")</f>
        <v/>
      </c>
      <c r="H96" s="31">
        <f>IFERROR(IF(AND(ISNUMBER(B96),INDEX($B$25:$B96,MATCH($A96-7,$A$25:$A96,1))&lt;&gt;0,INDEX($A$25:$A96,MATCH($A96-7,$A$25:$A96,1))&lt;&gt;0,$A96-INDEX($A$25:$A96,MATCH($A96-7,$A$25:$A96,1))&lt;=10),B96-INDEX($B$25:$B96,MATCH($A96-7,$A$25:$A96,1)),""),"")</f>
        <v/>
      </c>
      <c r="I96" s="31">
        <f>IFERROR(IF(AND(ISNUMBER(B96),INDEX($B$25:$B96,MATCH($A96-30,$A$25:$A96,1))&lt;&gt;0,INDEX($A$25:$A96,MATCH($A96-30,$A$25:$A96,1))&lt;&gt;0,$A96-INDEX($A$25:$A96,MATCH($A96-30,$A$25:$A96,1))&lt;=33),B96-INDEX($B$25:$B96,MATCH($A96-30,$A$25:$A96,1)),""),"")</f>
        <v/>
      </c>
      <c r="J96" s="42">
        <f>DATE(2026,11,3)-A96</f>
        <v/>
      </c>
      <c r="K96" s="26" t="inlineStr">
        <is>
          <t>26 Feb</t>
        </is>
      </c>
    </row>
    <row r="97">
      <c r="A97" s="39" t="n">
        <v>46080</v>
      </c>
      <c r="B97" s="16" t="n">
        <v>0.655</v>
      </c>
      <c r="C97" s="16" t="n">
        <v>0.345</v>
      </c>
      <c r="D97" s="17">
        <f>IF(COUNT(B97:C97)=2,B97+C97,"")</f>
        <v/>
      </c>
      <c r="E97" s="20">
        <f>IF(ISNUMBER(B97),IFERROR(B97/$D97,""),"")</f>
        <v/>
      </c>
      <c r="F97" s="20">
        <f>IF(ISNUMBER(C97),IFERROR(C97/$D97,""),"")</f>
        <v/>
      </c>
      <c r="G97" s="18">
        <f>IF(COUNT(B97:C97)=2,B97-C97,"")</f>
        <v/>
      </c>
      <c r="H97" s="18">
        <f>IFERROR(IF(AND(ISNUMBER(B97),INDEX($B$25:$B97,MATCH($A97-7,$A$25:$A97,1))&lt;&gt;0,INDEX($A$25:$A97,MATCH($A97-7,$A$25:$A97,1))&lt;&gt;0,$A97-INDEX($A$25:$A97,MATCH($A97-7,$A$25:$A97,1))&lt;=10),B97-INDEX($B$25:$B97,MATCH($A97-7,$A$25:$A97,1)),""),"")</f>
        <v/>
      </c>
      <c r="I97" s="18">
        <f>IFERROR(IF(AND(ISNUMBER(B97),INDEX($B$25:$B97,MATCH($A97-30,$A$25:$A97,1))&lt;&gt;0,INDEX($A$25:$A97,MATCH($A97-30,$A$25:$A97,1))&lt;&gt;0,$A97-INDEX($A$25:$A97,MATCH($A97-30,$A$25:$A97,1))&lt;=33),B97-INDEX($B$25:$B97,MATCH($A97-30,$A$25:$A97,1)),""),"")</f>
        <v/>
      </c>
      <c r="J97" s="40">
        <f>DATE(2026,11,3)-A97</f>
        <v/>
      </c>
      <c r="K97" s="26" t="inlineStr">
        <is>
          <t>27 Feb</t>
        </is>
      </c>
    </row>
    <row r="98">
      <c r="A98" s="41" t="n">
        <v>46081</v>
      </c>
      <c r="B98" s="28" t="n">
        <v>0.6850000000000001</v>
      </c>
      <c r="C98" s="28" t="n">
        <v>0.28</v>
      </c>
      <c r="D98" s="29">
        <f>IF(COUNT(B98:C98)=2,B98+C98,"")</f>
        <v/>
      </c>
      <c r="E98" s="30">
        <f>IF(ISNUMBER(B98),IFERROR(B98/$D98,""),"")</f>
        <v/>
      </c>
      <c r="F98" s="30">
        <f>IF(ISNUMBER(C98),IFERROR(C98/$D98,""),"")</f>
        <v/>
      </c>
      <c r="G98" s="31">
        <f>IF(COUNT(B98:C98)=2,B98-C98,"")</f>
        <v/>
      </c>
      <c r="H98" s="31">
        <f>IFERROR(IF(AND(ISNUMBER(B98),INDEX($B$25:$B98,MATCH($A98-7,$A$25:$A98,1))&lt;&gt;0,INDEX($A$25:$A98,MATCH($A98-7,$A$25:$A98,1))&lt;&gt;0,$A98-INDEX($A$25:$A98,MATCH($A98-7,$A$25:$A98,1))&lt;=10),B98-INDEX($B$25:$B98,MATCH($A98-7,$A$25:$A98,1)),""),"")</f>
        <v/>
      </c>
      <c r="I98" s="31">
        <f>IFERROR(IF(AND(ISNUMBER(B98),INDEX($B$25:$B98,MATCH($A98-30,$A$25:$A98,1))&lt;&gt;0,INDEX($A$25:$A98,MATCH($A98-30,$A$25:$A98,1))&lt;&gt;0,$A98-INDEX($A$25:$A98,MATCH($A98-30,$A$25:$A98,1))&lt;=33),B98-INDEX($B$25:$B98,MATCH($A98-30,$A$25:$A98,1)),""),"")</f>
        <v/>
      </c>
      <c r="J98" s="42">
        <f>DATE(2026,11,3)-A98</f>
        <v/>
      </c>
      <c r="K98" s="26" t="inlineStr">
        <is>
          <t>28 Feb</t>
        </is>
      </c>
    </row>
    <row r="99">
      <c r="A99" s="39" t="n">
        <v>46082</v>
      </c>
      <c r="B99" s="16" t="n">
        <v>0.68</v>
      </c>
      <c r="C99" s="16" t="n">
        <v>0.5</v>
      </c>
      <c r="D99" s="17">
        <f>IF(COUNT(B99:C99)=2,B99+C99,"")</f>
        <v/>
      </c>
      <c r="E99" s="20">
        <f>IF(ISNUMBER(B99),IFERROR(B99/$D99,""),"")</f>
        <v/>
      </c>
      <c r="F99" s="20">
        <f>IF(ISNUMBER(C99),IFERROR(C99/$D99,""),"")</f>
        <v/>
      </c>
      <c r="G99" s="18">
        <f>IF(COUNT(B99:C99)=2,B99-C99,"")</f>
        <v/>
      </c>
      <c r="H99" s="18">
        <f>IFERROR(IF(AND(ISNUMBER(B99),INDEX($B$25:$B99,MATCH($A99-7,$A$25:$A99,1))&lt;&gt;0,INDEX($A$25:$A99,MATCH($A99-7,$A$25:$A99,1))&lt;&gt;0,$A99-INDEX($A$25:$A99,MATCH($A99-7,$A$25:$A99,1))&lt;=10),B99-INDEX($B$25:$B99,MATCH($A99-7,$A$25:$A99,1)),""),"")</f>
        <v/>
      </c>
      <c r="I99" s="18">
        <f>IFERROR(IF(AND(ISNUMBER(B99),INDEX($B$25:$B99,MATCH($A99-30,$A$25:$A99,1))&lt;&gt;0,INDEX($A$25:$A99,MATCH($A99-30,$A$25:$A99,1))&lt;&gt;0,$A99-INDEX($A$25:$A99,MATCH($A99-30,$A$25:$A99,1))&lt;=33),B99-INDEX($B$25:$B99,MATCH($A99-30,$A$25:$A99,1)),""),"")</f>
        <v/>
      </c>
      <c r="J99" s="40">
        <f>DATE(2026,11,3)-A99</f>
        <v/>
      </c>
      <c r="K99" s="26" t="inlineStr">
        <is>
          <t>01 Mar</t>
        </is>
      </c>
    </row>
    <row r="100">
      <c r="A100" s="41" t="n">
        <v>46083</v>
      </c>
      <c r="B100" s="28" t="n">
        <v>0.645</v>
      </c>
      <c r="C100" s="28" t="n">
        <v>0.28</v>
      </c>
      <c r="D100" s="29">
        <f>IF(COUNT(B100:C100)=2,B100+C100,"")</f>
        <v/>
      </c>
      <c r="E100" s="30">
        <f>IF(ISNUMBER(B100),IFERROR(B100/$D100,""),"")</f>
        <v/>
      </c>
      <c r="F100" s="30">
        <f>IF(ISNUMBER(C100),IFERROR(C100/$D100,""),"")</f>
        <v/>
      </c>
      <c r="G100" s="31">
        <f>IF(COUNT(B100:C100)=2,B100-C100,"")</f>
        <v/>
      </c>
      <c r="H100" s="31">
        <f>IFERROR(IF(AND(ISNUMBER(B100),INDEX($B$25:$B100,MATCH($A100-7,$A$25:$A100,1))&lt;&gt;0,INDEX($A$25:$A100,MATCH($A100-7,$A$25:$A100,1))&lt;&gt;0,$A100-INDEX($A$25:$A100,MATCH($A100-7,$A$25:$A100,1))&lt;=10),B100-INDEX($B$25:$B100,MATCH($A100-7,$A$25:$A100,1)),""),"")</f>
        <v/>
      </c>
      <c r="I100" s="31">
        <f>IFERROR(IF(AND(ISNUMBER(B100),INDEX($B$25:$B100,MATCH($A100-30,$A$25:$A100,1))&lt;&gt;0,INDEX($A$25:$A100,MATCH($A100-30,$A$25:$A100,1))&lt;&gt;0,$A100-INDEX($A$25:$A100,MATCH($A100-30,$A$25:$A100,1))&lt;=33),B100-INDEX($B$25:$B100,MATCH($A100-30,$A$25:$A100,1)),""),"")</f>
        <v/>
      </c>
      <c r="J100" s="42">
        <f>DATE(2026,11,3)-A100</f>
        <v/>
      </c>
      <c r="K100" s="26" t="inlineStr">
        <is>
          <t>02 Mar</t>
        </is>
      </c>
    </row>
    <row r="101">
      <c r="A101" s="39" t="n">
        <v>46084</v>
      </c>
      <c r="B101" s="16" t="n">
        <v>0.71</v>
      </c>
      <c r="C101" s="16" t="n">
        <v>0.28</v>
      </c>
      <c r="D101" s="17">
        <f>IF(COUNT(B101:C101)=2,B101+C101,"")</f>
        <v/>
      </c>
      <c r="E101" s="20">
        <f>IF(ISNUMBER(B101),IFERROR(B101/$D101,""),"")</f>
        <v/>
      </c>
      <c r="F101" s="20">
        <f>IF(ISNUMBER(C101),IFERROR(C101/$D101,""),"")</f>
        <v/>
      </c>
      <c r="G101" s="18">
        <f>IF(COUNT(B101:C101)=2,B101-C101,"")</f>
        <v/>
      </c>
      <c r="H101" s="18">
        <f>IFERROR(IF(AND(ISNUMBER(B101),INDEX($B$25:$B101,MATCH($A101-7,$A$25:$A101,1))&lt;&gt;0,INDEX($A$25:$A101,MATCH($A101-7,$A$25:$A101,1))&lt;&gt;0,$A101-INDEX($A$25:$A101,MATCH($A101-7,$A$25:$A101,1))&lt;=10),B101-INDEX($B$25:$B101,MATCH($A101-7,$A$25:$A101,1)),""),"")</f>
        <v/>
      </c>
      <c r="I101" s="18">
        <f>IFERROR(IF(AND(ISNUMBER(B101),INDEX($B$25:$B101,MATCH($A101-30,$A$25:$A101,1))&lt;&gt;0,INDEX($A$25:$A101,MATCH($A101-30,$A$25:$A101,1))&lt;&gt;0,$A101-INDEX($A$25:$A101,MATCH($A101-30,$A$25:$A101,1))&lt;=33),B101-INDEX($B$25:$B101,MATCH($A101-30,$A$25:$A101,1)),""),"")</f>
        <v/>
      </c>
      <c r="J101" s="40">
        <f>DATE(2026,11,3)-A101</f>
        <v/>
      </c>
      <c r="K101" s="26" t="inlineStr">
        <is>
          <t>03 Mar</t>
        </is>
      </c>
    </row>
    <row r="102">
      <c r="A102" s="41" t="n">
        <v>46085</v>
      </c>
      <c r="B102" s="28" t="n">
        <v>0.725</v>
      </c>
      <c r="C102" s="28" t="n">
        <v>0.28</v>
      </c>
      <c r="D102" s="29">
        <f>IF(COUNT(B102:C102)=2,B102+C102,"")</f>
        <v/>
      </c>
      <c r="E102" s="30">
        <f>IF(ISNUMBER(B102),IFERROR(B102/$D102,""),"")</f>
        <v/>
      </c>
      <c r="F102" s="30">
        <f>IF(ISNUMBER(C102),IFERROR(C102/$D102,""),"")</f>
        <v/>
      </c>
      <c r="G102" s="31">
        <f>IF(COUNT(B102:C102)=2,B102-C102,"")</f>
        <v/>
      </c>
      <c r="H102" s="31">
        <f>IFERROR(IF(AND(ISNUMBER(B102),INDEX($B$25:$B102,MATCH($A102-7,$A$25:$A102,1))&lt;&gt;0,INDEX($A$25:$A102,MATCH($A102-7,$A$25:$A102,1))&lt;&gt;0,$A102-INDEX($A$25:$A102,MATCH($A102-7,$A$25:$A102,1))&lt;=10),B102-INDEX($B$25:$B102,MATCH($A102-7,$A$25:$A102,1)),""),"")</f>
        <v/>
      </c>
      <c r="I102" s="31">
        <f>IFERROR(IF(AND(ISNUMBER(B102),INDEX($B$25:$B102,MATCH($A102-30,$A$25:$A102,1))&lt;&gt;0,INDEX($A$25:$A102,MATCH($A102-30,$A$25:$A102,1))&lt;&gt;0,$A102-INDEX($A$25:$A102,MATCH($A102-30,$A$25:$A102,1))&lt;=33),B102-INDEX($B$25:$B102,MATCH($A102-30,$A$25:$A102,1)),""),"")</f>
        <v/>
      </c>
      <c r="J102" s="42">
        <f>DATE(2026,11,3)-A102</f>
        <v/>
      </c>
      <c r="K102" s="26" t="inlineStr">
        <is>
          <t>04 Mar</t>
        </is>
      </c>
    </row>
    <row r="103">
      <c r="A103" s="39" t="n">
        <v>46086</v>
      </c>
      <c r="B103" s="16" t="n">
        <v>0.72</v>
      </c>
      <c r="C103" s="16" t="n">
        <v>0.275</v>
      </c>
      <c r="D103" s="17">
        <f>IF(COUNT(B103:C103)=2,B103+C103,"")</f>
        <v/>
      </c>
      <c r="E103" s="20">
        <f>IF(ISNUMBER(B103),IFERROR(B103/$D103,""),"")</f>
        <v/>
      </c>
      <c r="F103" s="20">
        <f>IF(ISNUMBER(C103),IFERROR(C103/$D103,""),"")</f>
        <v/>
      </c>
      <c r="G103" s="18">
        <f>IF(COUNT(B103:C103)=2,B103-C103,"")</f>
        <v/>
      </c>
      <c r="H103" s="18">
        <f>IFERROR(IF(AND(ISNUMBER(B103),INDEX($B$25:$B103,MATCH($A103-7,$A$25:$A103,1))&lt;&gt;0,INDEX($A$25:$A103,MATCH($A103-7,$A$25:$A103,1))&lt;&gt;0,$A103-INDEX($A$25:$A103,MATCH($A103-7,$A$25:$A103,1))&lt;=10),B103-INDEX($B$25:$B103,MATCH($A103-7,$A$25:$A103,1)),""),"")</f>
        <v/>
      </c>
      <c r="I103" s="18">
        <f>IFERROR(IF(AND(ISNUMBER(B103),INDEX($B$25:$B103,MATCH($A103-30,$A$25:$A103,1))&lt;&gt;0,INDEX($A$25:$A103,MATCH($A103-30,$A$25:$A103,1))&lt;&gt;0,$A103-INDEX($A$25:$A103,MATCH($A103-30,$A$25:$A103,1))&lt;=33),B103-INDEX($B$25:$B103,MATCH($A103-30,$A$25:$A103,1)),""),"")</f>
        <v/>
      </c>
      <c r="J103" s="40">
        <f>DATE(2026,11,3)-A103</f>
        <v/>
      </c>
      <c r="K103" s="26" t="inlineStr">
        <is>
          <t>05 Mar</t>
        </is>
      </c>
    </row>
    <row r="104">
      <c r="A104" s="41" t="n">
        <v>46087</v>
      </c>
      <c r="B104" s="28" t="n">
        <v>0.725</v>
      </c>
      <c r="C104" s="28" t="n">
        <v>0.28</v>
      </c>
      <c r="D104" s="29">
        <f>IF(COUNT(B104:C104)=2,B104+C104,"")</f>
        <v/>
      </c>
      <c r="E104" s="30">
        <f>IF(ISNUMBER(B104),IFERROR(B104/$D104,""),"")</f>
        <v/>
      </c>
      <c r="F104" s="30">
        <f>IF(ISNUMBER(C104),IFERROR(C104/$D104,""),"")</f>
        <v/>
      </c>
      <c r="G104" s="31">
        <f>IF(COUNT(B104:C104)=2,B104-C104,"")</f>
        <v/>
      </c>
      <c r="H104" s="31">
        <f>IFERROR(IF(AND(ISNUMBER(B104),INDEX($B$25:$B104,MATCH($A104-7,$A$25:$A104,1))&lt;&gt;0,INDEX($A$25:$A104,MATCH($A104-7,$A$25:$A104,1))&lt;&gt;0,$A104-INDEX($A$25:$A104,MATCH($A104-7,$A$25:$A104,1))&lt;=10),B104-INDEX($B$25:$B104,MATCH($A104-7,$A$25:$A104,1)),""),"")</f>
        <v/>
      </c>
      <c r="I104" s="31">
        <f>IFERROR(IF(AND(ISNUMBER(B104),INDEX($B$25:$B104,MATCH($A104-30,$A$25:$A104,1))&lt;&gt;0,INDEX($A$25:$A104,MATCH($A104-30,$A$25:$A104,1))&lt;&gt;0,$A104-INDEX($A$25:$A104,MATCH($A104-30,$A$25:$A104,1))&lt;=33),B104-INDEX($B$25:$B104,MATCH($A104-30,$A$25:$A104,1)),""),"")</f>
        <v/>
      </c>
      <c r="J104" s="42">
        <f>DATE(2026,11,3)-A104</f>
        <v/>
      </c>
      <c r="K104" s="26" t="inlineStr">
        <is>
          <t>06 Mar</t>
        </is>
      </c>
    </row>
    <row r="105">
      <c r="A105" s="39" t="n">
        <v>46088</v>
      </c>
      <c r="B105" s="16" t="n">
        <v>0.73</v>
      </c>
      <c r="C105" s="16" t="n">
        <v>0.27</v>
      </c>
      <c r="D105" s="17">
        <f>IF(COUNT(B105:C105)=2,B105+C105,"")</f>
        <v/>
      </c>
      <c r="E105" s="20">
        <f>IF(ISNUMBER(B105),IFERROR(B105/$D105,""),"")</f>
        <v/>
      </c>
      <c r="F105" s="20">
        <f>IF(ISNUMBER(C105),IFERROR(C105/$D105,""),"")</f>
        <v/>
      </c>
      <c r="G105" s="18">
        <f>IF(COUNT(B105:C105)=2,B105-C105,"")</f>
        <v/>
      </c>
      <c r="H105" s="18">
        <f>IFERROR(IF(AND(ISNUMBER(B105),INDEX($B$25:$B105,MATCH($A105-7,$A$25:$A105,1))&lt;&gt;0,INDEX($A$25:$A105,MATCH($A105-7,$A$25:$A105,1))&lt;&gt;0,$A105-INDEX($A$25:$A105,MATCH($A105-7,$A$25:$A105,1))&lt;=10),B105-INDEX($B$25:$B105,MATCH($A105-7,$A$25:$A105,1)),""),"")</f>
        <v/>
      </c>
      <c r="I105" s="18">
        <f>IFERROR(IF(AND(ISNUMBER(B105),INDEX($B$25:$B105,MATCH($A105-30,$A$25:$A105,1))&lt;&gt;0,INDEX($A$25:$A105,MATCH($A105-30,$A$25:$A105,1))&lt;&gt;0,$A105-INDEX($A$25:$A105,MATCH($A105-30,$A$25:$A105,1))&lt;=33),B105-INDEX($B$25:$B105,MATCH($A105-30,$A$25:$A105,1)),""),"")</f>
        <v/>
      </c>
      <c r="J105" s="40">
        <f>DATE(2026,11,3)-A105</f>
        <v/>
      </c>
      <c r="K105" s="26" t="inlineStr">
        <is>
          <t>07 Mar</t>
        </is>
      </c>
    </row>
    <row r="106">
      <c r="A106" s="41" t="n">
        <v>46089</v>
      </c>
      <c r="B106" s="28" t="n">
        <v>0.725</v>
      </c>
      <c r="C106" s="28" t="n">
        <v>0.305</v>
      </c>
      <c r="D106" s="29">
        <f>IF(COUNT(B106:C106)=2,B106+C106,"")</f>
        <v/>
      </c>
      <c r="E106" s="30">
        <f>IF(ISNUMBER(B106),IFERROR(B106/$D106,""),"")</f>
        <v/>
      </c>
      <c r="F106" s="30">
        <f>IF(ISNUMBER(C106),IFERROR(C106/$D106,""),"")</f>
        <v/>
      </c>
      <c r="G106" s="31">
        <f>IF(COUNT(B106:C106)=2,B106-C106,"")</f>
        <v/>
      </c>
      <c r="H106" s="31">
        <f>IFERROR(IF(AND(ISNUMBER(B106),INDEX($B$25:$B106,MATCH($A106-7,$A$25:$A106,1))&lt;&gt;0,INDEX($A$25:$A106,MATCH($A106-7,$A$25:$A106,1))&lt;&gt;0,$A106-INDEX($A$25:$A106,MATCH($A106-7,$A$25:$A106,1))&lt;=10),B106-INDEX($B$25:$B106,MATCH($A106-7,$A$25:$A106,1)),""),"")</f>
        <v/>
      </c>
      <c r="I106" s="31">
        <f>IFERROR(IF(AND(ISNUMBER(B106),INDEX($B$25:$B106,MATCH($A106-30,$A$25:$A106,1))&lt;&gt;0,INDEX($A$25:$A106,MATCH($A106-30,$A$25:$A106,1))&lt;&gt;0,$A106-INDEX($A$25:$A106,MATCH($A106-30,$A$25:$A106,1))&lt;=33),B106-INDEX($B$25:$B106,MATCH($A106-30,$A$25:$A106,1)),""),"")</f>
        <v/>
      </c>
      <c r="J106" s="42">
        <f>DATE(2026,11,3)-A106</f>
        <v/>
      </c>
      <c r="K106" s="26" t="inlineStr">
        <is>
          <t>08 Mar</t>
        </is>
      </c>
    </row>
    <row r="107">
      <c r="A107" s="39" t="n">
        <v>46090</v>
      </c>
      <c r="B107" s="16" t="n">
        <v>0.725</v>
      </c>
      <c r="C107" s="16" t="n">
        <v>0.305</v>
      </c>
      <c r="D107" s="17">
        <f>IF(COUNT(B107:C107)=2,B107+C107,"")</f>
        <v/>
      </c>
      <c r="E107" s="20">
        <f>IF(ISNUMBER(B107),IFERROR(B107/$D107,""),"")</f>
        <v/>
      </c>
      <c r="F107" s="20">
        <f>IF(ISNUMBER(C107),IFERROR(C107/$D107,""),"")</f>
        <v/>
      </c>
      <c r="G107" s="18">
        <f>IF(COUNT(B107:C107)=2,B107-C107,"")</f>
        <v/>
      </c>
      <c r="H107" s="18">
        <f>IFERROR(IF(AND(ISNUMBER(B107),INDEX($B$25:$B107,MATCH($A107-7,$A$25:$A107,1))&lt;&gt;0,INDEX($A$25:$A107,MATCH($A107-7,$A$25:$A107,1))&lt;&gt;0,$A107-INDEX($A$25:$A107,MATCH($A107-7,$A$25:$A107,1))&lt;=10),B107-INDEX($B$25:$B107,MATCH($A107-7,$A$25:$A107,1)),""),"")</f>
        <v/>
      </c>
      <c r="I107" s="18">
        <f>IFERROR(IF(AND(ISNUMBER(B107),INDEX($B$25:$B107,MATCH($A107-30,$A$25:$A107,1))&lt;&gt;0,INDEX($A$25:$A107,MATCH($A107-30,$A$25:$A107,1))&lt;&gt;0,$A107-INDEX($A$25:$A107,MATCH($A107-30,$A$25:$A107,1))&lt;=33),B107-INDEX($B$25:$B107,MATCH($A107-30,$A$25:$A107,1)),""),"")</f>
        <v/>
      </c>
      <c r="J107" s="40">
        <f>DATE(2026,11,3)-A107</f>
        <v/>
      </c>
      <c r="K107" s="26" t="inlineStr">
        <is>
          <t>09 Mar</t>
        </is>
      </c>
    </row>
    <row r="108">
      <c r="A108" s="41" t="n">
        <v>46091</v>
      </c>
      <c r="B108" s="28" t="n">
        <v>0.725</v>
      </c>
      <c r="C108" s="28" t="n">
        <v>0.285</v>
      </c>
      <c r="D108" s="29">
        <f>IF(COUNT(B108:C108)=2,B108+C108,"")</f>
        <v/>
      </c>
      <c r="E108" s="30">
        <f>IF(ISNUMBER(B108),IFERROR(B108/$D108,""),"")</f>
        <v/>
      </c>
      <c r="F108" s="30">
        <f>IF(ISNUMBER(C108),IFERROR(C108/$D108,""),"")</f>
        <v/>
      </c>
      <c r="G108" s="31">
        <f>IF(COUNT(B108:C108)=2,B108-C108,"")</f>
        <v/>
      </c>
      <c r="H108" s="31">
        <f>IFERROR(IF(AND(ISNUMBER(B108),INDEX($B$25:$B108,MATCH($A108-7,$A$25:$A108,1))&lt;&gt;0,INDEX($A$25:$A108,MATCH($A108-7,$A$25:$A108,1))&lt;&gt;0,$A108-INDEX($A$25:$A108,MATCH($A108-7,$A$25:$A108,1))&lt;=10),B108-INDEX($B$25:$B108,MATCH($A108-7,$A$25:$A108,1)),""),"")</f>
        <v/>
      </c>
      <c r="I108" s="31">
        <f>IFERROR(IF(AND(ISNUMBER(B108),INDEX($B$25:$B108,MATCH($A108-30,$A$25:$A108,1))&lt;&gt;0,INDEX($A$25:$A108,MATCH($A108-30,$A$25:$A108,1))&lt;&gt;0,$A108-INDEX($A$25:$A108,MATCH($A108-30,$A$25:$A108,1))&lt;=33),B108-INDEX($B$25:$B108,MATCH($A108-30,$A$25:$A108,1)),""),"")</f>
        <v/>
      </c>
      <c r="J108" s="42">
        <f>DATE(2026,11,3)-A108</f>
        <v/>
      </c>
      <c r="K108" s="26" t="inlineStr">
        <is>
          <t>10 Mar</t>
        </is>
      </c>
    </row>
    <row r="109">
      <c r="A109" s="39" t="n">
        <v>46092</v>
      </c>
      <c r="B109" s="16" t="n">
        <v>0.72</v>
      </c>
      <c r="C109" s="16" t="n">
        <v>0.32</v>
      </c>
      <c r="D109" s="17">
        <f>IF(COUNT(B109:C109)=2,B109+C109,"")</f>
        <v/>
      </c>
      <c r="E109" s="20">
        <f>IF(ISNUMBER(B109),IFERROR(B109/$D109,""),"")</f>
        <v/>
      </c>
      <c r="F109" s="20">
        <f>IF(ISNUMBER(C109),IFERROR(C109/$D109,""),"")</f>
        <v/>
      </c>
      <c r="G109" s="18">
        <f>IF(COUNT(B109:C109)=2,B109-C109,"")</f>
        <v/>
      </c>
      <c r="H109" s="18">
        <f>IFERROR(IF(AND(ISNUMBER(B109),INDEX($B$25:$B109,MATCH($A109-7,$A$25:$A109,1))&lt;&gt;0,INDEX($A$25:$A109,MATCH($A109-7,$A$25:$A109,1))&lt;&gt;0,$A109-INDEX($A$25:$A109,MATCH($A109-7,$A$25:$A109,1))&lt;=10),B109-INDEX($B$25:$B109,MATCH($A109-7,$A$25:$A109,1)),""),"")</f>
        <v/>
      </c>
      <c r="I109" s="18">
        <f>IFERROR(IF(AND(ISNUMBER(B109),INDEX($B$25:$B109,MATCH($A109-30,$A$25:$A109,1))&lt;&gt;0,INDEX($A$25:$A109,MATCH($A109-30,$A$25:$A109,1))&lt;&gt;0,$A109-INDEX($A$25:$A109,MATCH($A109-30,$A$25:$A109,1))&lt;=33),B109-INDEX($B$25:$B109,MATCH($A109-30,$A$25:$A109,1)),""),"")</f>
        <v/>
      </c>
      <c r="J109" s="40">
        <f>DATE(2026,11,3)-A109</f>
        <v/>
      </c>
      <c r="K109" s="26" t="inlineStr">
        <is>
          <t>11 Mar</t>
        </is>
      </c>
    </row>
    <row r="110">
      <c r="A110" s="41" t="n">
        <v>46093</v>
      </c>
      <c r="B110" s="28" t="n">
        <v>0.72</v>
      </c>
      <c r="C110" s="28" t="n">
        <v>0.29</v>
      </c>
      <c r="D110" s="29">
        <f>IF(COUNT(B110:C110)=2,B110+C110,"")</f>
        <v/>
      </c>
      <c r="E110" s="30">
        <f>IF(ISNUMBER(B110),IFERROR(B110/$D110,""),"")</f>
        <v/>
      </c>
      <c r="F110" s="30">
        <f>IF(ISNUMBER(C110),IFERROR(C110/$D110,""),"")</f>
        <v/>
      </c>
      <c r="G110" s="31">
        <f>IF(COUNT(B110:C110)=2,B110-C110,"")</f>
        <v/>
      </c>
      <c r="H110" s="31">
        <f>IFERROR(IF(AND(ISNUMBER(B110),INDEX($B$25:$B110,MATCH($A110-7,$A$25:$A110,1))&lt;&gt;0,INDEX($A$25:$A110,MATCH($A110-7,$A$25:$A110,1))&lt;&gt;0,$A110-INDEX($A$25:$A110,MATCH($A110-7,$A$25:$A110,1))&lt;=10),B110-INDEX($B$25:$B110,MATCH($A110-7,$A$25:$A110,1)),""),"")</f>
        <v/>
      </c>
      <c r="I110" s="31">
        <f>IFERROR(IF(AND(ISNUMBER(B110),INDEX($B$25:$B110,MATCH($A110-30,$A$25:$A110,1))&lt;&gt;0,INDEX($A$25:$A110,MATCH($A110-30,$A$25:$A110,1))&lt;&gt;0,$A110-INDEX($A$25:$A110,MATCH($A110-30,$A$25:$A110,1))&lt;=33),B110-INDEX($B$25:$B110,MATCH($A110-30,$A$25:$A110,1)),""),"")</f>
        <v/>
      </c>
      <c r="J110" s="42">
        <f>DATE(2026,11,3)-A110</f>
        <v/>
      </c>
      <c r="K110" s="26" t="inlineStr">
        <is>
          <t>12 Mar</t>
        </is>
      </c>
    </row>
    <row r="111">
      <c r="A111" s="39" t="n">
        <v>46094</v>
      </c>
      <c r="B111" s="16" t="n">
        <v>0.725</v>
      </c>
      <c r="C111" s="16" t="n">
        <v>0.335</v>
      </c>
      <c r="D111" s="17">
        <f>IF(COUNT(B111:C111)=2,B111+C111,"")</f>
        <v/>
      </c>
      <c r="E111" s="20">
        <f>IF(ISNUMBER(B111),IFERROR(B111/$D111,""),"")</f>
        <v/>
      </c>
      <c r="F111" s="20">
        <f>IF(ISNUMBER(C111),IFERROR(C111/$D111,""),"")</f>
        <v/>
      </c>
      <c r="G111" s="18">
        <f>IF(COUNT(B111:C111)=2,B111-C111,"")</f>
        <v/>
      </c>
      <c r="H111" s="18">
        <f>IFERROR(IF(AND(ISNUMBER(B111),INDEX($B$25:$B111,MATCH($A111-7,$A$25:$A111,1))&lt;&gt;0,INDEX($A$25:$A111,MATCH($A111-7,$A$25:$A111,1))&lt;&gt;0,$A111-INDEX($A$25:$A111,MATCH($A111-7,$A$25:$A111,1))&lt;=10),B111-INDEX($B$25:$B111,MATCH($A111-7,$A$25:$A111,1)),""),"")</f>
        <v/>
      </c>
      <c r="I111" s="18">
        <f>IFERROR(IF(AND(ISNUMBER(B111),INDEX($B$25:$B111,MATCH($A111-30,$A$25:$A111,1))&lt;&gt;0,INDEX($A$25:$A111,MATCH($A111-30,$A$25:$A111,1))&lt;&gt;0,$A111-INDEX($A$25:$A111,MATCH($A111-30,$A$25:$A111,1))&lt;=33),B111-INDEX($B$25:$B111,MATCH($A111-30,$A$25:$A111,1)),""),"")</f>
        <v/>
      </c>
      <c r="J111" s="40">
        <f>DATE(2026,11,3)-A111</f>
        <v/>
      </c>
      <c r="K111" s="26" t="inlineStr">
        <is>
          <t>13 Mar</t>
        </is>
      </c>
    </row>
    <row r="112">
      <c r="A112" s="41" t="n">
        <v>46095</v>
      </c>
      <c r="B112" s="28" t="n">
        <v>0.695</v>
      </c>
      <c r="C112" s="28" t="n">
        <v>0.425</v>
      </c>
      <c r="D112" s="29">
        <f>IF(COUNT(B112:C112)=2,B112+C112,"")</f>
        <v/>
      </c>
      <c r="E112" s="30">
        <f>IF(ISNUMBER(B112),IFERROR(B112/$D112,""),"")</f>
        <v/>
      </c>
      <c r="F112" s="30">
        <f>IF(ISNUMBER(C112),IFERROR(C112/$D112,""),"")</f>
        <v/>
      </c>
      <c r="G112" s="31">
        <f>IF(COUNT(B112:C112)=2,B112-C112,"")</f>
        <v/>
      </c>
      <c r="H112" s="31">
        <f>IFERROR(IF(AND(ISNUMBER(B112),INDEX($B$25:$B112,MATCH($A112-7,$A$25:$A112,1))&lt;&gt;0,INDEX($A$25:$A112,MATCH($A112-7,$A$25:$A112,1))&lt;&gt;0,$A112-INDEX($A$25:$A112,MATCH($A112-7,$A$25:$A112,1))&lt;=10),B112-INDEX($B$25:$B112,MATCH($A112-7,$A$25:$A112,1)),""),"")</f>
        <v/>
      </c>
      <c r="I112" s="31">
        <f>IFERROR(IF(AND(ISNUMBER(B112),INDEX($B$25:$B112,MATCH($A112-30,$A$25:$A112,1))&lt;&gt;0,INDEX($A$25:$A112,MATCH($A112-30,$A$25:$A112,1))&lt;&gt;0,$A112-INDEX($A$25:$A112,MATCH($A112-30,$A$25:$A112,1))&lt;=33),B112-INDEX($B$25:$B112,MATCH($A112-30,$A$25:$A112,1)),""),"")</f>
        <v/>
      </c>
      <c r="J112" s="42">
        <f>DATE(2026,11,3)-A112</f>
        <v/>
      </c>
      <c r="K112" s="26" t="inlineStr">
        <is>
          <t>14 Mar</t>
        </is>
      </c>
    </row>
    <row r="113">
      <c r="A113" s="39" t="n">
        <v>46096</v>
      </c>
      <c r="B113" s="16" t="n">
        <v>0.655</v>
      </c>
      <c r="C113" s="16" t="n">
        <v>0.43</v>
      </c>
      <c r="D113" s="17">
        <f>IF(COUNT(B113:C113)=2,B113+C113,"")</f>
        <v/>
      </c>
      <c r="E113" s="20">
        <f>IF(ISNUMBER(B113),IFERROR(B113/$D113,""),"")</f>
        <v/>
      </c>
      <c r="F113" s="20">
        <f>IF(ISNUMBER(C113),IFERROR(C113/$D113,""),"")</f>
        <v/>
      </c>
      <c r="G113" s="18">
        <f>IF(COUNT(B113:C113)=2,B113-C113,"")</f>
        <v/>
      </c>
      <c r="H113" s="18">
        <f>IFERROR(IF(AND(ISNUMBER(B113),INDEX($B$25:$B113,MATCH($A113-7,$A$25:$A113,1))&lt;&gt;0,INDEX($A$25:$A113,MATCH($A113-7,$A$25:$A113,1))&lt;&gt;0,$A113-INDEX($A$25:$A113,MATCH($A113-7,$A$25:$A113,1))&lt;=10),B113-INDEX($B$25:$B113,MATCH($A113-7,$A$25:$A113,1)),""),"")</f>
        <v/>
      </c>
      <c r="I113" s="18">
        <f>IFERROR(IF(AND(ISNUMBER(B113),INDEX($B$25:$B113,MATCH($A113-30,$A$25:$A113,1))&lt;&gt;0,INDEX($A$25:$A113,MATCH($A113-30,$A$25:$A113,1))&lt;&gt;0,$A113-INDEX($A$25:$A113,MATCH($A113-30,$A$25:$A113,1))&lt;=33),B113-INDEX($B$25:$B113,MATCH($A113-30,$A$25:$A113,1)),""),"")</f>
        <v/>
      </c>
      <c r="J113" s="40">
        <f>DATE(2026,11,3)-A113</f>
        <v/>
      </c>
      <c r="K113" s="26" t="inlineStr">
        <is>
          <t>15 Mar</t>
        </is>
      </c>
    </row>
    <row r="114">
      <c r="A114" s="41" t="n">
        <v>46097</v>
      </c>
      <c r="B114" s="28" t="n">
        <v>0.78</v>
      </c>
      <c r="C114" s="28" t="n">
        <v>0.315</v>
      </c>
      <c r="D114" s="29">
        <f>IF(COUNT(B114:C114)=2,B114+C114,"")</f>
        <v/>
      </c>
      <c r="E114" s="30">
        <f>IF(ISNUMBER(B114),IFERROR(B114/$D114,""),"")</f>
        <v/>
      </c>
      <c r="F114" s="30">
        <f>IF(ISNUMBER(C114),IFERROR(C114/$D114,""),"")</f>
        <v/>
      </c>
      <c r="G114" s="31">
        <f>IF(COUNT(B114:C114)=2,B114-C114,"")</f>
        <v/>
      </c>
      <c r="H114" s="31">
        <f>IFERROR(IF(AND(ISNUMBER(B114),INDEX($B$25:$B114,MATCH($A114-7,$A$25:$A114,1))&lt;&gt;0,INDEX($A$25:$A114,MATCH($A114-7,$A$25:$A114,1))&lt;&gt;0,$A114-INDEX($A$25:$A114,MATCH($A114-7,$A$25:$A114,1))&lt;=10),B114-INDEX($B$25:$B114,MATCH($A114-7,$A$25:$A114,1)),""),"")</f>
        <v/>
      </c>
      <c r="I114" s="31">
        <f>IFERROR(IF(AND(ISNUMBER(B114),INDEX($B$25:$B114,MATCH($A114-30,$A$25:$A114,1))&lt;&gt;0,INDEX($A$25:$A114,MATCH($A114-30,$A$25:$A114,1))&lt;&gt;0,$A114-INDEX($A$25:$A114,MATCH($A114-30,$A$25:$A114,1))&lt;=33),B114-INDEX($B$25:$B114,MATCH($A114-30,$A$25:$A114,1)),""),"")</f>
        <v/>
      </c>
      <c r="J114" s="42">
        <f>DATE(2026,11,3)-A114</f>
        <v/>
      </c>
      <c r="K114" s="26" t="inlineStr">
        <is>
          <t>16 Mar</t>
        </is>
      </c>
    </row>
    <row r="115">
      <c r="A115" s="39" t="n">
        <v>46098</v>
      </c>
      <c r="B115" s="16" t="n">
        <v>0.74</v>
      </c>
      <c r="C115" s="16" t="n">
        <v>0.275</v>
      </c>
      <c r="D115" s="17">
        <f>IF(COUNT(B115:C115)=2,B115+C115,"")</f>
        <v/>
      </c>
      <c r="E115" s="20">
        <f>IF(ISNUMBER(B115),IFERROR(B115/$D115,""),"")</f>
        <v/>
      </c>
      <c r="F115" s="20">
        <f>IF(ISNUMBER(C115),IFERROR(C115/$D115,""),"")</f>
        <v/>
      </c>
      <c r="G115" s="18">
        <f>IF(COUNT(B115:C115)=2,B115-C115,"")</f>
        <v/>
      </c>
      <c r="H115" s="18">
        <f>IFERROR(IF(AND(ISNUMBER(B115),INDEX($B$25:$B115,MATCH($A115-7,$A$25:$A115,1))&lt;&gt;0,INDEX($A$25:$A115,MATCH($A115-7,$A$25:$A115,1))&lt;&gt;0,$A115-INDEX($A$25:$A115,MATCH($A115-7,$A$25:$A115,1))&lt;=10),B115-INDEX($B$25:$B115,MATCH($A115-7,$A$25:$A115,1)),""),"")</f>
        <v/>
      </c>
      <c r="I115" s="18">
        <f>IFERROR(IF(AND(ISNUMBER(B115),INDEX($B$25:$B115,MATCH($A115-30,$A$25:$A115,1))&lt;&gt;0,INDEX($A$25:$A115,MATCH($A115-30,$A$25:$A115,1))&lt;&gt;0,$A115-INDEX($A$25:$A115,MATCH($A115-30,$A$25:$A115,1))&lt;=33),B115-INDEX($B$25:$B115,MATCH($A115-30,$A$25:$A115,1)),""),"")</f>
        <v/>
      </c>
      <c r="J115" s="40">
        <f>DATE(2026,11,3)-A115</f>
        <v/>
      </c>
      <c r="K115" s="26" t="inlineStr">
        <is>
          <t>17 Mar</t>
        </is>
      </c>
    </row>
    <row r="116">
      <c r="A116" s="41" t="n">
        <v>46099</v>
      </c>
      <c r="B116" s="28" t="n">
        <v>0.71</v>
      </c>
      <c r="C116" s="28" t="n">
        <v>0.305</v>
      </c>
      <c r="D116" s="29">
        <f>IF(COUNT(B116:C116)=2,B116+C116,"")</f>
        <v/>
      </c>
      <c r="E116" s="30">
        <f>IF(ISNUMBER(B116),IFERROR(B116/$D116,""),"")</f>
        <v/>
      </c>
      <c r="F116" s="30">
        <f>IF(ISNUMBER(C116),IFERROR(C116/$D116,""),"")</f>
        <v/>
      </c>
      <c r="G116" s="31">
        <f>IF(COUNT(B116:C116)=2,B116-C116,"")</f>
        <v/>
      </c>
      <c r="H116" s="31">
        <f>IFERROR(IF(AND(ISNUMBER(B116),INDEX($B$25:$B116,MATCH($A116-7,$A$25:$A116,1))&lt;&gt;0,INDEX($A$25:$A116,MATCH($A116-7,$A$25:$A116,1))&lt;&gt;0,$A116-INDEX($A$25:$A116,MATCH($A116-7,$A$25:$A116,1))&lt;=10),B116-INDEX($B$25:$B116,MATCH($A116-7,$A$25:$A116,1)),""),"")</f>
        <v/>
      </c>
      <c r="I116" s="31">
        <f>IFERROR(IF(AND(ISNUMBER(B116),INDEX($B$25:$B116,MATCH($A116-30,$A$25:$A116,1))&lt;&gt;0,INDEX($A$25:$A116,MATCH($A116-30,$A$25:$A116,1))&lt;&gt;0,$A116-INDEX($A$25:$A116,MATCH($A116-30,$A$25:$A116,1))&lt;=33),B116-INDEX($B$25:$B116,MATCH($A116-30,$A$25:$A116,1)),""),"")</f>
        <v/>
      </c>
      <c r="J116" s="42">
        <f>DATE(2026,11,3)-A116</f>
        <v/>
      </c>
      <c r="K116" s="26" t="inlineStr">
        <is>
          <t>18 Mar</t>
        </is>
      </c>
    </row>
    <row r="117">
      <c r="A117" s="39" t="n">
        <v>46100</v>
      </c>
      <c r="B117" s="16" t="n">
        <v>0.72</v>
      </c>
      <c r="C117" s="16" t="n">
        <v>0.305</v>
      </c>
      <c r="D117" s="17">
        <f>IF(COUNT(B117:C117)=2,B117+C117,"")</f>
        <v/>
      </c>
      <c r="E117" s="20">
        <f>IF(ISNUMBER(B117),IFERROR(B117/$D117,""),"")</f>
        <v/>
      </c>
      <c r="F117" s="20">
        <f>IF(ISNUMBER(C117),IFERROR(C117/$D117,""),"")</f>
        <v/>
      </c>
      <c r="G117" s="18">
        <f>IF(COUNT(B117:C117)=2,B117-C117,"")</f>
        <v/>
      </c>
      <c r="H117" s="18">
        <f>IFERROR(IF(AND(ISNUMBER(B117),INDEX($B$25:$B117,MATCH($A117-7,$A$25:$A117,1))&lt;&gt;0,INDEX($A$25:$A117,MATCH($A117-7,$A$25:$A117,1))&lt;&gt;0,$A117-INDEX($A$25:$A117,MATCH($A117-7,$A$25:$A117,1))&lt;=10),B117-INDEX($B$25:$B117,MATCH($A117-7,$A$25:$A117,1)),""),"")</f>
        <v/>
      </c>
      <c r="I117" s="18">
        <f>IFERROR(IF(AND(ISNUMBER(B117),INDEX($B$25:$B117,MATCH($A117-30,$A$25:$A117,1))&lt;&gt;0,INDEX($A$25:$A117,MATCH($A117-30,$A$25:$A117,1))&lt;&gt;0,$A117-INDEX($A$25:$A117,MATCH($A117-30,$A$25:$A117,1))&lt;=33),B117-INDEX($B$25:$B117,MATCH($A117-30,$A$25:$A117,1)),""),"")</f>
        <v/>
      </c>
      <c r="J117" s="40">
        <f>DATE(2026,11,3)-A117</f>
        <v/>
      </c>
      <c r="K117" s="26" t="inlineStr">
        <is>
          <t>19 Mar</t>
        </is>
      </c>
    </row>
    <row r="118">
      <c r="A118" s="41" t="n">
        <v>46101</v>
      </c>
      <c r="B118" s="28" t="n">
        <v>0.725</v>
      </c>
      <c r="C118" s="28" t="n">
        <v>0.275</v>
      </c>
      <c r="D118" s="29">
        <f>IF(COUNT(B118:C118)=2,B118+C118,"")</f>
        <v/>
      </c>
      <c r="E118" s="30">
        <f>IF(ISNUMBER(B118),IFERROR(B118/$D118,""),"")</f>
        <v/>
      </c>
      <c r="F118" s="30">
        <f>IF(ISNUMBER(C118),IFERROR(C118/$D118,""),"")</f>
        <v/>
      </c>
      <c r="G118" s="31">
        <f>IF(COUNT(B118:C118)=2,B118-C118,"")</f>
        <v/>
      </c>
      <c r="H118" s="31">
        <f>IFERROR(IF(AND(ISNUMBER(B118),INDEX($B$25:$B118,MATCH($A118-7,$A$25:$A118,1))&lt;&gt;0,INDEX($A$25:$A118,MATCH($A118-7,$A$25:$A118,1))&lt;&gt;0,$A118-INDEX($A$25:$A118,MATCH($A118-7,$A$25:$A118,1))&lt;=10),B118-INDEX($B$25:$B118,MATCH($A118-7,$A$25:$A118,1)),""),"")</f>
        <v/>
      </c>
      <c r="I118" s="31">
        <f>IFERROR(IF(AND(ISNUMBER(B118),INDEX($B$25:$B118,MATCH($A118-30,$A$25:$A118,1))&lt;&gt;0,INDEX($A$25:$A118,MATCH($A118-30,$A$25:$A118,1))&lt;&gt;0,$A118-INDEX($A$25:$A118,MATCH($A118-30,$A$25:$A118,1))&lt;=33),B118-INDEX($B$25:$B118,MATCH($A118-30,$A$25:$A118,1)),""),"")</f>
        <v/>
      </c>
      <c r="J118" s="42">
        <f>DATE(2026,11,3)-A118</f>
        <v/>
      </c>
      <c r="K118" s="26" t="inlineStr">
        <is>
          <t>20 Mar</t>
        </is>
      </c>
    </row>
    <row r="119">
      <c r="A119" s="39" t="n">
        <v>46102</v>
      </c>
      <c r="B119" s="16" t="n">
        <v>0.755</v>
      </c>
      <c r="C119" s="16" t="n">
        <v>0.31</v>
      </c>
      <c r="D119" s="17">
        <f>IF(COUNT(B119:C119)=2,B119+C119,"")</f>
        <v/>
      </c>
      <c r="E119" s="20">
        <f>IF(ISNUMBER(B119),IFERROR(B119/$D119,""),"")</f>
        <v/>
      </c>
      <c r="F119" s="20">
        <f>IF(ISNUMBER(C119),IFERROR(C119/$D119,""),"")</f>
        <v/>
      </c>
      <c r="G119" s="18">
        <f>IF(COUNT(B119:C119)=2,B119-C119,"")</f>
        <v/>
      </c>
      <c r="H119" s="18">
        <f>IFERROR(IF(AND(ISNUMBER(B119),INDEX($B$25:$B119,MATCH($A119-7,$A$25:$A119,1))&lt;&gt;0,INDEX($A$25:$A119,MATCH($A119-7,$A$25:$A119,1))&lt;&gt;0,$A119-INDEX($A$25:$A119,MATCH($A119-7,$A$25:$A119,1))&lt;=10),B119-INDEX($B$25:$B119,MATCH($A119-7,$A$25:$A119,1)),""),"")</f>
        <v/>
      </c>
      <c r="I119" s="18">
        <f>IFERROR(IF(AND(ISNUMBER(B119),INDEX($B$25:$B119,MATCH($A119-30,$A$25:$A119,1))&lt;&gt;0,INDEX($A$25:$A119,MATCH($A119-30,$A$25:$A119,1))&lt;&gt;0,$A119-INDEX($A$25:$A119,MATCH($A119-30,$A$25:$A119,1))&lt;=33),B119-INDEX($B$25:$B119,MATCH($A119-30,$A$25:$A119,1)),""),"")</f>
        <v/>
      </c>
      <c r="J119" s="40">
        <f>DATE(2026,11,3)-A119</f>
        <v/>
      </c>
      <c r="K119" s="26" t="inlineStr">
        <is>
          <t>21 Mar</t>
        </is>
      </c>
    </row>
    <row r="120">
      <c r="A120" s="41" t="n">
        <v>46103</v>
      </c>
      <c r="B120" s="28" t="n">
        <v>0.705</v>
      </c>
      <c r="C120" s="28" t="n">
        <v>0.285</v>
      </c>
      <c r="D120" s="29">
        <f>IF(COUNT(B120:C120)=2,B120+C120,"")</f>
        <v/>
      </c>
      <c r="E120" s="30">
        <f>IF(ISNUMBER(B120),IFERROR(B120/$D120,""),"")</f>
        <v/>
      </c>
      <c r="F120" s="30">
        <f>IF(ISNUMBER(C120),IFERROR(C120/$D120,""),"")</f>
        <v/>
      </c>
      <c r="G120" s="31">
        <f>IF(COUNT(B120:C120)=2,B120-C120,"")</f>
        <v/>
      </c>
      <c r="H120" s="31">
        <f>IFERROR(IF(AND(ISNUMBER(B120),INDEX($B$25:$B120,MATCH($A120-7,$A$25:$A120,1))&lt;&gt;0,INDEX($A$25:$A120,MATCH($A120-7,$A$25:$A120,1))&lt;&gt;0,$A120-INDEX($A$25:$A120,MATCH($A120-7,$A$25:$A120,1))&lt;=10),B120-INDEX($B$25:$B120,MATCH($A120-7,$A$25:$A120,1)),""),"")</f>
        <v/>
      </c>
      <c r="I120" s="31">
        <f>IFERROR(IF(AND(ISNUMBER(B120),INDEX($B$25:$B120,MATCH($A120-30,$A$25:$A120,1))&lt;&gt;0,INDEX($A$25:$A120,MATCH($A120-30,$A$25:$A120,1))&lt;&gt;0,$A120-INDEX($A$25:$A120,MATCH($A120-30,$A$25:$A120,1))&lt;=33),B120-INDEX($B$25:$B120,MATCH($A120-30,$A$25:$A120,1)),""),"")</f>
        <v/>
      </c>
      <c r="J120" s="42">
        <f>DATE(2026,11,3)-A120</f>
        <v/>
      </c>
      <c r="K120" s="26" t="inlineStr">
        <is>
          <t>22 Mar</t>
        </is>
      </c>
    </row>
    <row r="121">
      <c r="A121" s="39" t="n">
        <v>46104</v>
      </c>
      <c r="B121" s="16" t="n">
        <v>0.6850000000000001</v>
      </c>
      <c r="C121" s="16" t="n">
        <v>0.32</v>
      </c>
      <c r="D121" s="17">
        <f>IF(COUNT(B121:C121)=2,B121+C121,"")</f>
        <v/>
      </c>
      <c r="E121" s="20">
        <f>IF(ISNUMBER(B121),IFERROR(B121/$D121,""),"")</f>
        <v/>
      </c>
      <c r="F121" s="20">
        <f>IF(ISNUMBER(C121),IFERROR(C121/$D121,""),"")</f>
        <v/>
      </c>
      <c r="G121" s="18">
        <f>IF(COUNT(B121:C121)=2,B121-C121,"")</f>
        <v/>
      </c>
      <c r="H121" s="18">
        <f>IFERROR(IF(AND(ISNUMBER(B121),INDEX($B$25:$B121,MATCH($A121-7,$A$25:$A121,1))&lt;&gt;0,INDEX($A$25:$A121,MATCH($A121-7,$A$25:$A121,1))&lt;&gt;0,$A121-INDEX($A$25:$A121,MATCH($A121-7,$A$25:$A121,1))&lt;=10),B121-INDEX($B$25:$B121,MATCH($A121-7,$A$25:$A121,1)),""),"")</f>
        <v/>
      </c>
      <c r="I121" s="18">
        <f>IFERROR(IF(AND(ISNUMBER(B121),INDEX($B$25:$B121,MATCH($A121-30,$A$25:$A121,1))&lt;&gt;0,INDEX($A$25:$A121,MATCH($A121-30,$A$25:$A121,1))&lt;&gt;0,$A121-INDEX($A$25:$A121,MATCH($A121-30,$A$25:$A121,1))&lt;=33),B121-INDEX($B$25:$B121,MATCH($A121-30,$A$25:$A121,1)),""),"")</f>
        <v/>
      </c>
      <c r="J121" s="40">
        <f>DATE(2026,11,3)-A121</f>
        <v/>
      </c>
      <c r="K121" s="26" t="inlineStr">
        <is>
          <t>23 Mar</t>
        </is>
      </c>
    </row>
    <row r="122">
      <c r="A122" s="41" t="n">
        <v>46105</v>
      </c>
      <c r="B122" s="28" t="n">
        <v>0.5600000000000001</v>
      </c>
      <c r="C122" s="28" t="n">
        <v>0.42</v>
      </c>
      <c r="D122" s="29">
        <f>IF(COUNT(B122:C122)=2,B122+C122,"")</f>
        <v/>
      </c>
      <c r="E122" s="30">
        <f>IF(ISNUMBER(B122),IFERROR(B122/$D122,""),"")</f>
        <v/>
      </c>
      <c r="F122" s="30">
        <f>IF(ISNUMBER(C122),IFERROR(C122/$D122,""),"")</f>
        <v/>
      </c>
      <c r="G122" s="31">
        <f>IF(COUNT(B122:C122)=2,B122-C122,"")</f>
        <v/>
      </c>
      <c r="H122" s="31">
        <f>IFERROR(IF(AND(ISNUMBER(B122),INDEX($B$25:$B122,MATCH($A122-7,$A$25:$A122,1))&lt;&gt;0,INDEX($A$25:$A122,MATCH($A122-7,$A$25:$A122,1))&lt;&gt;0,$A122-INDEX($A$25:$A122,MATCH($A122-7,$A$25:$A122,1))&lt;=10),B122-INDEX($B$25:$B122,MATCH($A122-7,$A$25:$A122,1)),""),"")</f>
        <v/>
      </c>
      <c r="I122" s="31">
        <f>IFERROR(IF(AND(ISNUMBER(B122),INDEX($B$25:$B122,MATCH($A122-30,$A$25:$A122,1))&lt;&gt;0,INDEX($A$25:$A122,MATCH($A122-30,$A$25:$A122,1))&lt;&gt;0,$A122-INDEX($A$25:$A122,MATCH($A122-30,$A$25:$A122,1))&lt;=33),B122-INDEX($B$25:$B122,MATCH($A122-30,$A$25:$A122,1)),""),"")</f>
        <v/>
      </c>
      <c r="J122" s="42">
        <f>DATE(2026,11,3)-A122</f>
        <v/>
      </c>
      <c r="K122" s="26" t="inlineStr">
        <is>
          <t>24 Mar</t>
        </is>
      </c>
    </row>
    <row r="123">
      <c r="A123" s="39" t="n">
        <v>46106</v>
      </c>
      <c r="B123" s="16" t="n">
        <v>0.665</v>
      </c>
      <c r="C123" s="16" t="n">
        <v>0.285</v>
      </c>
      <c r="D123" s="17">
        <f>IF(COUNT(B123:C123)=2,B123+C123,"")</f>
        <v/>
      </c>
      <c r="E123" s="20">
        <f>IF(ISNUMBER(B123),IFERROR(B123/$D123,""),"")</f>
        <v/>
      </c>
      <c r="F123" s="20">
        <f>IF(ISNUMBER(C123),IFERROR(C123/$D123,""),"")</f>
        <v/>
      </c>
      <c r="G123" s="18">
        <f>IF(COUNT(B123:C123)=2,B123-C123,"")</f>
        <v/>
      </c>
      <c r="H123" s="18">
        <f>IFERROR(IF(AND(ISNUMBER(B123),INDEX($B$25:$B123,MATCH($A123-7,$A$25:$A123,1))&lt;&gt;0,INDEX($A$25:$A123,MATCH($A123-7,$A$25:$A123,1))&lt;&gt;0,$A123-INDEX($A$25:$A123,MATCH($A123-7,$A$25:$A123,1))&lt;=10),B123-INDEX($B$25:$B123,MATCH($A123-7,$A$25:$A123,1)),""),"")</f>
        <v/>
      </c>
      <c r="I123" s="18">
        <f>IFERROR(IF(AND(ISNUMBER(B123),INDEX($B$25:$B123,MATCH($A123-30,$A$25:$A123,1))&lt;&gt;0,INDEX($A$25:$A123,MATCH($A123-30,$A$25:$A123,1))&lt;&gt;0,$A123-INDEX($A$25:$A123,MATCH($A123-30,$A$25:$A123,1))&lt;=33),B123-INDEX($B$25:$B123,MATCH($A123-30,$A$25:$A123,1)),""),"")</f>
        <v/>
      </c>
      <c r="J123" s="40">
        <f>DATE(2026,11,3)-A123</f>
        <v/>
      </c>
      <c r="K123" s="26" t="inlineStr">
        <is>
          <t>25 Mar</t>
        </is>
      </c>
    </row>
    <row r="124">
      <c r="A124" s="41" t="n">
        <v>46107</v>
      </c>
      <c r="B124" s="28" t="n">
        <v>0.675</v>
      </c>
      <c r="C124" s="28" t="n">
        <v>0.325</v>
      </c>
      <c r="D124" s="29">
        <f>IF(COUNT(B124:C124)=2,B124+C124,"")</f>
        <v/>
      </c>
      <c r="E124" s="30">
        <f>IF(ISNUMBER(B124),IFERROR(B124/$D124,""),"")</f>
        <v/>
      </c>
      <c r="F124" s="30">
        <f>IF(ISNUMBER(C124),IFERROR(C124/$D124,""),"")</f>
        <v/>
      </c>
      <c r="G124" s="31">
        <f>IF(COUNT(B124:C124)=2,B124-C124,"")</f>
        <v/>
      </c>
      <c r="H124" s="31">
        <f>IFERROR(IF(AND(ISNUMBER(B124),INDEX($B$25:$B124,MATCH($A124-7,$A$25:$A124,1))&lt;&gt;0,INDEX($A$25:$A124,MATCH($A124-7,$A$25:$A124,1))&lt;&gt;0,$A124-INDEX($A$25:$A124,MATCH($A124-7,$A$25:$A124,1))&lt;=10),B124-INDEX($B$25:$B124,MATCH($A124-7,$A$25:$A124,1)),""),"")</f>
        <v/>
      </c>
      <c r="I124" s="31">
        <f>IFERROR(IF(AND(ISNUMBER(B124),INDEX($B$25:$B124,MATCH($A124-30,$A$25:$A124,1))&lt;&gt;0,INDEX($A$25:$A124,MATCH($A124-30,$A$25:$A124,1))&lt;&gt;0,$A124-INDEX($A$25:$A124,MATCH($A124-30,$A$25:$A124,1))&lt;=33),B124-INDEX($B$25:$B124,MATCH($A124-30,$A$25:$A124,1)),""),"")</f>
        <v/>
      </c>
      <c r="J124" s="42">
        <f>DATE(2026,11,3)-A124</f>
        <v/>
      </c>
      <c r="K124" s="26" t="inlineStr">
        <is>
          <t>26 Mar</t>
        </is>
      </c>
    </row>
    <row r="125">
      <c r="A125" s="39" t="n">
        <v>46108</v>
      </c>
      <c r="B125" s="16" t="n">
        <v>0.63</v>
      </c>
      <c r="C125" s="16" t="n">
        <v>0.34</v>
      </c>
      <c r="D125" s="17">
        <f>IF(COUNT(B125:C125)=2,B125+C125,"")</f>
        <v/>
      </c>
      <c r="E125" s="20">
        <f>IF(ISNUMBER(B125),IFERROR(B125/$D125,""),"")</f>
        <v/>
      </c>
      <c r="F125" s="20">
        <f>IF(ISNUMBER(C125),IFERROR(C125/$D125,""),"")</f>
        <v/>
      </c>
      <c r="G125" s="18">
        <f>IF(COUNT(B125:C125)=2,B125-C125,"")</f>
        <v/>
      </c>
      <c r="H125" s="18">
        <f>IFERROR(IF(AND(ISNUMBER(B125),INDEX($B$25:$B125,MATCH($A125-7,$A$25:$A125,1))&lt;&gt;0,INDEX($A$25:$A125,MATCH($A125-7,$A$25:$A125,1))&lt;&gt;0,$A125-INDEX($A$25:$A125,MATCH($A125-7,$A$25:$A125,1))&lt;=10),B125-INDEX($B$25:$B125,MATCH($A125-7,$A$25:$A125,1)),""),"")</f>
        <v/>
      </c>
      <c r="I125" s="18">
        <f>IFERROR(IF(AND(ISNUMBER(B125),INDEX($B$25:$B125,MATCH($A125-30,$A$25:$A125,1))&lt;&gt;0,INDEX($A$25:$A125,MATCH($A125-30,$A$25:$A125,1))&lt;&gt;0,$A125-INDEX($A$25:$A125,MATCH($A125-30,$A$25:$A125,1))&lt;=33),B125-INDEX($B$25:$B125,MATCH($A125-30,$A$25:$A125,1)),""),"")</f>
        <v/>
      </c>
      <c r="J125" s="40">
        <f>DATE(2026,11,3)-A125</f>
        <v/>
      </c>
      <c r="K125" s="26" t="inlineStr">
        <is>
          <t>27 Mar</t>
        </is>
      </c>
    </row>
    <row r="126">
      <c r="A126" s="41" t="n">
        <v>46109</v>
      </c>
      <c r="B126" s="28" t="n">
        <v>0.665</v>
      </c>
      <c r="C126" s="28" t="n">
        <v>0.34</v>
      </c>
      <c r="D126" s="29">
        <f>IF(COUNT(B126:C126)=2,B126+C126,"")</f>
        <v/>
      </c>
      <c r="E126" s="30">
        <f>IF(ISNUMBER(B126),IFERROR(B126/$D126,""),"")</f>
        <v/>
      </c>
      <c r="F126" s="30">
        <f>IF(ISNUMBER(C126),IFERROR(C126/$D126,""),"")</f>
        <v/>
      </c>
      <c r="G126" s="31">
        <f>IF(COUNT(B126:C126)=2,B126-C126,"")</f>
        <v/>
      </c>
      <c r="H126" s="31">
        <f>IFERROR(IF(AND(ISNUMBER(B126),INDEX($B$25:$B126,MATCH($A126-7,$A$25:$A126,1))&lt;&gt;0,INDEX($A$25:$A126,MATCH($A126-7,$A$25:$A126,1))&lt;&gt;0,$A126-INDEX($A$25:$A126,MATCH($A126-7,$A$25:$A126,1))&lt;=10),B126-INDEX($B$25:$B126,MATCH($A126-7,$A$25:$A126,1)),""),"")</f>
        <v/>
      </c>
      <c r="I126" s="31">
        <f>IFERROR(IF(AND(ISNUMBER(B126),INDEX($B$25:$B126,MATCH($A126-30,$A$25:$A126,1))&lt;&gt;0,INDEX($A$25:$A126,MATCH($A126-30,$A$25:$A126,1))&lt;&gt;0,$A126-INDEX($A$25:$A126,MATCH($A126-30,$A$25:$A126,1))&lt;=33),B126-INDEX($B$25:$B126,MATCH($A126-30,$A$25:$A126,1)),""),"")</f>
        <v/>
      </c>
      <c r="J126" s="42">
        <f>DATE(2026,11,3)-A126</f>
        <v/>
      </c>
      <c r="K126" s="26" t="inlineStr">
        <is>
          <t>28 Mar</t>
        </is>
      </c>
    </row>
    <row r="127">
      <c r="A127" s="39" t="n">
        <v>46110</v>
      </c>
      <c r="B127" s="16" t="n">
        <v>0.65</v>
      </c>
      <c r="C127" s="16" t="n">
        <v>0.32</v>
      </c>
      <c r="D127" s="17">
        <f>IF(COUNT(B127:C127)=2,B127+C127,"")</f>
        <v/>
      </c>
      <c r="E127" s="20">
        <f>IF(ISNUMBER(B127),IFERROR(B127/$D127,""),"")</f>
        <v/>
      </c>
      <c r="F127" s="20">
        <f>IF(ISNUMBER(C127),IFERROR(C127/$D127,""),"")</f>
        <v/>
      </c>
      <c r="G127" s="18">
        <f>IF(COUNT(B127:C127)=2,B127-C127,"")</f>
        <v/>
      </c>
      <c r="H127" s="18">
        <f>IFERROR(IF(AND(ISNUMBER(B127),INDEX($B$25:$B127,MATCH($A127-7,$A$25:$A127,1))&lt;&gt;0,INDEX($A$25:$A127,MATCH($A127-7,$A$25:$A127,1))&lt;&gt;0,$A127-INDEX($A$25:$A127,MATCH($A127-7,$A$25:$A127,1))&lt;=10),B127-INDEX($B$25:$B127,MATCH($A127-7,$A$25:$A127,1)),""),"")</f>
        <v/>
      </c>
      <c r="I127" s="18">
        <f>IFERROR(IF(AND(ISNUMBER(B127),INDEX($B$25:$B127,MATCH($A127-30,$A$25:$A127,1))&lt;&gt;0,INDEX($A$25:$A127,MATCH($A127-30,$A$25:$A127,1))&lt;&gt;0,$A127-INDEX($A$25:$A127,MATCH($A127-30,$A$25:$A127,1))&lt;=33),B127-INDEX($B$25:$B127,MATCH($A127-30,$A$25:$A127,1)),""),"")</f>
        <v/>
      </c>
      <c r="J127" s="40">
        <f>DATE(2026,11,3)-A127</f>
        <v/>
      </c>
      <c r="K127" s="26" t="inlineStr">
        <is>
          <t>29 Mar</t>
        </is>
      </c>
    </row>
    <row r="128">
      <c r="A128" s="41" t="n">
        <v>46121</v>
      </c>
      <c r="B128" s="28" t="n">
        <v>0.735</v>
      </c>
      <c r="C128" s="28" t="n">
        <v>0.265</v>
      </c>
      <c r="D128" s="29">
        <f>IF(COUNT(B128:C128)=2,B128+C128,"")</f>
        <v/>
      </c>
      <c r="E128" s="30">
        <f>IF(ISNUMBER(B128),IFERROR(B128/$D128,""),"")</f>
        <v/>
      </c>
      <c r="F128" s="30">
        <f>IF(ISNUMBER(C128),IFERROR(C128/$D128,""),"")</f>
        <v/>
      </c>
      <c r="G128" s="31">
        <f>IF(COUNT(B128:C128)=2,B128-C128,"")</f>
        <v/>
      </c>
      <c r="H128" s="31">
        <f>IFERROR(IF(AND(ISNUMBER(B128),INDEX($B$25:$B128,MATCH($A128-7,$A$25:$A128,1))&lt;&gt;0,INDEX($A$25:$A128,MATCH($A128-7,$A$25:$A128,1))&lt;&gt;0,$A128-INDEX($A$25:$A128,MATCH($A128-7,$A$25:$A128,1))&lt;=10),B128-INDEX($B$25:$B128,MATCH($A128-7,$A$25:$A128,1)),""),"")</f>
        <v/>
      </c>
      <c r="I128" s="31">
        <f>IFERROR(IF(AND(ISNUMBER(B128),INDEX($B$25:$B128,MATCH($A128-30,$A$25:$A128,1))&lt;&gt;0,INDEX($A$25:$A128,MATCH($A128-30,$A$25:$A128,1))&lt;&gt;0,$A128-INDEX($A$25:$A128,MATCH($A128-30,$A$25:$A128,1))&lt;=33),B128-INDEX($B$25:$B128,MATCH($A128-30,$A$25:$A128,1)),""),"")</f>
        <v/>
      </c>
      <c r="J128" s="42">
        <f>DATE(2026,11,3)-A128</f>
        <v/>
      </c>
      <c r="K128" s="26" t="inlineStr">
        <is>
          <t>09 Apr</t>
        </is>
      </c>
    </row>
    <row r="129">
      <c r="A129" s="39" t="n">
        <v>46130</v>
      </c>
      <c r="B129" s="16" t="n">
        <v>0.745</v>
      </c>
      <c r="C129" s="16" t="n"/>
      <c r="D129" s="17">
        <f>IF(COUNT(B129:C129)=2,B129+C129,"")</f>
        <v/>
      </c>
      <c r="E129" s="20">
        <f>IF(ISNUMBER(B129),IFERROR(B129/$D129,""),"")</f>
        <v/>
      </c>
      <c r="F129" s="20">
        <f>IF(ISNUMBER(C129),IFERROR(C129/$D129,""),"")</f>
        <v/>
      </c>
      <c r="G129" s="18">
        <f>IF(COUNT(B129:C129)=2,B129-C129,"")</f>
        <v/>
      </c>
      <c r="H129" s="18">
        <f>IFERROR(IF(AND(ISNUMBER(B129),INDEX($B$25:$B129,MATCH($A129-7,$A$25:$A129,1))&lt;&gt;0,INDEX($A$25:$A129,MATCH($A129-7,$A$25:$A129,1))&lt;&gt;0,$A129-INDEX($A$25:$A129,MATCH($A129-7,$A$25:$A129,1))&lt;=10),B129-INDEX($B$25:$B129,MATCH($A129-7,$A$25:$A129,1)),""),"")</f>
        <v/>
      </c>
      <c r="I129" s="18">
        <f>IFERROR(IF(AND(ISNUMBER(B129),INDEX($B$25:$B129,MATCH($A129-30,$A$25:$A129,1))&lt;&gt;0,INDEX($A$25:$A129,MATCH($A129-30,$A$25:$A129,1))&lt;&gt;0,$A129-INDEX($A$25:$A129,MATCH($A129-30,$A$25:$A129,1))&lt;=33),B129-INDEX($B$25:$B129,MATCH($A129-30,$A$25:$A129,1)),""),"")</f>
        <v/>
      </c>
      <c r="J129" s="40">
        <f>DATE(2026,11,3)-A129</f>
        <v/>
      </c>
      <c r="K129" s="26" t="inlineStr">
        <is>
          <t>18 Apr</t>
        </is>
      </c>
    </row>
    <row r="130">
      <c r="A130" s="41" t="n">
        <v>46134</v>
      </c>
      <c r="B130" s="28" t="n">
        <v>0.715</v>
      </c>
      <c r="C130" s="28" t="n">
        <v>0.29</v>
      </c>
      <c r="D130" s="29">
        <f>IF(COUNT(B130:C130)=2,B130+C130,"")</f>
        <v/>
      </c>
      <c r="E130" s="30">
        <f>IF(ISNUMBER(B130),IFERROR(B130/$D130,""),"")</f>
        <v/>
      </c>
      <c r="F130" s="30">
        <f>IF(ISNUMBER(C130),IFERROR(C130/$D130,""),"")</f>
        <v/>
      </c>
      <c r="G130" s="31">
        <f>IF(COUNT(B130:C130)=2,B130-C130,"")</f>
        <v/>
      </c>
      <c r="H130" s="31">
        <f>IFERROR(IF(AND(ISNUMBER(B130),INDEX($B$25:$B130,MATCH($A130-7,$A$25:$A130,1))&lt;&gt;0,INDEX($A$25:$A130,MATCH($A130-7,$A$25:$A130,1))&lt;&gt;0,$A130-INDEX($A$25:$A130,MATCH($A130-7,$A$25:$A130,1))&lt;=10),B130-INDEX($B$25:$B130,MATCH($A130-7,$A$25:$A130,1)),""),"")</f>
        <v/>
      </c>
      <c r="I130" s="31">
        <f>IFERROR(IF(AND(ISNUMBER(B130),INDEX($B$25:$B130,MATCH($A130-30,$A$25:$A130,1))&lt;&gt;0,INDEX($A$25:$A130,MATCH($A130-30,$A$25:$A130,1))&lt;&gt;0,$A130-INDEX($A$25:$A130,MATCH($A130-30,$A$25:$A130,1))&lt;=33),B130-INDEX($B$25:$B130,MATCH($A130-30,$A$25:$A130,1)),""),"")</f>
        <v/>
      </c>
      <c r="J130" s="42">
        <f>DATE(2026,11,3)-A130</f>
        <v/>
      </c>
      <c r="K130" s="26" t="inlineStr">
        <is>
          <t>22 Apr</t>
        </is>
      </c>
    </row>
    <row r="131">
      <c r="A131" s="39" t="n">
        <v>46135</v>
      </c>
      <c r="B131" s="16" t="n">
        <v>0.67</v>
      </c>
      <c r="C131" s="16" t="n">
        <v>0.24</v>
      </c>
      <c r="D131" s="17">
        <f>IF(COUNT(B131:C131)=2,B131+C131,"")</f>
        <v/>
      </c>
      <c r="E131" s="20">
        <f>IF(ISNUMBER(B131),IFERROR(B131/$D131,""),"")</f>
        <v/>
      </c>
      <c r="F131" s="20">
        <f>IF(ISNUMBER(C131),IFERROR(C131/$D131,""),"")</f>
        <v/>
      </c>
      <c r="G131" s="18">
        <f>IF(COUNT(B131:C131)=2,B131-C131,"")</f>
        <v/>
      </c>
      <c r="H131" s="18">
        <f>IFERROR(IF(AND(ISNUMBER(B131),INDEX($B$25:$B131,MATCH($A131-7,$A$25:$A131,1))&lt;&gt;0,INDEX($A$25:$A131,MATCH($A131-7,$A$25:$A131,1))&lt;&gt;0,$A131-INDEX($A$25:$A131,MATCH($A131-7,$A$25:$A131,1))&lt;=10),B131-INDEX($B$25:$B131,MATCH($A131-7,$A$25:$A131,1)),""),"")</f>
        <v/>
      </c>
      <c r="I131" s="18">
        <f>IFERROR(IF(AND(ISNUMBER(B131),INDEX($B$25:$B131,MATCH($A131-30,$A$25:$A131,1))&lt;&gt;0,INDEX($A$25:$A131,MATCH($A131-30,$A$25:$A131,1))&lt;&gt;0,$A131-INDEX($A$25:$A131,MATCH($A131-30,$A$25:$A131,1))&lt;=33),B131-INDEX($B$25:$B131,MATCH($A131-30,$A$25:$A131,1)),""),"")</f>
        <v/>
      </c>
      <c r="J131" s="40">
        <f>DATE(2026,11,3)-A131</f>
        <v/>
      </c>
      <c r="K131" s="26" t="inlineStr">
        <is>
          <t>23 Apr</t>
        </is>
      </c>
    </row>
    <row r="132">
      <c r="A132" s="41" t="n">
        <v>46136</v>
      </c>
      <c r="B132" s="28" t="n">
        <v>0.6850000000000001</v>
      </c>
      <c r="C132" s="28" t="n">
        <v>0.245</v>
      </c>
      <c r="D132" s="29">
        <f>IF(COUNT(B132:C132)=2,B132+C132,"")</f>
        <v/>
      </c>
      <c r="E132" s="30">
        <f>IF(ISNUMBER(B132),IFERROR(B132/$D132,""),"")</f>
        <v/>
      </c>
      <c r="F132" s="30">
        <f>IF(ISNUMBER(C132),IFERROR(C132/$D132,""),"")</f>
        <v/>
      </c>
      <c r="G132" s="31">
        <f>IF(COUNT(B132:C132)=2,B132-C132,"")</f>
        <v/>
      </c>
      <c r="H132" s="31">
        <f>IFERROR(IF(AND(ISNUMBER(B132),INDEX($B$25:$B132,MATCH($A132-7,$A$25:$A132,1))&lt;&gt;0,INDEX($A$25:$A132,MATCH($A132-7,$A$25:$A132,1))&lt;&gt;0,$A132-INDEX($A$25:$A132,MATCH($A132-7,$A$25:$A132,1))&lt;=10),B132-INDEX($B$25:$B132,MATCH($A132-7,$A$25:$A132,1)),""),"")</f>
        <v/>
      </c>
      <c r="I132" s="31">
        <f>IFERROR(IF(AND(ISNUMBER(B132),INDEX($B$25:$B132,MATCH($A132-30,$A$25:$A132,1))&lt;&gt;0,INDEX($A$25:$A132,MATCH($A132-30,$A$25:$A132,1))&lt;&gt;0,$A132-INDEX($A$25:$A132,MATCH($A132-30,$A$25:$A132,1))&lt;=33),B132-INDEX($B$25:$B132,MATCH($A132-30,$A$25:$A132,1)),""),"")</f>
        <v/>
      </c>
      <c r="J132" s="42">
        <f>DATE(2026,11,3)-A132</f>
        <v/>
      </c>
      <c r="K132" s="26" t="inlineStr">
        <is>
          <t>24 Apr</t>
        </is>
      </c>
    </row>
    <row r="133">
      <c r="A133" s="39" t="n">
        <v>46137</v>
      </c>
      <c r="B133" s="16" t="n">
        <v>0.725</v>
      </c>
      <c r="C133" s="16" t="n">
        <v>0.28</v>
      </c>
      <c r="D133" s="17">
        <f>IF(COUNT(B133:C133)=2,B133+C133,"")</f>
        <v/>
      </c>
      <c r="E133" s="20">
        <f>IF(ISNUMBER(B133),IFERROR(B133/$D133,""),"")</f>
        <v/>
      </c>
      <c r="F133" s="20">
        <f>IF(ISNUMBER(C133),IFERROR(C133/$D133,""),"")</f>
        <v/>
      </c>
      <c r="G133" s="18">
        <f>IF(COUNT(B133:C133)=2,B133-C133,"")</f>
        <v/>
      </c>
      <c r="H133" s="18">
        <f>IFERROR(IF(AND(ISNUMBER(B133),INDEX($B$25:$B133,MATCH($A133-7,$A$25:$A133,1))&lt;&gt;0,INDEX($A$25:$A133,MATCH($A133-7,$A$25:$A133,1))&lt;&gt;0,$A133-INDEX($A$25:$A133,MATCH($A133-7,$A$25:$A133,1))&lt;=10),B133-INDEX($B$25:$B133,MATCH($A133-7,$A$25:$A133,1)),""),"")</f>
        <v/>
      </c>
      <c r="I133" s="18">
        <f>IFERROR(IF(AND(ISNUMBER(B133),INDEX($B$25:$B133,MATCH($A133-30,$A$25:$A133,1))&lt;&gt;0,INDEX($A$25:$A133,MATCH($A133-30,$A$25:$A133,1))&lt;&gt;0,$A133-INDEX($A$25:$A133,MATCH($A133-30,$A$25:$A133,1))&lt;=33),B133-INDEX($B$25:$B133,MATCH($A133-30,$A$25:$A133,1)),""),"")</f>
        <v/>
      </c>
      <c r="J133" s="40">
        <f>DATE(2026,11,3)-A133</f>
        <v/>
      </c>
      <c r="K133" s="26" t="inlineStr">
        <is>
          <t>25 Apr</t>
        </is>
      </c>
    </row>
    <row r="134">
      <c r="A134" s="41" t="n">
        <v>46138</v>
      </c>
      <c r="B134" s="28" t="n">
        <v>0.705</v>
      </c>
      <c r="C134" s="28" t="n">
        <v>0.28</v>
      </c>
      <c r="D134" s="29">
        <f>IF(COUNT(B134:C134)=2,B134+C134,"")</f>
        <v/>
      </c>
      <c r="E134" s="30">
        <f>IF(ISNUMBER(B134),IFERROR(B134/$D134,""),"")</f>
        <v/>
      </c>
      <c r="F134" s="30">
        <f>IF(ISNUMBER(C134),IFERROR(C134/$D134,""),"")</f>
        <v/>
      </c>
      <c r="G134" s="31">
        <f>IF(COUNT(B134:C134)=2,B134-C134,"")</f>
        <v/>
      </c>
      <c r="H134" s="31">
        <f>IFERROR(IF(AND(ISNUMBER(B134),INDEX($B$25:$B134,MATCH($A134-7,$A$25:$A134,1))&lt;&gt;0,INDEX($A$25:$A134,MATCH($A134-7,$A$25:$A134,1))&lt;&gt;0,$A134-INDEX($A$25:$A134,MATCH($A134-7,$A$25:$A134,1))&lt;=10),B134-INDEX($B$25:$B134,MATCH($A134-7,$A$25:$A134,1)),""),"")</f>
        <v/>
      </c>
      <c r="I134" s="31">
        <f>IFERROR(IF(AND(ISNUMBER(B134),INDEX($B$25:$B134,MATCH($A134-30,$A$25:$A134,1))&lt;&gt;0,INDEX($A$25:$A134,MATCH($A134-30,$A$25:$A134,1))&lt;&gt;0,$A134-INDEX($A$25:$A134,MATCH($A134-30,$A$25:$A134,1))&lt;=33),B134-INDEX($B$25:$B134,MATCH($A134-30,$A$25:$A134,1)),""),"")</f>
        <v/>
      </c>
      <c r="J134" s="42">
        <f>DATE(2026,11,3)-A134</f>
        <v/>
      </c>
      <c r="K134" s="26" t="inlineStr">
        <is>
          <t>26 Apr</t>
        </is>
      </c>
    </row>
    <row r="135">
      <c r="A135" s="39" t="n">
        <v>46139</v>
      </c>
      <c r="B135" s="16" t="n">
        <v>0.72</v>
      </c>
      <c r="C135" s="16" t="n">
        <v>0.285</v>
      </c>
      <c r="D135" s="17">
        <f>IF(COUNT(B135:C135)=2,B135+C135,"")</f>
        <v/>
      </c>
      <c r="E135" s="20">
        <f>IF(ISNUMBER(B135),IFERROR(B135/$D135,""),"")</f>
        <v/>
      </c>
      <c r="F135" s="20">
        <f>IF(ISNUMBER(C135),IFERROR(C135/$D135,""),"")</f>
        <v/>
      </c>
      <c r="G135" s="18">
        <f>IF(COUNT(B135:C135)=2,B135-C135,"")</f>
        <v/>
      </c>
      <c r="H135" s="18">
        <f>IFERROR(IF(AND(ISNUMBER(B135),INDEX($B$25:$B135,MATCH($A135-7,$A$25:$A135,1))&lt;&gt;0,INDEX($A$25:$A135,MATCH($A135-7,$A$25:$A135,1))&lt;&gt;0,$A135-INDEX($A$25:$A135,MATCH($A135-7,$A$25:$A135,1))&lt;=10),B135-INDEX($B$25:$B135,MATCH($A135-7,$A$25:$A135,1)),""),"")</f>
        <v/>
      </c>
      <c r="I135" s="18">
        <f>IFERROR(IF(AND(ISNUMBER(B135),INDEX($B$25:$B135,MATCH($A135-30,$A$25:$A135,1))&lt;&gt;0,INDEX($A$25:$A135,MATCH($A135-30,$A$25:$A135,1))&lt;&gt;0,$A135-INDEX($A$25:$A135,MATCH($A135-30,$A$25:$A135,1))&lt;=33),B135-INDEX($B$25:$B135,MATCH($A135-30,$A$25:$A135,1)),""),"")</f>
        <v/>
      </c>
      <c r="J135" s="40">
        <f>DATE(2026,11,3)-A135</f>
        <v/>
      </c>
      <c r="K135" s="26" t="inlineStr">
        <is>
          <t>27 Apr</t>
        </is>
      </c>
    </row>
    <row r="136">
      <c r="A136" s="41" t="n">
        <v>46140</v>
      </c>
      <c r="B136" s="28" t="n">
        <v>0.725</v>
      </c>
      <c r="C136" s="28" t="n">
        <v>0.275</v>
      </c>
      <c r="D136" s="29">
        <f>IF(COUNT(B136:C136)=2,B136+C136,"")</f>
        <v/>
      </c>
      <c r="E136" s="30">
        <f>IF(ISNUMBER(B136),IFERROR(B136/$D136,""),"")</f>
        <v/>
      </c>
      <c r="F136" s="30">
        <f>IF(ISNUMBER(C136),IFERROR(C136/$D136,""),"")</f>
        <v/>
      </c>
      <c r="G136" s="31">
        <f>IF(COUNT(B136:C136)=2,B136-C136,"")</f>
        <v/>
      </c>
      <c r="H136" s="31">
        <f>IFERROR(IF(AND(ISNUMBER(B136),INDEX($B$25:$B136,MATCH($A136-7,$A$25:$A136,1))&lt;&gt;0,INDEX($A$25:$A136,MATCH($A136-7,$A$25:$A136,1))&lt;&gt;0,$A136-INDEX($A$25:$A136,MATCH($A136-7,$A$25:$A136,1))&lt;=10),B136-INDEX($B$25:$B136,MATCH($A136-7,$A$25:$A136,1)),""),"")</f>
        <v/>
      </c>
      <c r="I136" s="31">
        <f>IFERROR(IF(AND(ISNUMBER(B136),INDEX($B$25:$B136,MATCH($A136-30,$A$25:$A136,1))&lt;&gt;0,INDEX($A$25:$A136,MATCH($A136-30,$A$25:$A136,1))&lt;&gt;0,$A136-INDEX($A$25:$A136,MATCH($A136-30,$A$25:$A136,1))&lt;=33),B136-INDEX($B$25:$B136,MATCH($A136-30,$A$25:$A136,1)),""),"")</f>
        <v/>
      </c>
      <c r="J136" s="42">
        <f>DATE(2026,11,3)-A136</f>
        <v/>
      </c>
      <c r="K136" s="26" t="inlineStr">
        <is>
          <t>28 Apr</t>
        </is>
      </c>
    </row>
    <row r="137">
      <c r="A137" s="39" t="n">
        <v>46141</v>
      </c>
      <c r="B137" s="16" t="n">
        <v>0.705</v>
      </c>
      <c r="C137" s="16" t="n">
        <v>0.24</v>
      </c>
      <c r="D137" s="17">
        <f>IF(COUNT(B137:C137)=2,B137+C137,"")</f>
        <v/>
      </c>
      <c r="E137" s="20">
        <f>IF(ISNUMBER(B137),IFERROR(B137/$D137,""),"")</f>
        <v/>
      </c>
      <c r="F137" s="20">
        <f>IF(ISNUMBER(C137),IFERROR(C137/$D137,""),"")</f>
        <v/>
      </c>
      <c r="G137" s="18">
        <f>IF(COUNT(B137:C137)=2,B137-C137,"")</f>
        <v/>
      </c>
      <c r="H137" s="18">
        <f>IFERROR(IF(AND(ISNUMBER(B137),INDEX($B$25:$B137,MATCH($A137-7,$A$25:$A137,1))&lt;&gt;0,INDEX($A$25:$A137,MATCH($A137-7,$A$25:$A137,1))&lt;&gt;0,$A137-INDEX($A$25:$A137,MATCH($A137-7,$A$25:$A137,1))&lt;=10),B137-INDEX($B$25:$B137,MATCH($A137-7,$A$25:$A137,1)),""),"")</f>
        <v/>
      </c>
      <c r="I137" s="18">
        <f>IFERROR(IF(AND(ISNUMBER(B137),INDEX($B$25:$B137,MATCH($A137-30,$A$25:$A137,1))&lt;&gt;0,INDEX($A$25:$A137,MATCH($A137-30,$A$25:$A137,1))&lt;&gt;0,$A137-INDEX($A$25:$A137,MATCH($A137-30,$A$25:$A137,1))&lt;=33),B137-INDEX($B$25:$B137,MATCH($A137-30,$A$25:$A137,1)),""),"")</f>
        <v/>
      </c>
      <c r="J137" s="40">
        <f>DATE(2026,11,3)-A137</f>
        <v/>
      </c>
      <c r="K137" s="26" t="inlineStr">
        <is>
          <t>29 Apr</t>
        </is>
      </c>
    </row>
    <row r="138">
      <c r="A138" s="41" t="n">
        <v>46142</v>
      </c>
      <c r="B138" s="28" t="n">
        <v>0.495</v>
      </c>
      <c r="C138" s="28" t="n">
        <v>0.185</v>
      </c>
      <c r="D138" s="29">
        <f>IF(COUNT(B138:C138)=2,B138+C138,"")</f>
        <v/>
      </c>
      <c r="E138" s="30">
        <f>IF(ISNUMBER(B138),IFERROR(B138/$D138,""),"")</f>
        <v/>
      </c>
      <c r="F138" s="30">
        <f>IF(ISNUMBER(C138),IFERROR(C138/$D138,""),"")</f>
        <v/>
      </c>
      <c r="G138" s="31">
        <f>IF(COUNT(B138:C138)=2,B138-C138,"")</f>
        <v/>
      </c>
      <c r="H138" s="31">
        <f>IFERROR(IF(AND(ISNUMBER(B138),INDEX($B$25:$B138,MATCH($A138-7,$A$25:$A138,1))&lt;&gt;0,INDEX($A$25:$A138,MATCH($A138-7,$A$25:$A138,1))&lt;&gt;0,$A138-INDEX($A$25:$A138,MATCH($A138-7,$A$25:$A138,1))&lt;=10),B138-INDEX($B$25:$B138,MATCH($A138-7,$A$25:$A138,1)),""),"")</f>
        <v/>
      </c>
      <c r="I138" s="31">
        <f>IFERROR(IF(AND(ISNUMBER(B138),INDEX($B$25:$B138,MATCH($A138-30,$A$25:$A138,1))&lt;&gt;0,INDEX($A$25:$A138,MATCH($A138-30,$A$25:$A138,1))&lt;&gt;0,$A138-INDEX($A$25:$A138,MATCH($A138-30,$A$25:$A138,1))&lt;=33),B138-INDEX($B$25:$B138,MATCH($A138-30,$A$25:$A138,1)),""),"")</f>
        <v/>
      </c>
      <c r="J138" s="42">
        <f>DATE(2026,11,3)-A138</f>
        <v/>
      </c>
      <c r="K138" s="26" t="inlineStr">
        <is>
          <t>30 Apr</t>
        </is>
      </c>
    </row>
    <row r="139">
      <c r="A139" s="39" t="n">
        <v>46143</v>
      </c>
      <c r="B139" s="16" t="n">
        <v>0.715</v>
      </c>
      <c r="C139" s="16" t="n">
        <v>0.295</v>
      </c>
      <c r="D139" s="17">
        <f>IF(COUNT(B139:C139)=2,B139+C139,"")</f>
        <v/>
      </c>
      <c r="E139" s="20">
        <f>IF(ISNUMBER(B139),IFERROR(B139/$D139,""),"")</f>
        <v/>
      </c>
      <c r="F139" s="20">
        <f>IF(ISNUMBER(C139),IFERROR(C139/$D139,""),"")</f>
        <v/>
      </c>
      <c r="G139" s="18">
        <f>IF(COUNT(B139:C139)=2,B139-C139,"")</f>
        <v/>
      </c>
      <c r="H139" s="18">
        <f>IFERROR(IF(AND(ISNUMBER(B139),INDEX($B$25:$B139,MATCH($A139-7,$A$25:$A139,1))&lt;&gt;0,INDEX($A$25:$A139,MATCH($A139-7,$A$25:$A139,1))&lt;&gt;0,$A139-INDEX($A$25:$A139,MATCH($A139-7,$A$25:$A139,1))&lt;=10),B139-INDEX($B$25:$B139,MATCH($A139-7,$A$25:$A139,1)),""),"")</f>
        <v/>
      </c>
      <c r="I139" s="18">
        <f>IFERROR(IF(AND(ISNUMBER(B139),INDEX($B$25:$B139,MATCH($A139-30,$A$25:$A139,1))&lt;&gt;0,INDEX($A$25:$A139,MATCH($A139-30,$A$25:$A139,1))&lt;&gt;0,$A139-INDEX($A$25:$A139,MATCH($A139-30,$A$25:$A139,1))&lt;=33),B139-INDEX($B$25:$B139,MATCH($A139-30,$A$25:$A139,1)),""),"")</f>
        <v/>
      </c>
      <c r="J139" s="40">
        <f>DATE(2026,11,3)-A139</f>
        <v/>
      </c>
      <c r="K139" s="26" t="inlineStr">
        <is>
          <t>01 May</t>
        </is>
      </c>
    </row>
    <row r="140">
      <c r="A140" s="41" t="n">
        <v>46144</v>
      </c>
      <c r="B140" s="28" t="n">
        <v>0.7</v>
      </c>
      <c r="C140" s="28" t="n">
        <v>0.29</v>
      </c>
      <c r="D140" s="29">
        <f>IF(COUNT(B140:C140)=2,B140+C140,"")</f>
        <v/>
      </c>
      <c r="E140" s="30">
        <f>IF(ISNUMBER(B140),IFERROR(B140/$D140,""),"")</f>
        <v/>
      </c>
      <c r="F140" s="30">
        <f>IF(ISNUMBER(C140),IFERROR(C140/$D140,""),"")</f>
        <v/>
      </c>
      <c r="G140" s="31">
        <f>IF(COUNT(B140:C140)=2,B140-C140,"")</f>
        <v/>
      </c>
      <c r="H140" s="31">
        <f>IFERROR(IF(AND(ISNUMBER(B140),INDEX($B$25:$B140,MATCH($A140-7,$A$25:$A140,1))&lt;&gt;0,INDEX($A$25:$A140,MATCH($A140-7,$A$25:$A140,1))&lt;&gt;0,$A140-INDEX($A$25:$A140,MATCH($A140-7,$A$25:$A140,1))&lt;=10),B140-INDEX($B$25:$B140,MATCH($A140-7,$A$25:$A140,1)),""),"")</f>
        <v/>
      </c>
      <c r="I140" s="31">
        <f>IFERROR(IF(AND(ISNUMBER(B140),INDEX($B$25:$B140,MATCH($A140-30,$A$25:$A140,1))&lt;&gt;0,INDEX($A$25:$A140,MATCH($A140-30,$A$25:$A140,1))&lt;&gt;0,$A140-INDEX($A$25:$A140,MATCH($A140-30,$A$25:$A140,1))&lt;=33),B140-INDEX($B$25:$B140,MATCH($A140-30,$A$25:$A140,1)),""),"")</f>
        <v/>
      </c>
      <c r="J140" s="42">
        <f>DATE(2026,11,3)-A140</f>
        <v/>
      </c>
      <c r="K140" s="26" t="inlineStr">
        <is>
          <t>02 May</t>
        </is>
      </c>
    </row>
    <row r="141">
      <c r="A141" s="39" t="n">
        <v>46145</v>
      </c>
      <c r="B141" s="16" t="n">
        <v>0.5600000000000001</v>
      </c>
      <c r="C141" s="16" t="n">
        <v>0.295</v>
      </c>
      <c r="D141" s="17">
        <f>IF(COUNT(B141:C141)=2,B141+C141,"")</f>
        <v/>
      </c>
      <c r="E141" s="20">
        <f>IF(ISNUMBER(B141),IFERROR(B141/$D141,""),"")</f>
        <v/>
      </c>
      <c r="F141" s="20">
        <f>IF(ISNUMBER(C141),IFERROR(C141/$D141,""),"")</f>
        <v/>
      </c>
      <c r="G141" s="18">
        <f>IF(COUNT(B141:C141)=2,B141-C141,"")</f>
        <v/>
      </c>
      <c r="H141" s="18">
        <f>IFERROR(IF(AND(ISNUMBER(B141),INDEX($B$25:$B141,MATCH($A141-7,$A$25:$A141,1))&lt;&gt;0,INDEX($A$25:$A141,MATCH($A141-7,$A$25:$A141,1))&lt;&gt;0,$A141-INDEX($A$25:$A141,MATCH($A141-7,$A$25:$A141,1))&lt;=10),B141-INDEX($B$25:$B141,MATCH($A141-7,$A$25:$A141,1)),""),"")</f>
        <v/>
      </c>
      <c r="I141" s="18">
        <f>IFERROR(IF(AND(ISNUMBER(B141),INDEX($B$25:$B141,MATCH($A141-30,$A$25:$A141,1))&lt;&gt;0,INDEX($A$25:$A141,MATCH($A141-30,$A$25:$A141,1))&lt;&gt;0,$A141-INDEX($A$25:$A141,MATCH($A141-30,$A$25:$A141,1))&lt;=33),B141-INDEX($B$25:$B141,MATCH($A141-30,$A$25:$A141,1)),""),"")</f>
        <v/>
      </c>
      <c r="J141" s="40">
        <f>DATE(2026,11,3)-A141</f>
        <v/>
      </c>
      <c r="K141" s="26" t="inlineStr">
        <is>
          <t>03 May</t>
        </is>
      </c>
    </row>
    <row r="142">
      <c r="A142" s="41" t="n">
        <v>46146</v>
      </c>
      <c r="B142" s="28" t="n">
        <v>0.64</v>
      </c>
      <c r="C142" s="28" t="n">
        <v>0.325</v>
      </c>
      <c r="D142" s="29">
        <f>IF(COUNT(B142:C142)=2,B142+C142,"")</f>
        <v/>
      </c>
      <c r="E142" s="30">
        <f>IF(ISNUMBER(B142),IFERROR(B142/$D142,""),"")</f>
        <v/>
      </c>
      <c r="F142" s="30">
        <f>IF(ISNUMBER(C142),IFERROR(C142/$D142,""),"")</f>
        <v/>
      </c>
      <c r="G142" s="31">
        <f>IF(COUNT(B142:C142)=2,B142-C142,"")</f>
        <v/>
      </c>
      <c r="H142" s="31">
        <f>IFERROR(IF(AND(ISNUMBER(B142),INDEX($B$25:$B142,MATCH($A142-7,$A$25:$A142,1))&lt;&gt;0,INDEX($A$25:$A142,MATCH($A142-7,$A$25:$A142,1))&lt;&gt;0,$A142-INDEX($A$25:$A142,MATCH($A142-7,$A$25:$A142,1))&lt;=10),B142-INDEX($B$25:$B142,MATCH($A142-7,$A$25:$A142,1)),""),"")</f>
        <v/>
      </c>
      <c r="I142" s="31">
        <f>IFERROR(IF(AND(ISNUMBER(B142),INDEX($B$25:$B142,MATCH($A142-30,$A$25:$A142,1))&lt;&gt;0,INDEX($A$25:$A142,MATCH($A142-30,$A$25:$A142,1))&lt;&gt;0,$A142-INDEX($A$25:$A142,MATCH($A142-30,$A$25:$A142,1))&lt;=33),B142-INDEX($B$25:$B142,MATCH($A142-30,$A$25:$A142,1)),""),"")</f>
        <v/>
      </c>
      <c r="J142" s="42">
        <f>DATE(2026,11,3)-A142</f>
        <v/>
      </c>
      <c r="K142" s="26" t="inlineStr">
        <is>
          <t>04 May</t>
        </is>
      </c>
    </row>
    <row r="143">
      <c r="A143" s="39" t="n">
        <v>46147</v>
      </c>
      <c r="B143" s="16" t="n">
        <v>0.725</v>
      </c>
      <c r="C143" s="16" t="n">
        <v>0.3</v>
      </c>
      <c r="D143" s="17">
        <f>IF(COUNT(B143:C143)=2,B143+C143,"")</f>
        <v/>
      </c>
      <c r="E143" s="20">
        <f>IF(ISNUMBER(B143),IFERROR(B143/$D143,""),"")</f>
        <v/>
      </c>
      <c r="F143" s="20">
        <f>IF(ISNUMBER(C143),IFERROR(C143/$D143,""),"")</f>
        <v/>
      </c>
      <c r="G143" s="18">
        <f>IF(COUNT(B143:C143)=2,B143-C143,"")</f>
        <v/>
      </c>
      <c r="H143" s="18">
        <f>IFERROR(IF(AND(ISNUMBER(B143),INDEX($B$25:$B143,MATCH($A143-7,$A$25:$A143,1))&lt;&gt;0,INDEX($A$25:$A143,MATCH($A143-7,$A$25:$A143,1))&lt;&gt;0,$A143-INDEX($A$25:$A143,MATCH($A143-7,$A$25:$A143,1))&lt;=10),B143-INDEX($B$25:$B143,MATCH($A143-7,$A$25:$A143,1)),""),"")</f>
        <v/>
      </c>
      <c r="I143" s="18">
        <f>IFERROR(IF(AND(ISNUMBER(B143),INDEX($B$25:$B143,MATCH($A143-30,$A$25:$A143,1))&lt;&gt;0,INDEX($A$25:$A143,MATCH($A143-30,$A$25:$A143,1))&lt;&gt;0,$A143-INDEX($A$25:$A143,MATCH($A143-30,$A$25:$A143,1))&lt;=33),B143-INDEX($B$25:$B143,MATCH($A143-30,$A$25:$A143,1)),""),"")</f>
        <v/>
      </c>
      <c r="J143" s="40">
        <f>DATE(2026,11,3)-A143</f>
        <v/>
      </c>
      <c r="K143" s="26" t="inlineStr">
        <is>
          <t>05 May</t>
        </is>
      </c>
    </row>
    <row r="144">
      <c r="A144" s="41" t="n">
        <v>46148</v>
      </c>
      <c r="B144" s="28" t="n">
        <v>0.715</v>
      </c>
      <c r="C144" s="28" t="n">
        <v>0.285</v>
      </c>
      <c r="D144" s="29">
        <f>IF(COUNT(B144:C144)=2,B144+C144,"")</f>
        <v/>
      </c>
      <c r="E144" s="30">
        <f>IF(ISNUMBER(B144),IFERROR(B144/$D144,""),"")</f>
        <v/>
      </c>
      <c r="F144" s="30">
        <f>IF(ISNUMBER(C144),IFERROR(C144/$D144,""),"")</f>
        <v/>
      </c>
      <c r="G144" s="31">
        <f>IF(COUNT(B144:C144)=2,B144-C144,"")</f>
        <v/>
      </c>
      <c r="H144" s="31">
        <f>IFERROR(IF(AND(ISNUMBER(B144),INDEX($B$25:$B144,MATCH($A144-7,$A$25:$A144,1))&lt;&gt;0,INDEX($A$25:$A144,MATCH($A144-7,$A$25:$A144,1))&lt;&gt;0,$A144-INDEX($A$25:$A144,MATCH($A144-7,$A$25:$A144,1))&lt;=10),B144-INDEX($B$25:$B144,MATCH($A144-7,$A$25:$A144,1)),""),"")</f>
        <v/>
      </c>
      <c r="I144" s="31">
        <f>IFERROR(IF(AND(ISNUMBER(B144),INDEX($B$25:$B144,MATCH($A144-30,$A$25:$A144,1))&lt;&gt;0,INDEX($A$25:$A144,MATCH($A144-30,$A$25:$A144,1))&lt;&gt;0,$A144-INDEX($A$25:$A144,MATCH($A144-30,$A$25:$A144,1))&lt;=33),B144-INDEX($B$25:$B144,MATCH($A144-30,$A$25:$A144,1)),""),"")</f>
        <v/>
      </c>
      <c r="J144" s="42">
        <f>DATE(2026,11,3)-A144</f>
        <v/>
      </c>
      <c r="K144" s="26" t="inlineStr">
        <is>
          <t>06 May</t>
        </is>
      </c>
    </row>
    <row r="145">
      <c r="A145" s="39" t="n">
        <v>46149</v>
      </c>
      <c r="B145" s="16" t="n">
        <v>0.715</v>
      </c>
      <c r="C145" s="16" t="n">
        <v>0.285</v>
      </c>
      <c r="D145" s="17">
        <f>IF(COUNT(B145:C145)=2,B145+C145,"")</f>
        <v/>
      </c>
      <c r="E145" s="20">
        <f>IF(ISNUMBER(B145),IFERROR(B145/$D145,""),"")</f>
        <v/>
      </c>
      <c r="F145" s="20">
        <f>IF(ISNUMBER(C145),IFERROR(C145/$D145,""),"")</f>
        <v/>
      </c>
      <c r="G145" s="18">
        <f>IF(COUNT(B145:C145)=2,B145-C145,"")</f>
        <v/>
      </c>
      <c r="H145" s="18">
        <f>IFERROR(IF(AND(ISNUMBER(B145),INDEX($B$25:$B145,MATCH($A145-7,$A$25:$A145,1))&lt;&gt;0,INDEX($A$25:$A145,MATCH($A145-7,$A$25:$A145,1))&lt;&gt;0,$A145-INDEX($A$25:$A145,MATCH($A145-7,$A$25:$A145,1))&lt;=10),B145-INDEX($B$25:$B145,MATCH($A145-7,$A$25:$A145,1)),""),"")</f>
        <v/>
      </c>
      <c r="I145" s="18">
        <f>IFERROR(IF(AND(ISNUMBER(B145),INDEX($B$25:$B145,MATCH($A145-30,$A$25:$A145,1))&lt;&gt;0,INDEX($A$25:$A145,MATCH($A145-30,$A$25:$A145,1))&lt;&gt;0,$A145-INDEX($A$25:$A145,MATCH($A145-30,$A$25:$A145,1))&lt;=33),B145-INDEX($B$25:$B145,MATCH($A145-30,$A$25:$A145,1)),""),"")</f>
        <v/>
      </c>
      <c r="J145" s="40">
        <f>DATE(2026,11,3)-A145</f>
        <v/>
      </c>
      <c r="K145" s="26" t="inlineStr">
        <is>
          <t>07 May</t>
        </is>
      </c>
    </row>
    <row r="146">
      <c r="A146" s="41" t="n">
        <v>46150</v>
      </c>
      <c r="B146" s="28" t="n">
        <v>0.645</v>
      </c>
      <c r="C146" s="28" t="n">
        <v>0.27</v>
      </c>
      <c r="D146" s="29">
        <f>IF(COUNT(B146:C146)=2,B146+C146,"")</f>
        <v/>
      </c>
      <c r="E146" s="30">
        <f>IF(ISNUMBER(B146),IFERROR(B146/$D146,""),"")</f>
        <v/>
      </c>
      <c r="F146" s="30">
        <f>IF(ISNUMBER(C146),IFERROR(C146/$D146,""),"")</f>
        <v/>
      </c>
      <c r="G146" s="31">
        <f>IF(COUNT(B146:C146)=2,B146-C146,"")</f>
        <v/>
      </c>
      <c r="H146" s="31">
        <f>IFERROR(IF(AND(ISNUMBER(B146),INDEX($B$25:$B146,MATCH($A146-7,$A$25:$A146,1))&lt;&gt;0,INDEX($A$25:$A146,MATCH($A146-7,$A$25:$A146,1))&lt;&gt;0,$A146-INDEX($A$25:$A146,MATCH($A146-7,$A$25:$A146,1))&lt;=10),B146-INDEX($B$25:$B146,MATCH($A146-7,$A$25:$A146,1)),""),"")</f>
        <v/>
      </c>
      <c r="I146" s="31">
        <f>IFERROR(IF(AND(ISNUMBER(B146),INDEX($B$25:$B146,MATCH($A146-30,$A$25:$A146,1))&lt;&gt;0,INDEX($A$25:$A146,MATCH($A146-30,$A$25:$A146,1))&lt;&gt;0,$A146-INDEX($A$25:$A146,MATCH($A146-30,$A$25:$A146,1))&lt;=33),B146-INDEX($B$25:$B146,MATCH($A146-30,$A$25:$A146,1)),""),"")</f>
        <v/>
      </c>
      <c r="J146" s="42">
        <f>DATE(2026,11,3)-A146</f>
        <v/>
      </c>
      <c r="K146" s="26" t="inlineStr">
        <is>
          <t>08 May</t>
        </is>
      </c>
    </row>
    <row r="147">
      <c r="A147" s="39" t="n">
        <v>46151</v>
      </c>
      <c r="B147" s="16" t="n">
        <v>0.715</v>
      </c>
      <c r="C147" s="16" t="n">
        <v>0.275</v>
      </c>
      <c r="D147" s="17">
        <f>IF(COUNT(B147:C147)=2,B147+C147,"")</f>
        <v/>
      </c>
      <c r="E147" s="20">
        <f>IF(ISNUMBER(B147),IFERROR(B147/$D147,""),"")</f>
        <v/>
      </c>
      <c r="F147" s="20">
        <f>IF(ISNUMBER(C147),IFERROR(C147/$D147,""),"")</f>
        <v/>
      </c>
      <c r="G147" s="18">
        <f>IF(COUNT(B147:C147)=2,B147-C147,"")</f>
        <v/>
      </c>
      <c r="H147" s="18">
        <f>IFERROR(IF(AND(ISNUMBER(B147),INDEX($B$25:$B147,MATCH($A147-7,$A$25:$A147,1))&lt;&gt;0,INDEX($A$25:$A147,MATCH($A147-7,$A$25:$A147,1))&lt;&gt;0,$A147-INDEX($A$25:$A147,MATCH($A147-7,$A$25:$A147,1))&lt;=10),B147-INDEX($B$25:$B147,MATCH($A147-7,$A$25:$A147,1)),""),"")</f>
        <v/>
      </c>
      <c r="I147" s="18">
        <f>IFERROR(IF(AND(ISNUMBER(B147),INDEX($B$25:$B147,MATCH($A147-30,$A$25:$A147,1))&lt;&gt;0,INDEX($A$25:$A147,MATCH($A147-30,$A$25:$A147,1))&lt;&gt;0,$A147-INDEX($A$25:$A147,MATCH($A147-30,$A$25:$A147,1))&lt;=33),B147-INDEX($B$25:$B147,MATCH($A147-30,$A$25:$A147,1)),""),"")</f>
        <v/>
      </c>
      <c r="J147" s="40">
        <f>DATE(2026,11,3)-A147</f>
        <v/>
      </c>
      <c r="K147" s="26" t="inlineStr">
        <is>
          <t>09 May</t>
        </is>
      </c>
    </row>
    <row r="148">
      <c r="A148" s="41" t="n">
        <v>46152</v>
      </c>
      <c r="B148" s="28" t="n">
        <v>0.72</v>
      </c>
      <c r="C148" s="28" t="n">
        <v>0.275</v>
      </c>
      <c r="D148" s="29">
        <f>IF(COUNT(B148:C148)=2,B148+C148,"")</f>
        <v/>
      </c>
      <c r="E148" s="30">
        <f>IF(ISNUMBER(B148),IFERROR(B148/$D148,""),"")</f>
        <v/>
      </c>
      <c r="F148" s="30">
        <f>IF(ISNUMBER(C148),IFERROR(C148/$D148,""),"")</f>
        <v/>
      </c>
      <c r="G148" s="31">
        <f>IF(COUNT(B148:C148)=2,B148-C148,"")</f>
        <v/>
      </c>
      <c r="H148" s="31">
        <f>IFERROR(IF(AND(ISNUMBER(B148),INDEX($B$25:$B148,MATCH($A148-7,$A$25:$A148,1))&lt;&gt;0,INDEX($A$25:$A148,MATCH($A148-7,$A$25:$A148,1))&lt;&gt;0,$A148-INDEX($A$25:$A148,MATCH($A148-7,$A$25:$A148,1))&lt;=10),B148-INDEX($B$25:$B148,MATCH($A148-7,$A$25:$A148,1)),""),"")</f>
        <v/>
      </c>
      <c r="I148" s="31">
        <f>IFERROR(IF(AND(ISNUMBER(B148),INDEX($B$25:$B148,MATCH($A148-30,$A$25:$A148,1))&lt;&gt;0,INDEX($A$25:$A148,MATCH($A148-30,$A$25:$A148,1))&lt;&gt;0,$A148-INDEX($A$25:$A148,MATCH($A148-30,$A$25:$A148,1))&lt;=33),B148-INDEX($B$25:$B148,MATCH($A148-30,$A$25:$A148,1)),""),"")</f>
        <v/>
      </c>
      <c r="J148" s="42">
        <f>DATE(2026,11,3)-A148</f>
        <v/>
      </c>
      <c r="K148" s="26" t="inlineStr">
        <is>
          <t>10 May</t>
        </is>
      </c>
    </row>
    <row r="149">
      <c r="A149" s="39" t="n">
        <v>46153</v>
      </c>
      <c r="B149" s="16" t="n">
        <v>0.7</v>
      </c>
      <c r="C149" s="16" t="n">
        <v>0.265</v>
      </c>
      <c r="D149" s="17">
        <f>IF(COUNT(B149:C149)=2,B149+C149,"")</f>
        <v/>
      </c>
      <c r="E149" s="20">
        <f>IF(ISNUMBER(B149),IFERROR(B149/$D149,""),"")</f>
        <v/>
      </c>
      <c r="F149" s="20">
        <f>IF(ISNUMBER(C149),IFERROR(C149/$D149,""),"")</f>
        <v/>
      </c>
      <c r="G149" s="18">
        <f>IF(COUNT(B149:C149)=2,B149-C149,"")</f>
        <v/>
      </c>
      <c r="H149" s="18">
        <f>IFERROR(IF(AND(ISNUMBER(B149),INDEX($B$25:$B149,MATCH($A149-7,$A$25:$A149,1))&lt;&gt;0,INDEX($A$25:$A149,MATCH($A149-7,$A$25:$A149,1))&lt;&gt;0,$A149-INDEX($A$25:$A149,MATCH($A149-7,$A$25:$A149,1))&lt;=10),B149-INDEX($B$25:$B149,MATCH($A149-7,$A$25:$A149,1)),""),"")</f>
        <v/>
      </c>
      <c r="I149" s="18">
        <f>IFERROR(IF(AND(ISNUMBER(B149),INDEX($B$25:$B149,MATCH($A149-30,$A$25:$A149,1))&lt;&gt;0,INDEX($A$25:$A149,MATCH($A149-30,$A$25:$A149,1))&lt;&gt;0,$A149-INDEX($A$25:$A149,MATCH($A149-30,$A$25:$A149,1))&lt;=33),B149-INDEX($B$25:$B149,MATCH($A149-30,$A$25:$A149,1)),""),"")</f>
        <v/>
      </c>
      <c r="J149" s="40">
        <f>DATE(2026,11,3)-A149</f>
        <v/>
      </c>
      <c r="K149" s="26" t="inlineStr">
        <is>
          <t>11 May</t>
        </is>
      </c>
    </row>
    <row r="150">
      <c r="A150" s="41" t="n">
        <v>46154</v>
      </c>
      <c r="B150" s="28" t="n">
        <v>0.7</v>
      </c>
      <c r="C150" s="28" t="n">
        <v>0.28</v>
      </c>
      <c r="D150" s="29">
        <f>IF(COUNT(B150:C150)=2,B150+C150,"")</f>
        <v/>
      </c>
      <c r="E150" s="30">
        <f>IF(ISNUMBER(B150),IFERROR(B150/$D150,""),"")</f>
        <v/>
      </c>
      <c r="F150" s="30">
        <f>IF(ISNUMBER(C150),IFERROR(C150/$D150,""),"")</f>
        <v/>
      </c>
      <c r="G150" s="31">
        <f>IF(COUNT(B150:C150)=2,B150-C150,"")</f>
        <v/>
      </c>
      <c r="H150" s="31">
        <f>IFERROR(IF(AND(ISNUMBER(B150),INDEX($B$25:$B150,MATCH($A150-7,$A$25:$A150,1))&lt;&gt;0,INDEX($A$25:$A150,MATCH($A150-7,$A$25:$A150,1))&lt;&gt;0,$A150-INDEX($A$25:$A150,MATCH($A150-7,$A$25:$A150,1))&lt;=10),B150-INDEX($B$25:$B150,MATCH($A150-7,$A$25:$A150,1)),""),"")</f>
        <v/>
      </c>
      <c r="I150" s="31">
        <f>IFERROR(IF(AND(ISNUMBER(B150),INDEX($B$25:$B150,MATCH($A150-30,$A$25:$A150,1))&lt;&gt;0,INDEX($A$25:$A150,MATCH($A150-30,$A$25:$A150,1))&lt;&gt;0,$A150-INDEX($A$25:$A150,MATCH($A150-30,$A$25:$A150,1))&lt;=33),B150-INDEX($B$25:$B150,MATCH($A150-30,$A$25:$A150,1)),""),"")</f>
        <v/>
      </c>
      <c r="J150" s="42">
        <f>DATE(2026,11,3)-A150</f>
        <v/>
      </c>
      <c r="K150" s="26" t="inlineStr">
        <is>
          <t>12 May</t>
        </is>
      </c>
    </row>
    <row r="151">
      <c r="A151" s="39" t="n">
        <v>46155</v>
      </c>
      <c r="B151" s="16" t="n">
        <v>0.695</v>
      </c>
      <c r="C151" s="16" t="n">
        <v>0.285</v>
      </c>
      <c r="D151" s="17">
        <f>IF(COUNT(B151:C151)=2,B151+C151,"")</f>
        <v/>
      </c>
      <c r="E151" s="20">
        <f>IF(ISNUMBER(B151),IFERROR(B151/$D151,""),"")</f>
        <v/>
      </c>
      <c r="F151" s="20">
        <f>IF(ISNUMBER(C151),IFERROR(C151/$D151,""),"")</f>
        <v/>
      </c>
      <c r="G151" s="18">
        <f>IF(COUNT(B151:C151)=2,B151-C151,"")</f>
        <v/>
      </c>
      <c r="H151" s="18">
        <f>IFERROR(IF(AND(ISNUMBER(B151),INDEX($B$25:$B151,MATCH($A151-7,$A$25:$A151,1))&lt;&gt;0,INDEX($A$25:$A151,MATCH($A151-7,$A$25:$A151,1))&lt;&gt;0,$A151-INDEX($A$25:$A151,MATCH($A151-7,$A$25:$A151,1))&lt;=10),B151-INDEX($B$25:$B151,MATCH($A151-7,$A$25:$A151,1)),""),"")</f>
        <v/>
      </c>
      <c r="I151" s="18">
        <f>IFERROR(IF(AND(ISNUMBER(B151),INDEX($B$25:$B151,MATCH($A151-30,$A$25:$A151,1))&lt;&gt;0,INDEX($A$25:$A151,MATCH($A151-30,$A$25:$A151,1))&lt;&gt;0,$A151-INDEX($A$25:$A151,MATCH($A151-30,$A$25:$A151,1))&lt;=33),B151-INDEX($B$25:$B151,MATCH($A151-30,$A$25:$A151,1)),""),"")</f>
        <v/>
      </c>
      <c r="J151" s="40">
        <f>DATE(2026,11,3)-A151</f>
        <v/>
      </c>
      <c r="K151" s="26" t="inlineStr">
        <is>
          <t>13 May</t>
        </is>
      </c>
    </row>
    <row r="152">
      <c r="A152" s="41" t="n">
        <v>46156</v>
      </c>
      <c r="B152" s="28" t="n">
        <v>0.67</v>
      </c>
      <c r="C152" s="28" t="n">
        <v>0.32</v>
      </c>
      <c r="D152" s="29">
        <f>IF(COUNT(B152:C152)=2,B152+C152,"")</f>
        <v/>
      </c>
      <c r="E152" s="30">
        <f>IF(ISNUMBER(B152),IFERROR(B152/$D152,""),"")</f>
        <v/>
      </c>
      <c r="F152" s="30">
        <f>IF(ISNUMBER(C152),IFERROR(C152/$D152,""),"")</f>
        <v/>
      </c>
      <c r="G152" s="31">
        <f>IF(COUNT(B152:C152)=2,B152-C152,"")</f>
        <v/>
      </c>
      <c r="H152" s="31">
        <f>IFERROR(IF(AND(ISNUMBER(B152),INDEX($B$25:$B152,MATCH($A152-7,$A$25:$A152,1))&lt;&gt;0,INDEX($A$25:$A152,MATCH($A152-7,$A$25:$A152,1))&lt;&gt;0,$A152-INDEX($A$25:$A152,MATCH($A152-7,$A$25:$A152,1))&lt;=10),B152-INDEX($B$25:$B152,MATCH($A152-7,$A$25:$A152,1)),""),"")</f>
        <v/>
      </c>
      <c r="I152" s="31">
        <f>IFERROR(IF(AND(ISNUMBER(B152),INDEX($B$25:$B152,MATCH($A152-30,$A$25:$A152,1))&lt;&gt;0,INDEX($A$25:$A152,MATCH($A152-30,$A$25:$A152,1))&lt;&gt;0,$A152-INDEX($A$25:$A152,MATCH($A152-30,$A$25:$A152,1))&lt;=33),B152-INDEX($B$25:$B152,MATCH($A152-30,$A$25:$A152,1)),""),"")</f>
        <v/>
      </c>
      <c r="J152" s="42">
        <f>DATE(2026,11,3)-A152</f>
        <v/>
      </c>
      <c r="K152" s="26" t="inlineStr">
        <is>
          <t>14 May</t>
        </is>
      </c>
    </row>
    <row r="153">
      <c r="A153" s="39" t="n">
        <v>46157</v>
      </c>
      <c r="B153" s="16" t="n">
        <v>0.715</v>
      </c>
      <c r="C153" s="16" t="n">
        <v>0.285</v>
      </c>
      <c r="D153" s="17">
        <f>IF(COUNT(B153:C153)=2,B153+C153,"")</f>
        <v/>
      </c>
      <c r="E153" s="20">
        <f>IF(ISNUMBER(B153),IFERROR(B153/$D153,""),"")</f>
        <v/>
      </c>
      <c r="F153" s="20">
        <f>IF(ISNUMBER(C153),IFERROR(C153/$D153,""),"")</f>
        <v/>
      </c>
      <c r="G153" s="18">
        <f>IF(COUNT(B153:C153)=2,B153-C153,"")</f>
        <v/>
      </c>
      <c r="H153" s="18">
        <f>IFERROR(IF(AND(ISNUMBER(B153),INDEX($B$25:$B153,MATCH($A153-7,$A$25:$A153,1))&lt;&gt;0,INDEX($A$25:$A153,MATCH($A153-7,$A$25:$A153,1))&lt;&gt;0,$A153-INDEX($A$25:$A153,MATCH($A153-7,$A$25:$A153,1))&lt;=10),B153-INDEX($B$25:$B153,MATCH($A153-7,$A$25:$A153,1)),""),"")</f>
        <v/>
      </c>
      <c r="I153" s="18">
        <f>IFERROR(IF(AND(ISNUMBER(B153),INDEX($B$25:$B153,MATCH($A153-30,$A$25:$A153,1))&lt;&gt;0,INDEX($A$25:$A153,MATCH($A153-30,$A$25:$A153,1))&lt;&gt;0,$A153-INDEX($A$25:$A153,MATCH($A153-30,$A$25:$A153,1))&lt;=33),B153-INDEX($B$25:$B153,MATCH($A153-30,$A$25:$A153,1)),""),"")</f>
        <v/>
      </c>
      <c r="J153" s="40">
        <f>DATE(2026,11,3)-A153</f>
        <v/>
      </c>
      <c r="K153" s="26" t="inlineStr">
        <is>
          <t>15 May</t>
        </is>
      </c>
    </row>
    <row r="154">
      <c r="A154" s="41" t="n">
        <v>46158</v>
      </c>
      <c r="B154" s="28" t="n">
        <v>0.67</v>
      </c>
      <c r="C154" s="28" t="n">
        <v>0.355</v>
      </c>
      <c r="D154" s="29">
        <f>IF(COUNT(B154:C154)=2,B154+C154,"")</f>
        <v/>
      </c>
      <c r="E154" s="30">
        <f>IF(ISNUMBER(B154),IFERROR(B154/$D154,""),"")</f>
        <v/>
      </c>
      <c r="F154" s="30">
        <f>IF(ISNUMBER(C154),IFERROR(C154/$D154,""),"")</f>
        <v/>
      </c>
      <c r="G154" s="31">
        <f>IF(COUNT(B154:C154)=2,B154-C154,"")</f>
        <v/>
      </c>
      <c r="H154" s="31">
        <f>IFERROR(IF(AND(ISNUMBER(B154),INDEX($B$25:$B154,MATCH($A154-7,$A$25:$A154,1))&lt;&gt;0,INDEX($A$25:$A154,MATCH($A154-7,$A$25:$A154,1))&lt;&gt;0,$A154-INDEX($A$25:$A154,MATCH($A154-7,$A$25:$A154,1))&lt;=10),B154-INDEX($B$25:$B154,MATCH($A154-7,$A$25:$A154,1)),""),"")</f>
        <v/>
      </c>
      <c r="I154" s="31">
        <f>IFERROR(IF(AND(ISNUMBER(B154),INDEX($B$25:$B154,MATCH($A154-30,$A$25:$A154,1))&lt;&gt;0,INDEX($A$25:$A154,MATCH($A154-30,$A$25:$A154,1))&lt;&gt;0,$A154-INDEX($A$25:$A154,MATCH($A154-30,$A$25:$A154,1))&lt;=33),B154-INDEX($B$25:$B154,MATCH($A154-30,$A$25:$A154,1)),""),"")</f>
        <v/>
      </c>
      <c r="J154" s="42">
        <f>DATE(2026,11,3)-A154</f>
        <v/>
      </c>
      <c r="K154" s="26" t="inlineStr">
        <is>
          <t>16 May</t>
        </is>
      </c>
    </row>
    <row r="155">
      <c r="A155" s="39" t="n">
        <v>46159</v>
      </c>
      <c r="B155" s="16" t="n">
        <v>0.715</v>
      </c>
      <c r="C155" s="16" t="n">
        <v>0.24</v>
      </c>
      <c r="D155" s="17">
        <f>IF(COUNT(B155:C155)=2,B155+C155,"")</f>
        <v/>
      </c>
      <c r="E155" s="20">
        <f>IF(ISNUMBER(B155),IFERROR(B155/$D155,""),"")</f>
        <v/>
      </c>
      <c r="F155" s="20">
        <f>IF(ISNUMBER(C155),IFERROR(C155/$D155,""),"")</f>
        <v/>
      </c>
      <c r="G155" s="18">
        <f>IF(COUNT(B155:C155)=2,B155-C155,"")</f>
        <v/>
      </c>
      <c r="H155" s="18">
        <f>IFERROR(IF(AND(ISNUMBER(B155),INDEX($B$25:$B155,MATCH($A155-7,$A$25:$A155,1))&lt;&gt;0,INDEX($A$25:$A155,MATCH($A155-7,$A$25:$A155,1))&lt;&gt;0,$A155-INDEX($A$25:$A155,MATCH($A155-7,$A$25:$A155,1))&lt;=10),B155-INDEX($B$25:$B155,MATCH($A155-7,$A$25:$A155,1)),""),"")</f>
        <v/>
      </c>
      <c r="I155" s="18">
        <f>IFERROR(IF(AND(ISNUMBER(B155),INDEX($B$25:$B155,MATCH($A155-30,$A$25:$A155,1))&lt;&gt;0,INDEX($A$25:$A155,MATCH($A155-30,$A$25:$A155,1))&lt;&gt;0,$A155-INDEX($A$25:$A155,MATCH($A155-30,$A$25:$A155,1))&lt;=33),B155-INDEX($B$25:$B155,MATCH($A155-30,$A$25:$A155,1)),""),"")</f>
        <v/>
      </c>
      <c r="J155" s="40">
        <f>DATE(2026,11,3)-A155</f>
        <v/>
      </c>
      <c r="K155" s="26" t="inlineStr">
        <is>
          <t>17 May</t>
        </is>
      </c>
    </row>
    <row r="156">
      <c r="A156" s="41" t="n">
        <v>46160</v>
      </c>
      <c r="B156" s="28" t="n">
        <v>0.725</v>
      </c>
      <c r="C156" s="28" t="n">
        <v>0.235</v>
      </c>
      <c r="D156" s="29">
        <f>IF(COUNT(B156:C156)=2,B156+C156,"")</f>
        <v/>
      </c>
      <c r="E156" s="30">
        <f>IF(ISNUMBER(B156),IFERROR(B156/$D156,""),"")</f>
        <v/>
      </c>
      <c r="F156" s="30">
        <f>IF(ISNUMBER(C156),IFERROR(C156/$D156,""),"")</f>
        <v/>
      </c>
      <c r="G156" s="31">
        <f>IF(COUNT(B156:C156)=2,B156-C156,"")</f>
        <v/>
      </c>
      <c r="H156" s="31">
        <f>IFERROR(IF(AND(ISNUMBER(B156),INDEX($B$25:$B156,MATCH($A156-7,$A$25:$A156,1))&lt;&gt;0,INDEX($A$25:$A156,MATCH($A156-7,$A$25:$A156,1))&lt;&gt;0,$A156-INDEX($A$25:$A156,MATCH($A156-7,$A$25:$A156,1))&lt;=10),B156-INDEX($B$25:$B156,MATCH($A156-7,$A$25:$A156,1)),""),"")</f>
        <v/>
      </c>
      <c r="I156" s="31">
        <f>IFERROR(IF(AND(ISNUMBER(B156),INDEX($B$25:$B156,MATCH($A156-30,$A$25:$A156,1))&lt;&gt;0,INDEX($A$25:$A156,MATCH($A156-30,$A$25:$A156,1))&lt;&gt;0,$A156-INDEX($A$25:$A156,MATCH($A156-30,$A$25:$A156,1))&lt;=33),B156-INDEX($B$25:$B156,MATCH($A156-30,$A$25:$A156,1)),""),"")</f>
        <v/>
      </c>
      <c r="J156" s="42">
        <f>DATE(2026,11,3)-A156</f>
        <v/>
      </c>
      <c r="K156" s="26" t="inlineStr">
        <is>
          <t>18 May</t>
        </is>
      </c>
    </row>
    <row r="157">
      <c r="A157" s="39" t="n">
        <v>46161</v>
      </c>
      <c r="B157" s="16" t="n">
        <v>0.485</v>
      </c>
      <c r="C157" s="16" t="n">
        <v>0.285</v>
      </c>
      <c r="D157" s="17">
        <f>IF(COUNT(B157:C157)=2,B157+C157,"")</f>
        <v/>
      </c>
      <c r="E157" s="20">
        <f>IF(ISNUMBER(B157),IFERROR(B157/$D157,""),"")</f>
        <v/>
      </c>
      <c r="F157" s="20">
        <f>IF(ISNUMBER(C157),IFERROR(C157/$D157,""),"")</f>
        <v/>
      </c>
      <c r="G157" s="18">
        <f>IF(COUNT(B157:C157)=2,B157-C157,"")</f>
        <v/>
      </c>
      <c r="H157" s="18">
        <f>IFERROR(IF(AND(ISNUMBER(B157),INDEX($B$25:$B157,MATCH($A157-7,$A$25:$A157,1))&lt;&gt;0,INDEX($A$25:$A157,MATCH($A157-7,$A$25:$A157,1))&lt;&gt;0,$A157-INDEX($A$25:$A157,MATCH($A157-7,$A$25:$A157,1))&lt;=10),B157-INDEX($B$25:$B157,MATCH($A157-7,$A$25:$A157,1)),""),"")</f>
        <v/>
      </c>
      <c r="I157" s="18">
        <f>IFERROR(IF(AND(ISNUMBER(B157),INDEX($B$25:$B157,MATCH($A157-30,$A$25:$A157,1))&lt;&gt;0,INDEX($A$25:$A157,MATCH($A157-30,$A$25:$A157,1))&lt;&gt;0,$A157-INDEX($A$25:$A157,MATCH($A157-30,$A$25:$A157,1))&lt;=33),B157-INDEX($B$25:$B157,MATCH($A157-30,$A$25:$A157,1)),""),"")</f>
        <v/>
      </c>
      <c r="J157" s="40">
        <f>DATE(2026,11,3)-A157</f>
        <v/>
      </c>
      <c r="K157" s="26" t="inlineStr">
        <is>
          <t>19 May</t>
        </is>
      </c>
    </row>
    <row r="158">
      <c r="A158" s="41" t="n">
        <v>46162</v>
      </c>
      <c r="B158" s="28" t="n">
        <v>0.68</v>
      </c>
      <c r="C158" s="28" t="n">
        <v>0.27</v>
      </c>
      <c r="D158" s="29">
        <f>IF(COUNT(B158:C158)=2,B158+C158,"")</f>
        <v/>
      </c>
      <c r="E158" s="30">
        <f>IF(ISNUMBER(B158),IFERROR(B158/$D158,""),"")</f>
        <v/>
      </c>
      <c r="F158" s="30">
        <f>IF(ISNUMBER(C158),IFERROR(C158/$D158,""),"")</f>
        <v/>
      </c>
      <c r="G158" s="31">
        <f>IF(COUNT(B158:C158)=2,B158-C158,"")</f>
        <v/>
      </c>
      <c r="H158" s="31">
        <f>IFERROR(IF(AND(ISNUMBER(B158),INDEX($B$25:$B158,MATCH($A158-7,$A$25:$A158,1))&lt;&gt;0,INDEX($A$25:$A158,MATCH($A158-7,$A$25:$A158,1))&lt;&gt;0,$A158-INDEX($A$25:$A158,MATCH($A158-7,$A$25:$A158,1))&lt;=10),B158-INDEX($B$25:$B158,MATCH($A158-7,$A$25:$A158,1)),""),"")</f>
        <v/>
      </c>
      <c r="I158" s="31">
        <f>IFERROR(IF(AND(ISNUMBER(B158),INDEX($B$25:$B158,MATCH($A158-30,$A$25:$A158,1))&lt;&gt;0,INDEX($A$25:$A158,MATCH($A158-30,$A$25:$A158,1))&lt;&gt;0,$A158-INDEX($A$25:$A158,MATCH($A158-30,$A$25:$A158,1))&lt;=33),B158-INDEX($B$25:$B158,MATCH($A158-30,$A$25:$A158,1)),""),"")</f>
        <v/>
      </c>
      <c r="J158" s="42">
        <f>DATE(2026,11,3)-A158</f>
        <v/>
      </c>
      <c r="K158" s="26" t="inlineStr">
        <is>
          <t>20 May</t>
        </is>
      </c>
    </row>
    <row r="159">
      <c r="A159" s="39" t="n">
        <v>46163</v>
      </c>
      <c r="B159" s="16" t="n">
        <v>0.725</v>
      </c>
      <c r="C159" s="16" t="n">
        <v>0.245</v>
      </c>
      <c r="D159" s="17">
        <f>IF(COUNT(B159:C159)=2,B159+C159,"")</f>
        <v/>
      </c>
      <c r="E159" s="20">
        <f>IF(ISNUMBER(B159),IFERROR(B159/$D159,""),"")</f>
        <v/>
      </c>
      <c r="F159" s="20">
        <f>IF(ISNUMBER(C159),IFERROR(C159/$D159,""),"")</f>
        <v/>
      </c>
      <c r="G159" s="18">
        <f>IF(COUNT(B159:C159)=2,B159-C159,"")</f>
        <v/>
      </c>
      <c r="H159" s="18">
        <f>IFERROR(IF(AND(ISNUMBER(B159),INDEX($B$25:$B159,MATCH($A159-7,$A$25:$A159,1))&lt;&gt;0,INDEX($A$25:$A159,MATCH($A159-7,$A$25:$A159,1))&lt;&gt;0,$A159-INDEX($A$25:$A159,MATCH($A159-7,$A$25:$A159,1))&lt;=10),B159-INDEX($B$25:$B159,MATCH($A159-7,$A$25:$A159,1)),""),"")</f>
        <v/>
      </c>
      <c r="I159" s="18">
        <f>IFERROR(IF(AND(ISNUMBER(B159),INDEX($B$25:$B159,MATCH($A159-30,$A$25:$A159,1))&lt;&gt;0,INDEX($A$25:$A159,MATCH($A159-30,$A$25:$A159,1))&lt;&gt;0,$A159-INDEX($A$25:$A159,MATCH($A159-30,$A$25:$A159,1))&lt;=33),B159-INDEX($B$25:$B159,MATCH($A159-30,$A$25:$A159,1)),""),"")</f>
        <v/>
      </c>
      <c r="J159" s="40">
        <f>DATE(2026,11,3)-A159</f>
        <v/>
      </c>
      <c r="K159" s="26" t="inlineStr">
        <is>
          <t>21 May</t>
        </is>
      </c>
    </row>
    <row r="160">
      <c r="A160" s="41" t="n">
        <v>46164</v>
      </c>
      <c r="B160" s="28" t="n">
        <v>0.74</v>
      </c>
      <c r="C160" s="28" t="n">
        <v>0.24</v>
      </c>
      <c r="D160" s="29">
        <f>IF(COUNT(B160:C160)=2,B160+C160,"")</f>
        <v/>
      </c>
      <c r="E160" s="30">
        <f>IF(ISNUMBER(B160),IFERROR(B160/$D160,""),"")</f>
        <v/>
      </c>
      <c r="F160" s="30">
        <f>IF(ISNUMBER(C160),IFERROR(C160/$D160,""),"")</f>
        <v/>
      </c>
      <c r="G160" s="31">
        <f>IF(COUNT(B160:C160)=2,B160-C160,"")</f>
        <v/>
      </c>
      <c r="H160" s="31">
        <f>IFERROR(IF(AND(ISNUMBER(B160),INDEX($B$25:$B160,MATCH($A160-7,$A$25:$A160,1))&lt;&gt;0,INDEX($A$25:$A160,MATCH($A160-7,$A$25:$A160,1))&lt;&gt;0,$A160-INDEX($A$25:$A160,MATCH($A160-7,$A$25:$A160,1))&lt;=10),B160-INDEX($B$25:$B160,MATCH($A160-7,$A$25:$A160,1)),""),"")</f>
        <v/>
      </c>
      <c r="I160" s="31">
        <f>IFERROR(IF(AND(ISNUMBER(B160),INDEX($B$25:$B160,MATCH($A160-30,$A$25:$A160,1))&lt;&gt;0,INDEX($A$25:$A160,MATCH($A160-30,$A$25:$A160,1))&lt;&gt;0,$A160-INDEX($A$25:$A160,MATCH($A160-30,$A$25:$A160,1))&lt;=33),B160-INDEX($B$25:$B160,MATCH($A160-30,$A$25:$A160,1)),""),"")</f>
        <v/>
      </c>
      <c r="J160" s="42">
        <f>DATE(2026,11,3)-A160</f>
        <v/>
      </c>
      <c r="K160" s="26" t="inlineStr">
        <is>
          <t>22 May</t>
        </is>
      </c>
    </row>
    <row r="161">
      <c r="A161" s="39" t="n">
        <v>46165</v>
      </c>
      <c r="B161" s="16" t="n">
        <v>0.385</v>
      </c>
      <c r="C161" s="16" t="n">
        <v>0.275</v>
      </c>
      <c r="D161" s="17">
        <f>IF(COUNT(B161:C161)=2,B161+C161,"")</f>
        <v/>
      </c>
      <c r="E161" s="20">
        <f>IF(ISNUMBER(B161),IFERROR(B161/$D161,""),"")</f>
        <v/>
      </c>
      <c r="F161" s="20">
        <f>IF(ISNUMBER(C161),IFERROR(C161/$D161,""),"")</f>
        <v/>
      </c>
      <c r="G161" s="18">
        <f>IF(COUNT(B161:C161)=2,B161-C161,"")</f>
        <v/>
      </c>
      <c r="H161" s="18">
        <f>IFERROR(IF(AND(ISNUMBER(B161),INDEX($B$25:$B161,MATCH($A161-7,$A$25:$A161,1))&lt;&gt;0,INDEX($A$25:$A161,MATCH($A161-7,$A$25:$A161,1))&lt;&gt;0,$A161-INDEX($A$25:$A161,MATCH($A161-7,$A$25:$A161,1))&lt;=10),B161-INDEX($B$25:$B161,MATCH($A161-7,$A$25:$A161,1)),""),"")</f>
        <v/>
      </c>
      <c r="I161" s="18">
        <f>IFERROR(IF(AND(ISNUMBER(B161),INDEX($B$25:$B161,MATCH($A161-30,$A$25:$A161,1))&lt;&gt;0,INDEX($A$25:$A161,MATCH($A161-30,$A$25:$A161,1))&lt;&gt;0,$A161-INDEX($A$25:$A161,MATCH($A161-30,$A$25:$A161,1))&lt;=33),B161-INDEX($B$25:$B161,MATCH($A161-30,$A$25:$A161,1)),""),"")</f>
        <v/>
      </c>
      <c r="J161" s="40">
        <f>DATE(2026,11,3)-A161</f>
        <v/>
      </c>
      <c r="K161" s="26" t="inlineStr">
        <is>
          <t>23 May</t>
        </is>
      </c>
    </row>
    <row r="162">
      <c r="A162" s="41" t="n">
        <v>46166</v>
      </c>
      <c r="B162" s="28" t="n">
        <v>0.555</v>
      </c>
      <c r="C162" s="28" t="n">
        <v>0.305</v>
      </c>
      <c r="D162" s="29">
        <f>IF(COUNT(B162:C162)=2,B162+C162,"")</f>
        <v/>
      </c>
      <c r="E162" s="30">
        <f>IF(ISNUMBER(B162),IFERROR(B162/$D162,""),"")</f>
        <v/>
      </c>
      <c r="F162" s="30">
        <f>IF(ISNUMBER(C162),IFERROR(C162/$D162,""),"")</f>
        <v/>
      </c>
      <c r="G162" s="31">
        <f>IF(COUNT(B162:C162)=2,B162-C162,"")</f>
        <v/>
      </c>
      <c r="H162" s="31">
        <f>IFERROR(IF(AND(ISNUMBER(B162),INDEX($B$25:$B162,MATCH($A162-7,$A$25:$A162,1))&lt;&gt;0,INDEX($A$25:$A162,MATCH($A162-7,$A$25:$A162,1))&lt;&gt;0,$A162-INDEX($A$25:$A162,MATCH($A162-7,$A$25:$A162,1))&lt;=10),B162-INDEX($B$25:$B162,MATCH($A162-7,$A$25:$A162,1)),""),"")</f>
        <v/>
      </c>
      <c r="I162" s="31">
        <f>IFERROR(IF(AND(ISNUMBER(B162),INDEX($B$25:$B162,MATCH($A162-30,$A$25:$A162,1))&lt;&gt;0,INDEX($A$25:$A162,MATCH($A162-30,$A$25:$A162,1))&lt;&gt;0,$A162-INDEX($A$25:$A162,MATCH($A162-30,$A$25:$A162,1))&lt;=33),B162-INDEX($B$25:$B162,MATCH($A162-30,$A$25:$A162,1)),""),"")</f>
        <v/>
      </c>
      <c r="J162" s="42">
        <f>DATE(2026,11,3)-A162</f>
        <v/>
      </c>
      <c r="K162" s="26" t="inlineStr">
        <is>
          <t>24 May</t>
        </is>
      </c>
    </row>
    <row r="163">
      <c r="A163" s="39" t="n">
        <v>46167</v>
      </c>
      <c r="B163" s="16" t="n">
        <v>0.635</v>
      </c>
      <c r="C163" s="16" t="n">
        <v>0.24</v>
      </c>
      <c r="D163" s="17">
        <f>IF(COUNT(B163:C163)=2,B163+C163,"")</f>
        <v/>
      </c>
      <c r="E163" s="20">
        <f>IF(ISNUMBER(B163),IFERROR(B163/$D163,""),"")</f>
        <v/>
      </c>
      <c r="F163" s="20">
        <f>IF(ISNUMBER(C163),IFERROR(C163/$D163,""),"")</f>
        <v/>
      </c>
      <c r="G163" s="18">
        <f>IF(COUNT(B163:C163)=2,B163-C163,"")</f>
        <v/>
      </c>
      <c r="H163" s="18">
        <f>IFERROR(IF(AND(ISNUMBER(B163),INDEX($B$25:$B163,MATCH($A163-7,$A$25:$A163,1))&lt;&gt;0,INDEX($A$25:$A163,MATCH($A163-7,$A$25:$A163,1))&lt;&gt;0,$A163-INDEX($A$25:$A163,MATCH($A163-7,$A$25:$A163,1))&lt;=10),B163-INDEX($B$25:$B163,MATCH($A163-7,$A$25:$A163,1)),""),"")</f>
        <v/>
      </c>
      <c r="I163" s="18">
        <f>IFERROR(IF(AND(ISNUMBER(B163),INDEX($B$25:$B163,MATCH($A163-30,$A$25:$A163,1))&lt;&gt;0,INDEX($A$25:$A163,MATCH($A163-30,$A$25:$A163,1))&lt;&gt;0,$A163-INDEX($A$25:$A163,MATCH($A163-30,$A$25:$A163,1))&lt;=33),B163-INDEX($B$25:$B163,MATCH($A163-30,$A$25:$A163,1)),""),"")</f>
        <v/>
      </c>
      <c r="J163" s="40">
        <f>DATE(2026,11,3)-A163</f>
        <v/>
      </c>
      <c r="K163" s="26" t="inlineStr">
        <is>
          <t>25 May</t>
        </is>
      </c>
    </row>
    <row r="164">
      <c r="A164" s="41" t="n">
        <v>46168</v>
      </c>
      <c r="B164" s="28" t="n">
        <v>0.675</v>
      </c>
      <c r="C164" s="28" t="n">
        <v>0.255</v>
      </c>
      <c r="D164" s="29">
        <f>IF(COUNT(B164:C164)=2,B164+C164,"")</f>
        <v/>
      </c>
      <c r="E164" s="30">
        <f>IF(ISNUMBER(B164),IFERROR(B164/$D164,""),"")</f>
        <v/>
      </c>
      <c r="F164" s="30">
        <f>IF(ISNUMBER(C164),IFERROR(C164/$D164,""),"")</f>
        <v/>
      </c>
      <c r="G164" s="31">
        <f>IF(COUNT(B164:C164)=2,B164-C164,"")</f>
        <v/>
      </c>
      <c r="H164" s="31">
        <f>IFERROR(IF(AND(ISNUMBER(B164),INDEX($B$25:$B164,MATCH($A164-7,$A$25:$A164,1))&lt;&gt;0,INDEX($A$25:$A164,MATCH($A164-7,$A$25:$A164,1))&lt;&gt;0,$A164-INDEX($A$25:$A164,MATCH($A164-7,$A$25:$A164,1))&lt;=10),B164-INDEX($B$25:$B164,MATCH($A164-7,$A$25:$A164,1)),""),"")</f>
        <v/>
      </c>
      <c r="I164" s="31">
        <f>IFERROR(IF(AND(ISNUMBER(B164),INDEX($B$25:$B164,MATCH($A164-30,$A$25:$A164,1))&lt;&gt;0,INDEX($A$25:$A164,MATCH($A164-30,$A$25:$A164,1))&lt;&gt;0,$A164-INDEX($A$25:$A164,MATCH($A164-30,$A$25:$A164,1))&lt;=33),B164-INDEX($B$25:$B164,MATCH($A164-30,$A$25:$A164,1)),""),"")</f>
        <v/>
      </c>
      <c r="J164" s="42">
        <f>DATE(2026,11,3)-A164</f>
        <v/>
      </c>
      <c r="K164" s="26" t="inlineStr">
        <is>
          <t>26 May</t>
        </is>
      </c>
    </row>
    <row r="165">
      <c r="A165" s="39" t="n">
        <v>46169</v>
      </c>
      <c r="B165" s="16" t="n">
        <v>0.67</v>
      </c>
      <c r="C165" s="16" t="n">
        <v>0.245</v>
      </c>
      <c r="D165" s="17">
        <f>IF(COUNT(B165:C165)=2,B165+C165,"")</f>
        <v/>
      </c>
      <c r="E165" s="20">
        <f>IF(ISNUMBER(B165),IFERROR(B165/$D165,""),"")</f>
        <v/>
      </c>
      <c r="F165" s="20">
        <f>IF(ISNUMBER(C165),IFERROR(C165/$D165,""),"")</f>
        <v/>
      </c>
      <c r="G165" s="18">
        <f>IF(COUNT(B165:C165)=2,B165-C165,"")</f>
        <v/>
      </c>
      <c r="H165" s="18">
        <f>IFERROR(IF(AND(ISNUMBER(B165),INDEX($B$25:$B165,MATCH($A165-7,$A$25:$A165,1))&lt;&gt;0,INDEX($A$25:$A165,MATCH($A165-7,$A$25:$A165,1))&lt;&gt;0,$A165-INDEX($A$25:$A165,MATCH($A165-7,$A$25:$A165,1))&lt;=10),B165-INDEX($B$25:$B165,MATCH($A165-7,$A$25:$A165,1)),""),"")</f>
        <v/>
      </c>
      <c r="I165" s="18">
        <f>IFERROR(IF(AND(ISNUMBER(B165),INDEX($B$25:$B165,MATCH($A165-30,$A$25:$A165,1))&lt;&gt;0,INDEX($A$25:$A165,MATCH($A165-30,$A$25:$A165,1))&lt;&gt;0,$A165-INDEX($A$25:$A165,MATCH($A165-30,$A$25:$A165,1))&lt;=33),B165-INDEX($B$25:$B165,MATCH($A165-30,$A$25:$A165,1)),""),"")</f>
        <v/>
      </c>
      <c r="J165" s="40">
        <f>DATE(2026,11,3)-A165</f>
        <v/>
      </c>
      <c r="K165" s="26" t="inlineStr">
        <is>
          <t>27 May</t>
        </is>
      </c>
    </row>
    <row r="166">
      <c r="A166" s="41" t="n">
        <v>46170</v>
      </c>
      <c r="B166" s="28" t="n">
        <v>0.6899999999999999</v>
      </c>
      <c r="C166" s="28" t="n">
        <v>0.28</v>
      </c>
      <c r="D166" s="29">
        <f>IF(COUNT(B166:C166)=2,B166+C166,"")</f>
        <v/>
      </c>
      <c r="E166" s="30">
        <f>IF(ISNUMBER(B166),IFERROR(B166/$D166,""),"")</f>
        <v/>
      </c>
      <c r="F166" s="30">
        <f>IF(ISNUMBER(C166),IFERROR(C166/$D166,""),"")</f>
        <v/>
      </c>
      <c r="G166" s="31">
        <f>IF(COUNT(B166:C166)=2,B166-C166,"")</f>
        <v/>
      </c>
      <c r="H166" s="31">
        <f>IFERROR(IF(AND(ISNUMBER(B166),INDEX($B$25:$B166,MATCH($A166-7,$A$25:$A166,1))&lt;&gt;0,INDEX($A$25:$A166,MATCH($A166-7,$A$25:$A166,1))&lt;&gt;0,$A166-INDEX($A$25:$A166,MATCH($A166-7,$A$25:$A166,1))&lt;=10),B166-INDEX($B$25:$B166,MATCH($A166-7,$A$25:$A166,1)),""),"")</f>
        <v/>
      </c>
      <c r="I166" s="31">
        <f>IFERROR(IF(AND(ISNUMBER(B166),INDEX($B$25:$B166,MATCH($A166-30,$A$25:$A166,1))&lt;&gt;0,INDEX($A$25:$A166,MATCH($A166-30,$A$25:$A166,1))&lt;&gt;0,$A166-INDEX($A$25:$A166,MATCH($A166-30,$A$25:$A166,1))&lt;=33),B166-INDEX($B$25:$B166,MATCH($A166-30,$A$25:$A166,1)),""),"")</f>
        <v/>
      </c>
      <c r="J166" s="42">
        <f>DATE(2026,11,3)-A166</f>
        <v/>
      </c>
      <c r="K166" s="26" t="inlineStr">
        <is>
          <t>28 May</t>
        </is>
      </c>
    </row>
    <row r="167">
      <c r="A167" s="39" t="n">
        <v>46171</v>
      </c>
      <c r="B167" s="16" t="n">
        <v>0.695</v>
      </c>
      <c r="C167" s="16" t="n">
        <v>0.255</v>
      </c>
      <c r="D167" s="17">
        <f>IF(COUNT(B167:C167)=2,B167+C167,"")</f>
        <v/>
      </c>
      <c r="E167" s="20">
        <f>IF(ISNUMBER(B167),IFERROR(B167/$D167,""),"")</f>
        <v/>
      </c>
      <c r="F167" s="20">
        <f>IF(ISNUMBER(C167),IFERROR(C167/$D167,""),"")</f>
        <v/>
      </c>
      <c r="G167" s="18">
        <f>IF(COUNT(B167:C167)=2,B167-C167,"")</f>
        <v/>
      </c>
      <c r="H167" s="18">
        <f>IFERROR(IF(AND(ISNUMBER(B167),INDEX($B$25:$B167,MATCH($A167-7,$A$25:$A167,1))&lt;&gt;0,INDEX($A$25:$A167,MATCH($A167-7,$A$25:$A167,1))&lt;&gt;0,$A167-INDEX($A$25:$A167,MATCH($A167-7,$A$25:$A167,1))&lt;=10),B167-INDEX($B$25:$B167,MATCH($A167-7,$A$25:$A167,1)),""),"")</f>
        <v/>
      </c>
      <c r="I167" s="18">
        <f>IFERROR(IF(AND(ISNUMBER(B167),INDEX($B$25:$B167,MATCH($A167-30,$A$25:$A167,1))&lt;&gt;0,INDEX($A$25:$A167,MATCH($A167-30,$A$25:$A167,1))&lt;&gt;0,$A167-INDEX($A$25:$A167,MATCH($A167-30,$A$25:$A167,1))&lt;=33),B167-INDEX($B$25:$B167,MATCH($A167-30,$A$25:$A167,1)),""),"")</f>
        <v/>
      </c>
      <c r="J167" s="40">
        <f>DATE(2026,11,3)-A167</f>
        <v/>
      </c>
      <c r="K167" s="26" t="inlineStr">
        <is>
          <t>29 May</t>
        </is>
      </c>
    </row>
    <row r="168">
      <c r="A168" s="41" t="n">
        <v>46172</v>
      </c>
      <c r="B168" s="28" t="n">
        <v>0.705</v>
      </c>
      <c r="C168" s="28" t="n">
        <v>0.285</v>
      </c>
      <c r="D168" s="29">
        <f>IF(COUNT(B168:C168)=2,B168+C168,"")</f>
        <v/>
      </c>
      <c r="E168" s="30">
        <f>IF(ISNUMBER(B168),IFERROR(B168/$D168,""),"")</f>
        <v/>
      </c>
      <c r="F168" s="30">
        <f>IF(ISNUMBER(C168),IFERROR(C168/$D168,""),"")</f>
        <v/>
      </c>
      <c r="G168" s="31">
        <f>IF(COUNT(B168:C168)=2,B168-C168,"")</f>
        <v/>
      </c>
      <c r="H168" s="31">
        <f>IFERROR(IF(AND(ISNUMBER(B168),INDEX($B$25:$B168,MATCH($A168-7,$A$25:$A168,1))&lt;&gt;0,INDEX($A$25:$A168,MATCH($A168-7,$A$25:$A168,1))&lt;&gt;0,$A168-INDEX($A$25:$A168,MATCH($A168-7,$A$25:$A168,1))&lt;=10),B168-INDEX($B$25:$B168,MATCH($A168-7,$A$25:$A168,1)),""),"")</f>
        <v/>
      </c>
      <c r="I168" s="31">
        <f>IFERROR(IF(AND(ISNUMBER(B168),INDEX($B$25:$B168,MATCH($A168-30,$A$25:$A168,1))&lt;&gt;0,INDEX($A$25:$A168,MATCH($A168-30,$A$25:$A168,1))&lt;&gt;0,$A168-INDEX($A$25:$A168,MATCH($A168-30,$A$25:$A168,1))&lt;=33),B168-INDEX($B$25:$B168,MATCH($A168-30,$A$25:$A168,1)),""),"")</f>
        <v/>
      </c>
      <c r="J168" s="42">
        <f>DATE(2026,11,3)-A168</f>
        <v/>
      </c>
      <c r="K168" s="26" t="inlineStr">
        <is>
          <t>30 May</t>
        </is>
      </c>
    </row>
    <row r="169">
      <c r="A169" s="39" t="n">
        <v>46173</v>
      </c>
      <c r="B169" s="16" t="n">
        <v>0.67</v>
      </c>
      <c r="C169" s="16" t="n">
        <v>0.315</v>
      </c>
      <c r="D169" s="17">
        <f>IF(COUNT(B169:C169)=2,B169+C169,"")</f>
        <v/>
      </c>
      <c r="E169" s="20">
        <f>IF(ISNUMBER(B169),IFERROR(B169/$D169,""),"")</f>
        <v/>
      </c>
      <c r="F169" s="20">
        <f>IF(ISNUMBER(C169),IFERROR(C169/$D169,""),"")</f>
        <v/>
      </c>
      <c r="G169" s="18">
        <f>IF(COUNT(B169:C169)=2,B169-C169,"")</f>
        <v/>
      </c>
      <c r="H169" s="18">
        <f>IFERROR(IF(AND(ISNUMBER(B169),INDEX($B$25:$B169,MATCH($A169-7,$A$25:$A169,1))&lt;&gt;0,INDEX($A$25:$A169,MATCH($A169-7,$A$25:$A169,1))&lt;&gt;0,$A169-INDEX($A$25:$A169,MATCH($A169-7,$A$25:$A169,1))&lt;=10),B169-INDEX($B$25:$B169,MATCH($A169-7,$A$25:$A169,1)),""),"")</f>
        <v/>
      </c>
      <c r="I169" s="18">
        <f>IFERROR(IF(AND(ISNUMBER(B169),INDEX($B$25:$B169,MATCH($A169-30,$A$25:$A169,1))&lt;&gt;0,INDEX($A$25:$A169,MATCH($A169-30,$A$25:$A169,1))&lt;&gt;0,$A169-INDEX($A$25:$A169,MATCH($A169-30,$A$25:$A169,1))&lt;=33),B169-INDEX($B$25:$B169,MATCH($A169-30,$A$25:$A169,1)),""),"")</f>
        <v/>
      </c>
      <c r="J169" s="40">
        <f>DATE(2026,11,3)-A169</f>
        <v/>
      </c>
      <c r="K169" s="26" t="inlineStr">
        <is>
          <t>31 May</t>
        </is>
      </c>
    </row>
    <row r="170">
      <c r="A170" s="41" t="n">
        <v>46174</v>
      </c>
      <c r="B170" s="28" t="n">
        <v>0.545</v>
      </c>
      <c r="C170" s="28" t="n">
        <v>0.28</v>
      </c>
      <c r="D170" s="29">
        <f>IF(COUNT(B170:C170)=2,B170+C170,"")</f>
        <v/>
      </c>
      <c r="E170" s="30">
        <f>IF(ISNUMBER(B170),IFERROR(B170/$D170,""),"")</f>
        <v/>
      </c>
      <c r="F170" s="30">
        <f>IF(ISNUMBER(C170),IFERROR(C170/$D170,""),"")</f>
        <v/>
      </c>
      <c r="G170" s="31">
        <f>IF(COUNT(B170:C170)=2,B170-C170,"")</f>
        <v/>
      </c>
      <c r="H170" s="31">
        <f>IFERROR(IF(AND(ISNUMBER(B170),INDEX($B$25:$B170,MATCH($A170-7,$A$25:$A170,1))&lt;&gt;0,INDEX($A$25:$A170,MATCH($A170-7,$A$25:$A170,1))&lt;&gt;0,$A170-INDEX($A$25:$A170,MATCH($A170-7,$A$25:$A170,1))&lt;=10),B170-INDEX($B$25:$B170,MATCH($A170-7,$A$25:$A170,1)),""),"")</f>
        <v/>
      </c>
      <c r="I170" s="31">
        <f>IFERROR(IF(AND(ISNUMBER(B170),INDEX($B$25:$B170,MATCH($A170-30,$A$25:$A170,1))&lt;&gt;0,INDEX($A$25:$A170,MATCH($A170-30,$A$25:$A170,1))&lt;&gt;0,$A170-INDEX($A$25:$A170,MATCH($A170-30,$A$25:$A170,1))&lt;=33),B170-INDEX($B$25:$B170,MATCH($A170-30,$A$25:$A170,1)),""),"")</f>
        <v/>
      </c>
      <c r="J170" s="42">
        <f>DATE(2026,11,3)-A170</f>
        <v/>
      </c>
      <c r="K170" s="26" t="inlineStr">
        <is>
          <t>01 Jun</t>
        </is>
      </c>
    </row>
    <row r="171">
      <c r="A171" s="39" t="n">
        <v>46175</v>
      </c>
      <c r="B171" s="16" t="n">
        <v>0.705</v>
      </c>
      <c r="C171" s="16" t="n">
        <v>0.225</v>
      </c>
      <c r="D171" s="17">
        <f>IF(COUNT(B171:C171)=2,B171+C171,"")</f>
        <v/>
      </c>
      <c r="E171" s="20">
        <f>IF(ISNUMBER(B171),IFERROR(B171/$D171,""),"")</f>
        <v/>
      </c>
      <c r="F171" s="20">
        <f>IF(ISNUMBER(C171),IFERROR(C171/$D171,""),"")</f>
        <v/>
      </c>
      <c r="G171" s="18">
        <f>IF(COUNT(B171:C171)=2,B171-C171,"")</f>
        <v/>
      </c>
      <c r="H171" s="18">
        <f>IFERROR(IF(AND(ISNUMBER(B171),INDEX($B$25:$B171,MATCH($A171-7,$A$25:$A171,1))&lt;&gt;0,INDEX($A$25:$A171,MATCH($A171-7,$A$25:$A171,1))&lt;&gt;0,$A171-INDEX($A$25:$A171,MATCH($A171-7,$A$25:$A171,1))&lt;=10),B171-INDEX($B$25:$B171,MATCH($A171-7,$A$25:$A171,1)),""),"")</f>
        <v/>
      </c>
      <c r="I171" s="18">
        <f>IFERROR(IF(AND(ISNUMBER(B171),INDEX($B$25:$B171,MATCH($A171-30,$A$25:$A171,1))&lt;&gt;0,INDEX($A$25:$A171,MATCH($A171-30,$A$25:$A171,1))&lt;&gt;0,$A171-INDEX($A$25:$A171,MATCH($A171-30,$A$25:$A171,1))&lt;=33),B171-INDEX($B$25:$B171,MATCH($A171-30,$A$25:$A171,1)),""),"")</f>
        <v/>
      </c>
      <c r="J171" s="40">
        <f>DATE(2026,11,3)-A171</f>
        <v/>
      </c>
      <c r="K171" s="26" t="inlineStr">
        <is>
          <t>02 Jun</t>
        </is>
      </c>
    </row>
    <row r="172">
      <c r="A172" s="41" t="n">
        <v>46176</v>
      </c>
      <c r="B172" s="28" t="n">
        <v>0.705</v>
      </c>
      <c r="C172" s="28" t="n">
        <v>0.21</v>
      </c>
      <c r="D172" s="29">
        <f>IF(COUNT(B172:C172)=2,B172+C172,"")</f>
        <v/>
      </c>
      <c r="E172" s="30">
        <f>IF(ISNUMBER(B172),IFERROR(B172/$D172,""),"")</f>
        <v/>
      </c>
      <c r="F172" s="30">
        <f>IF(ISNUMBER(C172),IFERROR(C172/$D172,""),"")</f>
        <v/>
      </c>
      <c r="G172" s="31">
        <f>IF(COUNT(B172:C172)=2,B172-C172,"")</f>
        <v/>
      </c>
      <c r="H172" s="31">
        <f>IFERROR(IF(AND(ISNUMBER(B172),INDEX($B$25:$B172,MATCH($A172-7,$A$25:$A172,1))&lt;&gt;0,INDEX($A$25:$A172,MATCH($A172-7,$A$25:$A172,1))&lt;&gt;0,$A172-INDEX($A$25:$A172,MATCH($A172-7,$A$25:$A172,1))&lt;=10),B172-INDEX($B$25:$B172,MATCH($A172-7,$A$25:$A172,1)),""),"")</f>
        <v/>
      </c>
      <c r="I172" s="31">
        <f>IFERROR(IF(AND(ISNUMBER(B172),INDEX($B$25:$B172,MATCH($A172-30,$A$25:$A172,1))&lt;&gt;0,INDEX($A$25:$A172,MATCH($A172-30,$A$25:$A172,1))&lt;&gt;0,$A172-INDEX($A$25:$A172,MATCH($A172-30,$A$25:$A172,1))&lt;=33),B172-INDEX($B$25:$B172,MATCH($A172-30,$A$25:$A172,1)),""),"")</f>
        <v/>
      </c>
      <c r="J172" s="42">
        <f>DATE(2026,11,3)-A172</f>
        <v/>
      </c>
      <c r="K172" s="26" t="inlineStr">
        <is>
          <t>03 Jun</t>
        </is>
      </c>
    </row>
    <row r="173">
      <c r="A173" s="39" t="n">
        <v>46177</v>
      </c>
      <c r="B173" s="16" t="n">
        <v>0.695</v>
      </c>
      <c r="C173" s="16" t="n">
        <v>0.215</v>
      </c>
      <c r="D173" s="17">
        <f>IF(COUNT(B173:C173)=2,B173+C173,"")</f>
        <v/>
      </c>
      <c r="E173" s="20">
        <f>IF(ISNUMBER(B173),IFERROR(B173/$D173,""),"")</f>
        <v/>
      </c>
      <c r="F173" s="20">
        <f>IF(ISNUMBER(C173),IFERROR(C173/$D173,""),"")</f>
        <v/>
      </c>
      <c r="G173" s="18">
        <f>IF(COUNT(B173:C173)=2,B173-C173,"")</f>
        <v/>
      </c>
      <c r="H173" s="18">
        <f>IFERROR(IF(AND(ISNUMBER(B173),INDEX($B$25:$B173,MATCH($A173-7,$A$25:$A173,1))&lt;&gt;0,INDEX($A$25:$A173,MATCH($A173-7,$A$25:$A173,1))&lt;&gt;0,$A173-INDEX($A$25:$A173,MATCH($A173-7,$A$25:$A173,1))&lt;=10),B173-INDEX($B$25:$B173,MATCH($A173-7,$A$25:$A173,1)),""),"")</f>
        <v/>
      </c>
      <c r="I173" s="18">
        <f>IFERROR(IF(AND(ISNUMBER(B173),INDEX($B$25:$B173,MATCH($A173-30,$A$25:$A173,1))&lt;&gt;0,INDEX($A$25:$A173,MATCH($A173-30,$A$25:$A173,1))&lt;&gt;0,$A173-INDEX($A$25:$A173,MATCH($A173-30,$A$25:$A173,1))&lt;=33),B173-INDEX($B$25:$B173,MATCH($A173-30,$A$25:$A173,1)),""),"")</f>
        <v/>
      </c>
      <c r="J173" s="40">
        <f>DATE(2026,11,3)-A173</f>
        <v/>
      </c>
      <c r="K173" s="26" t="inlineStr">
        <is>
          <t>04 Jun</t>
        </is>
      </c>
    </row>
    <row r="174">
      <c r="A174" s="41" t="n">
        <v>46178</v>
      </c>
      <c r="B174" s="28" t="n">
        <v>0.6899999999999999</v>
      </c>
      <c r="C174" s="28" t="n">
        <v>0.22</v>
      </c>
      <c r="D174" s="29">
        <f>IF(COUNT(B174:C174)=2,B174+C174,"")</f>
        <v/>
      </c>
      <c r="E174" s="30">
        <f>IF(ISNUMBER(B174),IFERROR(B174/$D174,""),"")</f>
        <v/>
      </c>
      <c r="F174" s="30">
        <f>IF(ISNUMBER(C174),IFERROR(C174/$D174,""),"")</f>
        <v/>
      </c>
      <c r="G174" s="31">
        <f>IF(COUNT(B174:C174)=2,B174-C174,"")</f>
        <v/>
      </c>
      <c r="H174" s="31">
        <f>IFERROR(IF(AND(ISNUMBER(B174),INDEX($B$25:$B174,MATCH($A174-7,$A$25:$A174,1))&lt;&gt;0,INDEX($A$25:$A174,MATCH($A174-7,$A$25:$A174,1))&lt;&gt;0,$A174-INDEX($A$25:$A174,MATCH($A174-7,$A$25:$A174,1))&lt;=10),B174-INDEX($B$25:$B174,MATCH($A174-7,$A$25:$A174,1)),""),"")</f>
        <v/>
      </c>
      <c r="I174" s="31">
        <f>IFERROR(IF(AND(ISNUMBER(B174),INDEX($B$25:$B174,MATCH($A174-30,$A$25:$A174,1))&lt;&gt;0,INDEX($A$25:$A174,MATCH($A174-30,$A$25:$A174,1))&lt;&gt;0,$A174-INDEX($A$25:$A174,MATCH($A174-30,$A$25:$A174,1))&lt;=33),B174-INDEX($B$25:$B174,MATCH($A174-30,$A$25:$A174,1)),""),"")</f>
        <v/>
      </c>
      <c r="J174" s="42">
        <f>DATE(2026,11,3)-A174</f>
        <v/>
      </c>
      <c r="K174" s="26" t="inlineStr">
        <is>
          <t>05 Jun</t>
        </is>
      </c>
    </row>
    <row r="175">
      <c r="A175" s="39" t="n">
        <v>46179</v>
      </c>
      <c r="B175" s="16" t="n">
        <v>0.6899999999999999</v>
      </c>
      <c r="C175" s="16" t="n">
        <v>0.225</v>
      </c>
      <c r="D175" s="17">
        <f>IF(COUNT(B175:C175)=2,B175+C175,"")</f>
        <v/>
      </c>
      <c r="E175" s="20">
        <f>IF(ISNUMBER(B175),IFERROR(B175/$D175,""),"")</f>
        <v/>
      </c>
      <c r="F175" s="20">
        <f>IF(ISNUMBER(C175),IFERROR(C175/$D175,""),"")</f>
        <v/>
      </c>
      <c r="G175" s="18">
        <f>IF(COUNT(B175:C175)=2,B175-C175,"")</f>
        <v/>
      </c>
      <c r="H175" s="18">
        <f>IFERROR(IF(AND(ISNUMBER(B175),INDEX($B$25:$B175,MATCH($A175-7,$A$25:$A175,1))&lt;&gt;0,INDEX($A$25:$A175,MATCH($A175-7,$A$25:$A175,1))&lt;&gt;0,$A175-INDEX($A$25:$A175,MATCH($A175-7,$A$25:$A175,1))&lt;=10),B175-INDEX($B$25:$B175,MATCH($A175-7,$A$25:$A175,1)),""),"")</f>
        <v/>
      </c>
      <c r="I175" s="18">
        <f>IFERROR(IF(AND(ISNUMBER(B175),INDEX($B$25:$B175,MATCH($A175-30,$A$25:$A175,1))&lt;&gt;0,INDEX($A$25:$A175,MATCH($A175-30,$A$25:$A175,1))&lt;&gt;0,$A175-INDEX($A$25:$A175,MATCH($A175-30,$A$25:$A175,1))&lt;=33),B175-INDEX($B$25:$B175,MATCH($A175-30,$A$25:$A175,1)),""),"")</f>
        <v/>
      </c>
      <c r="J175" s="40">
        <f>DATE(2026,11,3)-A175</f>
        <v/>
      </c>
      <c r="K175" s="26" t="inlineStr">
        <is>
          <t>06 Jun</t>
        </is>
      </c>
    </row>
    <row r="176">
      <c r="A176" s="41" t="n">
        <v>46180</v>
      </c>
      <c r="B176" s="28" t="n">
        <v>0.695</v>
      </c>
      <c r="C176" s="28" t="n">
        <v>0.225</v>
      </c>
      <c r="D176" s="29">
        <f>IF(COUNT(B176:C176)=2,B176+C176,"")</f>
        <v/>
      </c>
      <c r="E176" s="30">
        <f>IF(ISNUMBER(B176),IFERROR(B176/$D176,""),"")</f>
        <v/>
      </c>
      <c r="F176" s="30">
        <f>IF(ISNUMBER(C176),IFERROR(C176/$D176,""),"")</f>
        <v/>
      </c>
      <c r="G176" s="31">
        <f>IF(COUNT(B176:C176)=2,B176-C176,"")</f>
        <v/>
      </c>
      <c r="H176" s="31">
        <f>IFERROR(IF(AND(ISNUMBER(B176),INDEX($B$25:$B176,MATCH($A176-7,$A$25:$A176,1))&lt;&gt;0,INDEX($A$25:$A176,MATCH($A176-7,$A$25:$A176,1))&lt;&gt;0,$A176-INDEX($A$25:$A176,MATCH($A176-7,$A$25:$A176,1))&lt;=10),B176-INDEX($B$25:$B176,MATCH($A176-7,$A$25:$A176,1)),""),"")</f>
        <v/>
      </c>
      <c r="I176" s="31">
        <f>IFERROR(IF(AND(ISNUMBER(B176),INDEX($B$25:$B176,MATCH($A176-30,$A$25:$A176,1))&lt;&gt;0,INDEX($A$25:$A176,MATCH($A176-30,$A$25:$A176,1))&lt;&gt;0,$A176-INDEX($A$25:$A176,MATCH($A176-30,$A$25:$A176,1))&lt;=33),B176-INDEX($B$25:$B176,MATCH($A176-30,$A$25:$A176,1)),""),"")</f>
        <v/>
      </c>
      <c r="J176" s="42">
        <f>DATE(2026,11,3)-A176</f>
        <v/>
      </c>
      <c r="K176" s="26" t="inlineStr">
        <is>
          <t>07 Jun</t>
        </is>
      </c>
    </row>
    <row r="177">
      <c r="A177" s="39" t="n">
        <v>46181</v>
      </c>
      <c r="B177" s="16" t="n">
        <v>0.705</v>
      </c>
      <c r="C177" s="16" t="n">
        <v>0.22</v>
      </c>
      <c r="D177" s="17">
        <f>IF(COUNT(B177:C177)=2,B177+C177,"")</f>
        <v/>
      </c>
      <c r="E177" s="20">
        <f>IF(ISNUMBER(B177),IFERROR(B177/$D177,""),"")</f>
        <v/>
      </c>
      <c r="F177" s="20">
        <f>IF(ISNUMBER(C177),IFERROR(C177/$D177,""),"")</f>
        <v/>
      </c>
      <c r="G177" s="18">
        <f>IF(COUNT(B177:C177)=2,B177-C177,"")</f>
        <v/>
      </c>
      <c r="H177" s="18">
        <f>IFERROR(IF(AND(ISNUMBER(B177),INDEX($B$25:$B177,MATCH($A177-7,$A$25:$A177,1))&lt;&gt;0,INDEX($A$25:$A177,MATCH($A177-7,$A$25:$A177,1))&lt;&gt;0,$A177-INDEX($A$25:$A177,MATCH($A177-7,$A$25:$A177,1))&lt;=10),B177-INDEX($B$25:$B177,MATCH($A177-7,$A$25:$A177,1)),""),"")</f>
        <v/>
      </c>
      <c r="I177" s="18">
        <f>IFERROR(IF(AND(ISNUMBER(B177),INDEX($B$25:$B177,MATCH($A177-30,$A$25:$A177,1))&lt;&gt;0,INDEX($A$25:$A177,MATCH($A177-30,$A$25:$A177,1))&lt;&gt;0,$A177-INDEX($A$25:$A177,MATCH($A177-30,$A$25:$A177,1))&lt;=33),B177-INDEX($B$25:$B177,MATCH($A177-30,$A$25:$A177,1)),""),"")</f>
        <v/>
      </c>
      <c r="J177" s="40">
        <f>DATE(2026,11,3)-A177</f>
        <v/>
      </c>
      <c r="K177" s="26" t="inlineStr">
        <is>
          <t>08 Jun</t>
        </is>
      </c>
    </row>
    <row r="178">
      <c r="A178" s="41" t="n">
        <v>46182</v>
      </c>
      <c r="B178" s="28" t="n">
        <v>0.705</v>
      </c>
      <c r="C178" s="28" t="n">
        <v>0.225</v>
      </c>
      <c r="D178" s="29">
        <f>IF(COUNT(B178:C178)=2,B178+C178,"")</f>
        <v/>
      </c>
      <c r="E178" s="30">
        <f>IF(ISNUMBER(B178),IFERROR(B178/$D178,""),"")</f>
        <v/>
      </c>
      <c r="F178" s="30">
        <f>IF(ISNUMBER(C178),IFERROR(C178/$D178,""),"")</f>
        <v/>
      </c>
      <c r="G178" s="31">
        <f>IF(COUNT(B178:C178)=2,B178-C178,"")</f>
        <v/>
      </c>
      <c r="H178" s="31">
        <f>IFERROR(IF(AND(ISNUMBER(B178),INDEX($B$25:$B178,MATCH($A178-7,$A$25:$A178,1))&lt;&gt;0,INDEX($A$25:$A178,MATCH($A178-7,$A$25:$A178,1))&lt;&gt;0,$A178-INDEX($A$25:$A178,MATCH($A178-7,$A$25:$A178,1))&lt;=10),B178-INDEX($B$25:$B178,MATCH($A178-7,$A$25:$A178,1)),""),"")</f>
        <v/>
      </c>
      <c r="I178" s="31">
        <f>IFERROR(IF(AND(ISNUMBER(B178),INDEX($B$25:$B178,MATCH($A178-30,$A$25:$A178,1))&lt;&gt;0,INDEX($A$25:$A178,MATCH($A178-30,$A$25:$A178,1))&lt;&gt;0,$A178-INDEX($A$25:$A178,MATCH($A178-30,$A$25:$A178,1))&lt;=33),B178-INDEX($B$25:$B178,MATCH($A178-30,$A$25:$A178,1)),""),"")</f>
        <v/>
      </c>
      <c r="J178" s="42">
        <f>DATE(2026,11,3)-A178</f>
        <v/>
      </c>
      <c r="K178" s="26" t="inlineStr">
        <is>
          <t>09 Jun</t>
        </is>
      </c>
    </row>
    <row r="179">
      <c r="A179" s="39" t="n">
        <v>46183</v>
      </c>
      <c r="B179" s="16" t="n">
        <v>0.705</v>
      </c>
      <c r="C179" s="16" t="n">
        <v>0.22</v>
      </c>
      <c r="D179" s="17">
        <f>IF(COUNT(B179:C179)=2,B179+C179,"")</f>
        <v/>
      </c>
      <c r="E179" s="20">
        <f>IF(ISNUMBER(B179),IFERROR(B179/$D179,""),"")</f>
        <v/>
      </c>
      <c r="F179" s="20">
        <f>IF(ISNUMBER(C179),IFERROR(C179/$D179,""),"")</f>
        <v/>
      </c>
      <c r="G179" s="18">
        <f>IF(COUNT(B179:C179)=2,B179-C179,"")</f>
        <v/>
      </c>
      <c r="H179" s="18">
        <f>IFERROR(IF(AND(ISNUMBER(B179),INDEX($B$25:$B179,MATCH($A179-7,$A$25:$A179,1))&lt;&gt;0,INDEX($A$25:$A179,MATCH($A179-7,$A$25:$A179,1))&lt;&gt;0,$A179-INDEX($A$25:$A179,MATCH($A179-7,$A$25:$A179,1))&lt;=10),B179-INDEX($B$25:$B179,MATCH($A179-7,$A$25:$A179,1)),""),"")</f>
        <v/>
      </c>
      <c r="I179" s="18">
        <f>IFERROR(IF(AND(ISNUMBER(B179),INDEX($B$25:$B179,MATCH($A179-30,$A$25:$A179,1))&lt;&gt;0,INDEX($A$25:$A179,MATCH($A179-30,$A$25:$A179,1))&lt;&gt;0,$A179-INDEX($A$25:$A179,MATCH($A179-30,$A$25:$A179,1))&lt;=33),B179-INDEX($B$25:$B179,MATCH($A179-30,$A$25:$A179,1)),""),"")</f>
        <v/>
      </c>
      <c r="J179" s="40">
        <f>DATE(2026,11,3)-A179</f>
        <v/>
      </c>
      <c r="K179" s="26" t="inlineStr">
        <is>
          <t>10 Jun</t>
        </is>
      </c>
    </row>
    <row r="180">
      <c r="A180" s="41" t="n">
        <v>46184</v>
      </c>
      <c r="B180" s="28" t="n">
        <v>0.715</v>
      </c>
      <c r="C180" s="28" t="n">
        <v>0.225</v>
      </c>
      <c r="D180" s="29">
        <f>IF(COUNT(B180:C180)=2,B180+C180,"")</f>
        <v/>
      </c>
      <c r="E180" s="30">
        <f>IF(ISNUMBER(B180),IFERROR(B180/$D180,""),"")</f>
        <v/>
      </c>
      <c r="F180" s="30">
        <f>IF(ISNUMBER(C180),IFERROR(C180/$D180,""),"")</f>
        <v/>
      </c>
      <c r="G180" s="31">
        <f>IF(COUNT(B180:C180)=2,B180-C180,"")</f>
        <v/>
      </c>
      <c r="H180" s="31">
        <f>IFERROR(IF(AND(ISNUMBER(B180),INDEX($B$25:$B180,MATCH($A180-7,$A$25:$A180,1))&lt;&gt;0,INDEX($A$25:$A180,MATCH($A180-7,$A$25:$A180,1))&lt;&gt;0,$A180-INDEX($A$25:$A180,MATCH($A180-7,$A$25:$A180,1))&lt;=10),B180-INDEX($B$25:$B180,MATCH($A180-7,$A$25:$A180,1)),""),"")</f>
        <v/>
      </c>
      <c r="I180" s="31">
        <f>IFERROR(IF(AND(ISNUMBER(B180),INDEX($B$25:$B180,MATCH($A180-30,$A$25:$A180,1))&lt;&gt;0,INDEX($A$25:$A180,MATCH($A180-30,$A$25:$A180,1))&lt;&gt;0,$A180-INDEX($A$25:$A180,MATCH($A180-30,$A$25:$A180,1))&lt;=33),B180-INDEX($B$25:$B180,MATCH($A180-30,$A$25:$A180,1)),""),"")</f>
        <v/>
      </c>
      <c r="J180" s="42">
        <f>DATE(2026,11,3)-A180</f>
        <v/>
      </c>
      <c r="K180" s="26" t="inlineStr">
        <is>
          <t>11 Jun</t>
        </is>
      </c>
    </row>
    <row r="181">
      <c r="A181" s="39" t="n">
        <v>46185</v>
      </c>
      <c r="B181" s="16" t="n">
        <v>0.705</v>
      </c>
      <c r="C181" s="16" t="n">
        <v>0.225</v>
      </c>
      <c r="D181" s="17">
        <f>IF(COUNT(B181:C181)=2,B181+C181,"")</f>
        <v/>
      </c>
      <c r="E181" s="20">
        <f>IF(ISNUMBER(B181),IFERROR(B181/$D181,""),"")</f>
        <v/>
      </c>
      <c r="F181" s="20">
        <f>IF(ISNUMBER(C181),IFERROR(C181/$D181,""),"")</f>
        <v/>
      </c>
      <c r="G181" s="18">
        <f>IF(COUNT(B181:C181)=2,B181-C181,"")</f>
        <v/>
      </c>
      <c r="H181" s="18">
        <f>IFERROR(IF(AND(ISNUMBER(B181),INDEX($B$25:$B181,MATCH($A181-7,$A$25:$A181,1))&lt;&gt;0,INDEX($A$25:$A181,MATCH($A181-7,$A$25:$A181,1))&lt;&gt;0,$A181-INDEX($A$25:$A181,MATCH($A181-7,$A$25:$A181,1))&lt;=10),B181-INDEX($B$25:$B181,MATCH($A181-7,$A$25:$A181,1)),""),"")</f>
        <v/>
      </c>
      <c r="I181" s="18">
        <f>IFERROR(IF(AND(ISNUMBER(B181),INDEX($B$25:$B181,MATCH($A181-30,$A$25:$A181,1))&lt;&gt;0,INDEX($A$25:$A181,MATCH($A181-30,$A$25:$A181,1))&lt;&gt;0,$A181-INDEX($A$25:$A181,MATCH($A181-30,$A$25:$A181,1))&lt;=33),B181-INDEX($B$25:$B181,MATCH($A181-30,$A$25:$A181,1)),""),"")</f>
        <v/>
      </c>
      <c r="J181" s="40">
        <f>DATE(2026,11,3)-A181</f>
        <v/>
      </c>
      <c r="K181" s="26" t="inlineStr">
        <is>
          <t>12 Jun</t>
        </is>
      </c>
    </row>
    <row r="182">
      <c r="A182" s="41" t="n">
        <v>46186</v>
      </c>
      <c r="B182" s="28" t="n">
        <v>0.73</v>
      </c>
      <c r="C182" s="28" t="n">
        <v>0.225</v>
      </c>
      <c r="D182" s="29">
        <f>IF(COUNT(B182:C182)=2,B182+C182,"")</f>
        <v/>
      </c>
      <c r="E182" s="30">
        <f>IF(ISNUMBER(B182),IFERROR(B182/$D182,""),"")</f>
        <v/>
      </c>
      <c r="F182" s="30">
        <f>IF(ISNUMBER(C182),IFERROR(C182/$D182,""),"")</f>
        <v/>
      </c>
      <c r="G182" s="31">
        <f>IF(COUNT(B182:C182)=2,B182-C182,"")</f>
        <v/>
      </c>
      <c r="H182" s="31">
        <f>IFERROR(IF(AND(ISNUMBER(B182),INDEX($B$25:$B182,MATCH($A182-7,$A$25:$A182,1))&lt;&gt;0,INDEX($A$25:$A182,MATCH($A182-7,$A$25:$A182,1))&lt;&gt;0,$A182-INDEX($A$25:$A182,MATCH($A182-7,$A$25:$A182,1))&lt;=10),B182-INDEX($B$25:$B182,MATCH($A182-7,$A$25:$A182,1)),""),"")</f>
        <v/>
      </c>
      <c r="I182" s="31">
        <f>IFERROR(IF(AND(ISNUMBER(B182),INDEX($B$25:$B182,MATCH($A182-30,$A$25:$A182,1))&lt;&gt;0,INDEX($A$25:$A182,MATCH($A182-30,$A$25:$A182,1))&lt;&gt;0,$A182-INDEX($A$25:$A182,MATCH($A182-30,$A$25:$A182,1))&lt;=33),B182-INDEX($B$25:$B182,MATCH($A182-30,$A$25:$A182,1)),""),"")</f>
        <v/>
      </c>
      <c r="J182" s="42">
        <f>DATE(2026,11,3)-A182</f>
        <v/>
      </c>
      <c r="K182" s="26" t="inlineStr">
        <is>
          <t>13 Jun</t>
        </is>
      </c>
    </row>
    <row r="183">
      <c r="A183" s="39" t="n">
        <v>46187</v>
      </c>
      <c r="B183" s="16" t="n">
        <v>0.73</v>
      </c>
      <c r="C183" s="16" t="n">
        <v>0.22</v>
      </c>
      <c r="D183" s="17">
        <f>IF(COUNT(B183:C183)=2,B183+C183,"")</f>
        <v/>
      </c>
      <c r="E183" s="20">
        <f>IF(ISNUMBER(B183),IFERROR(B183/$D183,""),"")</f>
        <v/>
      </c>
      <c r="F183" s="20">
        <f>IF(ISNUMBER(C183),IFERROR(C183/$D183,""),"")</f>
        <v/>
      </c>
      <c r="G183" s="18">
        <f>IF(COUNT(B183:C183)=2,B183-C183,"")</f>
        <v/>
      </c>
      <c r="H183" s="18">
        <f>IFERROR(IF(AND(ISNUMBER(B183),INDEX($B$25:$B183,MATCH($A183-7,$A$25:$A183,1))&lt;&gt;0,INDEX($A$25:$A183,MATCH($A183-7,$A$25:$A183,1))&lt;&gt;0,$A183-INDEX($A$25:$A183,MATCH($A183-7,$A$25:$A183,1))&lt;=10),B183-INDEX($B$25:$B183,MATCH($A183-7,$A$25:$A183,1)),""),"")</f>
        <v/>
      </c>
      <c r="I183" s="18">
        <f>IFERROR(IF(AND(ISNUMBER(B183),INDEX($B$25:$B183,MATCH($A183-30,$A$25:$A183,1))&lt;&gt;0,INDEX($A$25:$A183,MATCH($A183-30,$A$25:$A183,1))&lt;&gt;0,$A183-INDEX($A$25:$A183,MATCH($A183-30,$A$25:$A183,1))&lt;=33),B183-INDEX($B$25:$B183,MATCH($A183-30,$A$25:$A183,1)),""),"")</f>
        <v/>
      </c>
      <c r="J183" s="40">
        <f>DATE(2026,11,3)-A183</f>
        <v/>
      </c>
      <c r="K183" s="26" t="inlineStr">
        <is>
          <t>14 Jun</t>
        </is>
      </c>
    </row>
    <row r="184">
      <c r="A184" s="41" t="n">
        <v>46188</v>
      </c>
      <c r="B184" s="28" t="n">
        <v>0.74</v>
      </c>
      <c r="C184" s="28" t="n">
        <v>0.225</v>
      </c>
      <c r="D184" s="29">
        <f>IF(COUNT(B184:C184)=2,B184+C184,"")</f>
        <v/>
      </c>
      <c r="E184" s="30">
        <f>IF(ISNUMBER(B184),IFERROR(B184/$D184,""),"")</f>
        <v/>
      </c>
      <c r="F184" s="30">
        <f>IF(ISNUMBER(C184),IFERROR(C184/$D184,""),"")</f>
        <v/>
      </c>
      <c r="G184" s="31">
        <f>IF(COUNT(B184:C184)=2,B184-C184,"")</f>
        <v/>
      </c>
      <c r="H184" s="31">
        <f>IFERROR(IF(AND(ISNUMBER(B184),INDEX($B$25:$B184,MATCH($A184-7,$A$25:$A184,1))&lt;&gt;0,INDEX($A$25:$A184,MATCH($A184-7,$A$25:$A184,1))&lt;&gt;0,$A184-INDEX($A$25:$A184,MATCH($A184-7,$A$25:$A184,1))&lt;=10),B184-INDEX($B$25:$B184,MATCH($A184-7,$A$25:$A184,1)),""),"")</f>
        <v/>
      </c>
      <c r="I184" s="31">
        <f>IFERROR(IF(AND(ISNUMBER(B184),INDEX($B$25:$B184,MATCH($A184-30,$A$25:$A184,1))&lt;&gt;0,INDEX($A$25:$A184,MATCH($A184-30,$A$25:$A184,1))&lt;&gt;0,$A184-INDEX($A$25:$A184,MATCH($A184-30,$A$25:$A184,1))&lt;=33),B184-INDEX($B$25:$B184,MATCH($A184-30,$A$25:$A184,1)),""),"")</f>
        <v/>
      </c>
      <c r="J184" s="42">
        <f>DATE(2026,11,3)-A184</f>
        <v/>
      </c>
      <c r="K184" s="26" t="inlineStr">
        <is>
          <t>15 Jun</t>
        </is>
      </c>
    </row>
    <row r="185">
      <c r="A185" s="39" t="n">
        <v>46189</v>
      </c>
      <c r="B185" s="16" t="n">
        <v>0.74</v>
      </c>
      <c r="C185" s="16" t="n">
        <v>0.22</v>
      </c>
      <c r="D185" s="17">
        <f>IF(COUNT(B185:C185)=2,B185+C185,"")</f>
        <v/>
      </c>
      <c r="E185" s="20">
        <f>IF(ISNUMBER(B185),IFERROR(B185/$D185,""),"")</f>
        <v/>
      </c>
      <c r="F185" s="20">
        <f>IF(ISNUMBER(C185),IFERROR(C185/$D185,""),"")</f>
        <v/>
      </c>
      <c r="G185" s="18">
        <f>IF(COUNT(B185:C185)=2,B185-C185,"")</f>
        <v/>
      </c>
      <c r="H185" s="18">
        <f>IFERROR(IF(AND(ISNUMBER(B185),INDEX($B$25:$B185,MATCH($A185-7,$A$25:$A185,1))&lt;&gt;0,INDEX($A$25:$A185,MATCH($A185-7,$A$25:$A185,1))&lt;&gt;0,$A185-INDEX($A$25:$A185,MATCH($A185-7,$A$25:$A185,1))&lt;=10),B185-INDEX($B$25:$B185,MATCH($A185-7,$A$25:$A185,1)),""),"")</f>
        <v/>
      </c>
      <c r="I185" s="18">
        <f>IFERROR(IF(AND(ISNUMBER(B185),INDEX($B$25:$B185,MATCH($A185-30,$A$25:$A185,1))&lt;&gt;0,INDEX($A$25:$A185,MATCH($A185-30,$A$25:$A185,1))&lt;&gt;0,$A185-INDEX($A$25:$A185,MATCH($A185-30,$A$25:$A185,1))&lt;=33),B185-INDEX($B$25:$B185,MATCH($A185-30,$A$25:$A185,1)),""),"")</f>
        <v/>
      </c>
      <c r="J185" s="40">
        <f>DATE(2026,11,3)-A185</f>
        <v/>
      </c>
      <c r="K185" s="26" t="inlineStr">
        <is>
          <t>16 Jun</t>
        </is>
      </c>
    </row>
    <row r="186">
      <c r="A186" s="41" t="n">
        <v>46190</v>
      </c>
      <c r="B186" s="28" t="n">
        <v>0.74</v>
      </c>
      <c r="C186" s="28" t="n">
        <v>0.225</v>
      </c>
      <c r="D186" s="29">
        <f>IF(COUNT(B186:C186)=2,B186+C186,"")</f>
        <v/>
      </c>
      <c r="E186" s="30">
        <f>IF(ISNUMBER(B186),IFERROR(B186/$D186,""),"")</f>
        <v/>
      </c>
      <c r="F186" s="30">
        <f>IF(ISNUMBER(C186),IFERROR(C186/$D186,""),"")</f>
        <v/>
      </c>
      <c r="G186" s="31">
        <f>IF(COUNT(B186:C186)=2,B186-C186,"")</f>
        <v/>
      </c>
      <c r="H186" s="31">
        <f>IFERROR(IF(AND(ISNUMBER(B186),INDEX($B$25:$B186,MATCH($A186-7,$A$25:$A186,1))&lt;&gt;0,INDEX($A$25:$A186,MATCH($A186-7,$A$25:$A186,1))&lt;&gt;0,$A186-INDEX($A$25:$A186,MATCH($A186-7,$A$25:$A186,1))&lt;=10),B186-INDEX($B$25:$B186,MATCH($A186-7,$A$25:$A186,1)),""),"")</f>
        <v/>
      </c>
      <c r="I186" s="31">
        <f>IFERROR(IF(AND(ISNUMBER(B186),INDEX($B$25:$B186,MATCH($A186-30,$A$25:$A186,1))&lt;&gt;0,INDEX($A$25:$A186,MATCH($A186-30,$A$25:$A186,1))&lt;&gt;0,$A186-INDEX($A$25:$A186,MATCH($A186-30,$A$25:$A186,1))&lt;=33),B186-INDEX($B$25:$B186,MATCH($A186-30,$A$25:$A186,1)),""),"")</f>
        <v/>
      </c>
      <c r="J186" s="42">
        <f>DATE(2026,11,3)-A186</f>
        <v/>
      </c>
      <c r="K186" s="26" t="inlineStr">
        <is>
          <t>17 Jun</t>
        </is>
      </c>
    </row>
    <row r="187">
      <c r="A187" s="39" t="n">
        <v>46191</v>
      </c>
      <c r="B187" s="16" t="n">
        <v>0.74</v>
      </c>
      <c r="C187" s="16" t="n">
        <v>0.215</v>
      </c>
      <c r="D187" s="17">
        <f>IF(COUNT(B187:C187)=2,B187+C187,"")</f>
        <v/>
      </c>
      <c r="E187" s="20">
        <f>IF(ISNUMBER(B187),IFERROR(B187/$D187,""),"")</f>
        <v/>
      </c>
      <c r="F187" s="20">
        <f>IF(ISNUMBER(C187),IFERROR(C187/$D187,""),"")</f>
        <v/>
      </c>
      <c r="G187" s="18">
        <f>IF(COUNT(B187:C187)=2,B187-C187,"")</f>
        <v/>
      </c>
      <c r="H187" s="18">
        <f>IFERROR(IF(AND(ISNUMBER(B187),INDEX($B$25:$B187,MATCH($A187-7,$A$25:$A187,1))&lt;&gt;0,INDEX($A$25:$A187,MATCH($A187-7,$A$25:$A187,1))&lt;&gt;0,$A187-INDEX($A$25:$A187,MATCH($A187-7,$A$25:$A187,1))&lt;=10),B187-INDEX($B$25:$B187,MATCH($A187-7,$A$25:$A187,1)),""),"")</f>
        <v/>
      </c>
      <c r="I187" s="18">
        <f>IFERROR(IF(AND(ISNUMBER(B187),INDEX($B$25:$B187,MATCH($A187-30,$A$25:$A187,1))&lt;&gt;0,INDEX($A$25:$A187,MATCH($A187-30,$A$25:$A187,1))&lt;&gt;0,$A187-INDEX($A$25:$A187,MATCH($A187-30,$A$25:$A187,1))&lt;=33),B187-INDEX($B$25:$B187,MATCH($A187-30,$A$25:$A187,1)),""),"")</f>
        <v/>
      </c>
      <c r="J187" s="40">
        <f>DATE(2026,11,3)-A187</f>
        <v/>
      </c>
      <c r="K187" s="26" t="inlineStr">
        <is>
          <t>18 Jun</t>
        </is>
      </c>
    </row>
    <row r="188">
      <c r="A188" s="41" t="n">
        <v>46192</v>
      </c>
      <c r="B188" s="28" t="n">
        <v>0.74</v>
      </c>
      <c r="C188" s="28" t="n">
        <v>0.215</v>
      </c>
      <c r="D188" s="29">
        <f>IF(COUNT(B188:C188)=2,B188+C188,"")</f>
        <v/>
      </c>
      <c r="E188" s="30">
        <f>IF(ISNUMBER(B188),IFERROR(B188/$D188,""),"")</f>
        <v/>
      </c>
      <c r="F188" s="30">
        <f>IF(ISNUMBER(C188),IFERROR(C188/$D188,""),"")</f>
        <v/>
      </c>
      <c r="G188" s="31">
        <f>IF(COUNT(B188:C188)=2,B188-C188,"")</f>
        <v/>
      </c>
      <c r="H188" s="31">
        <f>IFERROR(IF(AND(ISNUMBER(B188),INDEX($B$25:$B188,MATCH($A188-7,$A$25:$A188,1))&lt;&gt;0,INDEX($A$25:$A188,MATCH($A188-7,$A$25:$A188,1))&lt;&gt;0,$A188-INDEX($A$25:$A188,MATCH($A188-7,$A$25:$A188,1))&lt;=10),B188-INDEX($B$25:$B188,MATCH($A188-7,$A$25:$A188,1)),""),"")</f>
        <v/>
      </c>
      <c r="I188" s="31">
        <f>IFERROR(IF(AND(ISNUMBER(B188),INDEX($B$25:$B188,MATCH($A188-30,$A$25:$A188,1))&lt;&gt;0,INDEX($A$25:$A188,MATCH($A188-30,$A$25:$A188,1))&lt;&gt;0,$A188-INDEX($A$25:$A188,MATCH($A188-30,$A$25:$A188,1))&lt;=33),B188-INDEX($B$25:$B188,MATCH($A188-30,$A$25:$A188,1)),""),"")</f>
        <v/>
      </c>
      <c r="J188" s="42">
        <f>DATE(2026,11,3)-A188</f>
        <v/>
      </c>
      <c r="K188" s="26" t="inlineStr">
        <is>
          <t>19 Jun</t>
        </is>
      </c>
    </row>
    <row r="189">
      <c r="A189" s="39" t="n">
        <v>46193</v>
      </c>
      <c r="B189" s="16" t="n">
        <v>0.74</v>
      </c>
      <c r="C189" s="16" t="n">
        <v>0.21</v>
      </c>
      <c r="D189" s="17">
        <f>IF(COUNT(B189:C189)=2,B189+C189,"")</f>
        <v/>
      </c>
      <c r="E189" s="20">
        <f>IF(ISNUMBER(B189),IFERROR(B189/$D189,""),"")</f>
        <v/>
      </c>
      <c r="F189" s="20">
        <f>IF(ISNUMBER(C189),IFERROR(C189/$D189,""),"")</f>
        <v/>
      </c>
      <c r="G189" s="18">
        <f>IF(COUNT(B189:C189)=2,B189-C189,"")</f>
        <v/>
      </c>
      <c r="H189" s="18">
        <f>IFERROR(IF(AND(ISNUMBER(B189),INDEX($B$25:$B189,MATCH($A189-7,$A$25:$A189,1))&lt;&gt;0,INDEX($A$25:$A189,MATCH($A189-7,$A$25:$A189,1))&lt;&gt;0,$A189-INDEX($A$25:$A189,MATCH($A189-7,$A$25:$A189,1))&lt;=10),B189-INDEX($B$25:$B189,MATCH($A189-7,$A$25:$A189,1)),""),"")</f>
        <v/>
      </c>
      <c r="I189" s="18">
        <f>IFERROR(IF(AND(ISNUMBER(B189),INDEX($B$25:$B189,MATCH($A189-30,$A$25:$A189,1))&lt;&gt;0,INDEX($A$25:$A189,MATCH($A189-30,$A$25:$A189,1))&lt;&gt;0,$A189-INDEX($A$25:$A189,MATCH($A189-30,$A$25:$A189,1))&lt;=33),B189-INDEX($B$25:$B189,MATCH($A189-30,$A$25:$A189,1)),""),"")</f>
        <v/>
      </c>
      <c r="J189" s="40">
        <f>DATE(2026,11,3)-A189</f>
        <v/>
      </c>
      <c r="K189" s="26" t="inlineStr">
        <is>
          <t>20 Jun</t>
        </is>
      </c>
    </row>
    <row r="190">
      <c r="A190" s="41" t="n">
        <v>46194</v>
      </c>
      <c r="B190" s="28" t="n">
        <v>0.74</v>
      </c>
      <c r="C190" s="28" t="n">
        <v>0.21</v>
      </c>
      <c r="D190" s="29">
        <f>IF(COUNT(B190:C190)=2,B190+C190,"")</f>
        <v/>
      </c>
      <c r="E190" s="30">
        <f>IF(ISNUMBER(B190),IFERROR(B190/$D190,""),"")</f>
        <v/>
      </c>
      <c r="F190" s="30">
        <f>IF(ISNUMBER(C190),IFERROR(C190/$D190,""),"")</f>
        <v/>
      </c>
      <c r="G190" s="31">
        <f>IF(COUNT(B190:C190)=2,B190-C190,"")</f>
        <v/>
      </c>
      <c r="H190" s="31">
        <f>IFERROR(IF(AND(ISNUMBER(B190),INDEX($B$25:$B190,MATCH($A190-7,$A$25:$A190,1))&lt;&gt;0,INDEX($A$25:$A190,MATCH($A190-7,$A$25:$A190,1))&lt;&gt;0,$A190-INDEX($A$25:$A190,MATCH($A190-7,$A$25:$A190,1))&lt;=10),B190-INDEX($B$25:$B190,MATCH($A190-7,$A$25:$A190,1)),""),"")</f>
        <v/>
      </c>
      <c r="I190" s="31">
        <f>IFERROR(IF(AND(ISNUMBER(B190),INDEX($B$25:$B190,MATCH($A190-30,$A$25:$A190,1))&lt;&gt;0,INDEX($A$25:$A190,MATCH($A190-30,$A$25:$A190,1))&lt;&gt;0,$A190-INDEX($A$25:$A190,MATCH($A190-30,$A$25:$A190,1))&lt;=33),B190-INDEX($B$25:$B190,MATCH($A190-30,$A$25:$A190,1)),""),"")</f>
        <v/>
      </c>
      <c r="J190" s="42">
        <f>DATE(2026,11,3)-A190</f>
        <v/>
      </c>
      <c r="K190" s="26" t="inlineStr">
        <is>
          <t>21 Jun</t>
        </is>
      </c>
    </row>
    <row r="191">
      <c r="A191" s="39" t="n">
        <v>46195</v>
      </c>
      <c r="B191" s="16" t="n">
        <v>0.74</v>
      </c>
      <c r="C191" s="16" t="n">
        <v>0.21</v>
      </c>
      <c r="D191" s="17">
        <f>IF(COUNT(B191:C191)=2,B191+C191,"")</f>
        <v/>
      </c>
      <c r="E191" s="20">
        <f>IF(ISNUMBER(B191),IFERROR(B191/$D191,""),"")</f>
        <v/>
      </c>
      <c r="F191" s="20">
        <f>IF(ISNUMBER(C191),IFERROR(C191/$D191,""),"")</f>
        <v/>
      </c>
      <c r="G191" s="18">
        <f>IF(COUNT(B191:C191)=2,B191-C191,"")</f>
        <v/>
      </c>
      <c r="H191" s="18">
        <f>IFERROR(IF(AND(ISNUMBER(B191),INDEX($B$25:$B191,MATCH($A191-7,$A$25:$A191,1))&lt;&gt;0,INDEX($A$25:$A191,MATCH($A191-7,$A$25:$A191,1))&lt;&gt;0,$A191-INDEX($A$25:$A191,MATCH($A191-7,$A$25:$A191,1))&lt;=10),B191-INDEX($B$25:$B191,MATCH($A191-7,$A$25:$A191,1)),""),"")</f>
        <v/>
      </c>
      <c r="I191" s="18">
        <f>IFERROR(IF(AND(ISNUMBER(B191),INDEX($B$25:$B191,MATCH($A191-30,$A$25:$A191,1))&lt;&gt;0,INDEX($A$25:$A191,MATCH($A191-30,$A$25:$A191,1))&lt;&gt;0,$A191-INDEX($A$25:$A191,MATCH($A191-30,$A$25:$A191,1))&lt;=33),B191-INDEX($B$25:$B191,MATCH($A191-30,$A$25:$A191,1)),""),"")</f>
        <v/>
      </c>
      <c r="J191" s="40">
        <f>DATE(2026,11,3)-A191</f>
        <v/>
      </c>
      <c r="K191" s="26" t="inlineStr">
        <is>
          <t>22 Jun</t>
        </is>
      </c>
    </row>
    <row r="192">
      <c r="A192" s="41" t="n">
        <v>46196</v>
      </c>
      <c r="B192" s="28" t="n">
        <v>0.73</v>
      </c>
      <c r="C192" s="28" t="n">
        <v>0.21</v>
      </c>
      <c r="D192" s="29">
        <f>IF(COUNT(B192:C192)=2,B192+C192,"")</f>
        <v/>
      </c>
      <c r="E192" s="30">
        <f>IF(ISNUMBER(B192),IFERROR(B192/$D192,""),"")</f>
        <v/>
      </c>
      <c r="F192" s="30">
        <f>IF(ISNUMBER(C192),IFERROR(C192/$D192,""),"")</f>
        <v/>
      </c>
      <c r="G192" s="31">
        <f>IF(COUNT(B192:C192)=2,B192-C192,"")</f>
        <v/>
      </c>
      <c r="H192" s="31">
        <f>IFERROR(IF(AND(ISNUMBER(B192),INDEX($B$25:$B192,MATCH($A192-7,$A$25:$A192,1))&lt;&gt;0,INDEX($A$25:$A192,MATCH($A192-7,$A$25:$A192,1))&lt;&gt;0,$A192-INDEX($A$25:$A192,MATCH($A192-7,$A$25:$A192,1))&lt;=10),B192-INDEX($B$25:$B192,MATCH($A192-7,$A$25:$A192,1)),""),"")</f>
        <v/>
      </c>
      <c r="I192" s="31">
        <f>IFERROR(IF(AND(ISNUMBER(B192),INDEX($B$25:$B192,MATCH($A192-30,$A$25:$A192,1))&lt;&gt;0,INDEX($A$25:$A192,MATCH($A192-30,$A$25:$A192,1))&lt;&gt;0,$A192-INDEX($A$25:$A192,MATCH($A192-30,$A$25:$A192,1))&lt;=33),B192-INDEX($B$25:$B192,MATCH($A192-30,$A$25:$A192,1)),""),"")</f>
        <v/>
      </c>
      <c r="J192" s="42">
        <f>DATE(2026,11,3)-A192</f>
        <v/>
      </c>
      <c r="K192" s="26" t="inlineStr">
        <is>
          <t>23 Jun</t>
        </is>
      </c>
    </row>
    <row r="193">
      <c r="A193" s="39" t="n">
        <v>46197</v>
      </c>
      <c r="B193" s="16" t="n">
        <v>0.73</v>
      </c>
      <c r="C193" s="16" t="n">
        <v>0.21</v>
      </c>
      <c r="D193" s="17">
        <f>IF(COUNT(B193:C193)=2,B193+C193,"")</f>
        <v/>
      </c>
      <c r="E193" s="20">
        <f>IF(ISNUMBER(B193),IFERROR(B193/$D193,""),"")</f>
        <v/>
      </c>
      <c r="F193" s="20">
        <f>IF(ISNUMBER(C193),IFERROR(C193/$D193,""),"")</f>
        <v/>
      </c>
      <c r="G193" s="18">
        <f>IF(COUNT(B193:C193)=2,B193-C193,"")</f>
        <v/>
      </c>
      <c r="H193" s="18">
        <f>IFERROR(IF(AND(ISNUMBER(B193),INDEX($B$25:$B193,MATCH($A193-7,$A$25:$A193,1))&lt;&gt;0,INDEX($A$25:$A193,MATCH($A193-7,$A$25:$A193,1))&lt;&gt;0,$A193-INDEX($A$25:$A193,MATCH($A193-7,$A$25:$A193,1))&lt;=10),B193-INDEX($B$25:$B193,MATCH($A193-7,$A$25:$A193,1)),""),"")</f>
        <v/>
      </c>
      <c r="I193" s="18">
        <f>IFERROR(IF(AND(ISNUMBER(B193),INDEX($B$25:$B193,MATCH($A193-30,$A$25:$A193,1))&lt;&gt;0,INDEX($A$25:$A193,MATCH($A193-30,$A$25:$A193,1))&lt;&gt;0,$A193-INDEX($A$25:$A193,MATCH($A193-30,$A$25:$A193,1))&lt;=33),B193-INDEX($B$25:$B193,MATCH($A193-30,$A$25:$A193,1)),""),"")</f>
        <v/>
      </c>
      <c r="J193" s="40">
        <f>DATE(2026,11,3)-A193</f>
        <v/>
      </c>
      <c r="K193" s="26" t="inlineStr">
        <is>
          <t>24 Jun</t>
        </is>
      </c>
    </row>
    <row r="194">
      <c r="A194" s="41" t="n">
        <v>46198</v>
      </c>
      <c r="B194" s="28" t="n">
        <v>0.73</v>
      </c>
      <c r="C194" s="28" t="n">
        <v>0.225</v>
      </c>
      <c r="D194" s="29">
        <f>IF(COUNT(B194:C194)=2,B194+C194,"")</f>
        <v/>
      </c>
      <c r="E194" s="30">
        <f>IF(ISNUMBER(B194),IFERROR(B194/$D194,""),"")</f>
        <v/>
      </c>
      <c r="F194" s="30">
        <f>IF(ISNUMBER(C194),IFERROR(C194/$D194,""),"")</f>
        <v/>
      </c>
      <c r="G194" s="31">
        <f>IF(COUNT(B194:C194)=2,B194-C194,"")</f>
        <v/>
      </c>
      <c r="H194" s="31">
        <f>IFERROR(IF(AND(ISNUMBER(B194),INDEX($B$25:$B194,MATCH($A194-7,$A$25:$A194,1))&lt;&gt;0,INDEX($A$25:$A194,MATCH($A194-7,$A$25:$A194,1))&lt;&gt;0,$A194-INDEX($A$25:$A194,MATCH($A194-7,$A$25:$A194,1))&lt;=10),B194-INDEX($B$25:$B194,MATCH($A194-7,$A$25:$A194,1)),""),"")</f>
        <v/>
      </c>
      <c r="I194" s="31">
        <f>IFERROR(IF(AND(ISNUMBER(B194),INDEX($B$25:$B194,MATCH($A194-30,$A$25:$A194,1))&lt;&gt;0,INDEX($A$25:$A194,MATCH($A194-30,$A$25:$A194,1))&lt;&gt;0,$A194-INDEX($A$25:$A194,MATCH($A194-30,$A$25:$A194,1))&lt;=33),B194-INDEX($B$25:$B194,MATCH($A194-30,$A$25:$A194,1)),""),"")</f>
        <v/>
      </c>
      <c r="J194" s="42">
        <f>DATE(2026,11,3)-A194</f>
        <v/>
      </c>
      <c r="K194" s="26" t="inlineStr">
        <is>
          <t>25 Jun</t>
        </is>
      </c>
    </row>
    <row r="195">
      <c r="A195" s="39" t="n">
        <v>46199</v>
      </c>
      <c r="B195" s="16" t="n">
        <v>0.725</v>
      </c>
      <c r="C195" s="16" t="n">
        <v>0.23</v>
      </c>
      <c r="D195" s="17">
        <f>IF(COUNT(B195:C195)=2,B195+C195,"")</f>
        <v/>
      </c>
      <c r="E195" s="20">
        <f>IF(ISNUMBER(B195),IFERROR(B195/$D195,""),"")</f>
        <v/>
      </c>
      <c r="F195" s="20">
        <f>IF(ISNUMBER(C195),IFERROR(C195/$D195,""),"")</f>
        <v/>
      </c>
      <c r="G195" s="18">
        <f>IF(COUNT(B195:C195)=2,B195-C195,"")</f>
        <v/>
      </c>
      <c r="H195" s="18">
        <f>IFERROR(IF(AND(ISNUMBER(B195),INDEX($B$25:$B195,MATCH($A195-7,$A$25:$A195,1))&lt;&gt;0,INDEX($A$25:$A195,MATCH($A195-7,$A$25:$A195,1))&lt;&gt;0,$A195-INDEX($A$25:$A195,MATCH($A195-7,$A$25:$A195,1))&lt;=10),B195-INDEX($B$25:$B195,MATCH($A195-7,$A$25:$A195,1)),""),"")</f>
        <v/>
      </c>
      <c r="I195" s="18">
        <f>IFERROR(IF(AND(ISNUMBER(B195),INDEX($B$25:$B195,MATCH($A195-30,$A$25:$A195,1))&lt;&gt;0,INDEX($A$25:$A195,MATCH($A195-30,$A$25:$A195,1))&lt;&gt;0,$A195-INDEX($A$25:$A195,MATCH($A195-30,$A$25:$A195,1))&lt;=33),B195-INDEX($B$25:$B195,MATCH($A195-30,$A$25:$A195,1)),""),"")</f>
        <v/>
      </c>
      <c r="J195" s="40">
        <f>DATE(2026,11,3)-A195</f>
        <v/>
      </c>
      <c r="K195" s="26" t="inlineStr">
        <is>
          <t>26 Jun</t>
        </is>
      </c>
    </row>
    <row r="196">
      <c r="A196" s="41" t="n">
        <v>46200</v>
      </c>
      <c r="B196" s="28" t="n">
        <v>0.73</v>
      </c>
      <c r="C196" s="28" t="n">
        <v>0.23</v>
      </c>
      <c r="D196" s="29">
        <f>IF(COUNT(B196:C196)=2,B196+C196,"")</f>
        <v/>
      </c>
      <c r="E196" s="30">
        <f>IF(ISNUMBER(B196),IFERROR(B196/$D196,""),"")</f>
        <v/>
      </c>
      <c r="F196" s="30">
        <f>IF(ISNUMBER(C196),IFERROR(C196/$D196,""),"")</f>
        <v/>
      </c>
      <c r="G196" s="31">
        <f>IF(COUNT(B196:C196)=2,B196-C196,"")</f>
        <v/>
      </c>
      <c r="H196" s="31">
        <f>IFERROR(IF(AND(ISNUMBER(B196),INDEX($B$25:$B196,MATCH($A196-7,$A$25:$A196,1))&lt;&gt;0,INDEX($A$25:$A196,MATCH($A196-7,$A$25:$A196,1))&lt;&gt;0,$A196-INDEX($A$25:$A196,MATCH($A196-7,$A$25:$A196,1))&lt;=10),B196-INDEX($B$25:$B196,MATCH($A196-7,$A$25:$A196,1)),""),"")</f>
        <v/>
      </c>
      <c r="I196" s="31">
        <f>IFERROR(IF(AND(ISNUMBER(B196),INDEX($B$25:$B196,MATCH($A196-30,$A$25:$A196,1))&lt;&gt;0,INDEX($A$25:$A196,MATCH($A196-30,$A$25:$A196,1))&lt;&gt;0,$A196-INDEX($A$25:$A196,MATCH($A196-30,$A$25:$A196,1))&lt;=33),B196-INDEX($B$25:$B196,MATCH($A196-30,$A$25:$A196,1)),""),"")</f>
        <v/>
      </c>
      <c r="J196" s="42">
        <f>DATE(2026,11,3)-A196</f>
        <v/>
      </c>
      <c r="K196" s="26" t="inlineStr">
        <is>
          <t>27 Jun</t>
        </is>
      </c>
    </row>
    <row r="197">
      <c r="A197" s="39" t="n">
        <v>46201</v>
      </c>
      <c r="B197" s="16" t="n">
        <v>0.725</v>
      </c>
      <c r="C197" s="16" t="n">
        <v>0.27</v>
      </c>
      <c r="D197" s="17">
        <f>IF(COUNT(B197:C197)=2,B197+C197,"")</f>
        <v/>
      </c>
      <c r="E197" s="20">
        <f>IF(ISNUMBER(B197),IFERROR(B197/$D197,""),"")</f>
        <v/>
      </c>
      <c r="F197" s="20">
        <f>IF(ISNUMBER(C197),IFERROR(C197/$D197,""),"")</f>
        <v/>
      </c>
      <c r="G197" s="18">
        <f>IF(COUNT(B197:C197)=2,B197-C197,"")</f>
        <v/>
      </c>
      <c r="H197" s="18">
        <f>IFERROR(IF(AND(ISNUMBER(B197),INDEX($B$25:$B197,MATCH($A197-7,$A$25:$A197,1))&lt;&gt;0,INDEX($A$25:$A197,MATCH($A197-7,$A$25:$A197,1))&lt;&gt;0,$A197-INDEX($A$25:$A197,MATCH($A197-7,$A$25:$A197,1))&lt;=10),B197-INDEX($B$25:$B197,MATCH($A197-7,$A$25:$A197,1)),""),"")</f>
        <v/>
      </c>
      <c r="I197" s="18">
        <f>IFERROR(IF(AND(ISNUMBER(B197),INDEX($B$25:$B197,MATCH($A197-30,$A$25:$A197,1))&lt;&gt;0,INDEX($A$25:$A197,MATCH($A197-30,$A$25:$A197,1))&lt;&gt;0,$A197-INDEX($A$25:$A197,MATCH($A197-30,$A$25:$A197,1))&lt;=33),B197-INDEX($B$25:$B197,MATCH($A197-30,$A$25:$A197,1)),""),"")</f>
        <v/>
      </c>
      <c r="J197" s="40">
        <f>DATE(2026,11,3)-A197</f>
        <v/>
      </c>
      <c r="K197" s="26" t="inlineStr">
        <is>
          <t>28 Jun</t>
        </is>
      </c>
    </row>
    <row r="198">
      <c r="A198" s="41" t="n">
        <v>46202</v>
      </c>
      <c r="B198" s="28" t="n">
        <v>0.73</v>
      </c>
      <c r="C198" s="28" t="n">
        <v>0.28</v>
      </c>
      <c r="D198" s="29">
        <f>IF(COUNT(B198:C198)=2,B198+C198,"")</f>
        <v/>
      </c>
      <c r="E198" s="30">
        <f>IF(ISNUMBER(B198),IFERROR(B198/$D198,""),"")</f>
        <v/>
      </c>
      <c r="F198" s="30">
        <f>IF(ISNUMBER(C198),IFERROR(C198/$D198,""),"")</f>
        <v/>
      </c>
      <c r="G198" s="31">
        <f>IF(COUNT(B198:C198)=2,B198-C198,"")</f>
        <v/>
      </c>
      <c r="H198" s="31">
        <f>IFERROR(IF(AND(ISNUMBER(B198),INDEX($B$25:$B198,MATCH($A198-7,$A$25:$A198,1))&lt;&gt;0,INDEX($A$25:$A198,MATCH($A198-7,$A$25:$A198,1))&lt;&gt;0,$A198-INDEX($A$25:$A198,MATCH($A198-7,$A$25:$A198,1))&lt;=10),B198-INDEX($B$25:$B198,MATCH($A198-7,$A$25:$A198,1)),""),"")</f>
        <v/>
      </c>
      <c r="I198" s="31">
        <f>IFERROR(IF(AND(ISNUMBER(B198),INDEX($B$25:$B198,MATCH($A198-30,$A$25:$A198,1))&lt;&gt;0,INDEX($A$25:$A198,MATCH($A198-30,$A$25:$A198,1))&lt;&gt;0,$A198-INDEX($A$25:$A198,MATCH($A198-30,$A$25:$A198,1))&lt;=33),B198-INDEX($B$25:$B198,MATCH($A198-30,$A$25:$A198,1)),""),"")</f>
        <v/>
      </c>
      <c r="J198" s="42">
        <f>DATE(2026,11,3)-A198</f>
        <v/>
      </c>
      <c r="K198" s="26" t="inlineStr">
        <is>
          <t>29 Jun</t>
        </is>
      </c>
    </row>
    <row r="199">
      <c r="A199" s="39" t="n">
        <v>46203</v>
      </c>
      <c r="B199" s="16" t="n">
        <v>0.74</v>
      </c>
      <c r="C199" s="16" t="n">
        <v>0.235</v>
      </c>
      <c r="D199" s="17">
        <f>IF(COUNT(B199:C199)=2,B199+C199,"")</f>
        <v/>
      </c>
      <c r="E199" s="20">
        <f>IF(ISNUMBER(B199),IFERROR(B199/$D199,""),"")</f>
        <v/>
      </c>
      <c r="F199" s="20">
        <f>IF(ISNUMBER(C199),IFERROR(C199/$D199,""),"")</f>
        <v/>
      </c>
      <c r="G199" s="18">
        <f>IF(COUNT(B199:C199)=2,B199-C199,"")</f>
        <v/>
      </c>
      <c r="H199" s="18">
        <f>IFERROR(IF(AND(ISNUMBER(B199),INDEX($B$25:$B199,MATCH($A199-7,$A$25:$A199,1))&lt;&gt;0,INDEX($A$25:$A199,MATCH($A199-7,$A$25:$A199,1))&lt;&gt;0,$A199-INDEX($A$25:$A199,MATCH($A199-7,$A$25:$A199,1))&lt;=10),B199-INDEX($B$25:$B199,MATCH($A199-7,$A$25:$A199,1)),""),"")</f>
        <v/>
      </c>
      <c r="I199" s="18">
        <f>IFERROR(IF(AND(ISNUMBER(B199),INDEX($B$25:$B199,MATCH($A199-30,$A$25:$A199,1))&lt;&gt;0,INDEX($A$25:$A199,MATCH($A199-30,$A$25:$A199,1))&lt;&gt;0,$A199-INDEX($A$25:$A199,MATCH($A199-30,$A$25:$A199,1))&lt;=33),B199-INDEX($B$25:$B199,MATCH($A199-30,$A$25:$A199,1)),""),"")</f>
        <v/>
      </c>
      <c r="J199" s="40">
        <f>DATE(2026,11,3)-A199</f>
        <v/>
      </c>
      <c r="K199" s="26" t="inlineStr">
        <is>
          <t>30 Jun</t>
        </is>
      </c>
    </row>
    <row r="200">
      <c r="A200" s="41" t="n">
        <v>46204</v>
      </c>
      <c r="B200" s="28" t="n">
        <v>0.765</v>
      </c>
      <c r="C200" s="28" t="n">
        <v>0.24</v>
      </c>
      <c r="D200" s="29">
        <f>IF(COUNT(B200:C200)=2,B200+C200,"")</f>
        <v/>
      </c>
      <c r="E200" s="30">
        <f>IF(ISNUMBER(B200),IFERROR(B200/$D200,""),"")</f>
        <v/>
      </c>
      <c r="F200" s="30">
        <f>IF(ISNUMBER(C200),IFERROR(C200/$D200,""),"")</f>
        <v/>
      </c>
      <c r="G200" s="31">
        <f>IF(COUNT(B200:C200)=2,B200-C200,"")</f>
        <v/>
      </c>
      <c r="H200" s="31">
        <f>IFERROR(IF(AND(ISNUMBER(B200),INDEX($B$25:$B200,MATCH($A200-7,$A$25:$A200,1))&lt;&gt;0,INDEX($A$25:$A200,MATCH($A200-7,$A$25:$A200,1))&lt;&gt;0,$A200-INDEX($A$25:$A200,MATCH($A200-7,$A$25:$A200,1))&lt;=10),B200-INDEX($B$25:$B200,MATCH($A200-7,$A$25:$A200,1)),""),"")</f>
        <v/>
      </c>
      <c r="I200" s="31">
        <f>IFERROR(IF(AND(ISNUMBER(B200),INDEX($B$25:$B200,MATCH($A200-30,$A$25:$A200,1))&lt;&gt;0,INDEX($A$25:$A200,MATCH($A200-30,$A$25:$A200,1))&lt;&gt;0,$A200-INDEX($A$25:$A200,MATCH($A200-30,$A$25:$A200,1))&lt;=33),B200-INDEX($B$25:$B200,MATCH($A200-30,$A$25:$A200,1)),""),"")</f>
        <v/>
      </c>
      <c r="J200" s="42">
        <f>DATE(2026,11,3)-A200</f>
        <v/>
      </c>
      <c r="K200" s="26" t="inlineStr">
        <is>
          <t>01 Jul</t>
        </is>
      </c>
    </row>
    <row r="201">
      <c r="A201" s="39" t="n">
        <v>46205</v>
      </c>
      <c r="B201" s="16" t="n">
        <v>0.765</v>
      </c>
      <c r="C201" s="16" t="n">
        <v>0.22</v>
      </c>
      <c r="D201" s="17">
        <f>IF(COUNT(B201:C201)=2,B201+C201,"")</f>
        <v/>
      </c>
      <c r="E201" s="20">
        <f>IF(ISNUMBER(B201),IFERROR(B201/$D201,""),"")</f>
        <v/>
      </c>
      <c r="F201" s="20">
        <f>IF(ISNUMBER(C201),IFERROR(C201/$D201,""),"")</f>
        <v/>
      </c>
      <c r="G201" s="18">
        <f>IF(COUNT(B201:C201)=2,B201-C201,"")</f>
        <v/>
      </c>
      <c r="H201" s="18">
        <f>IFERROR(IF(AND(ISNUMBER(B201),INDEX($B$25:$B201,MATCH($A201-7,$A$25:$A201,1))&lt;&gt;0,INDEX($A$25:$A201,MATCH($A201-7,$A$25:$A201,1))&lt;&gt;0,$A201-INDEX($A$25:$A201,MATCH($A201-7,$A$25:$A201,1))&lt;=10),B201-INDEX($B$25:$B201,MATCH($A201-7,$A$25:$A201,1)),""),"")</f>
        <v/>
      </c>
      <c r="I201" s="18">
        <f>IFERROR(IF(AND(ISNUMBER(B201),INDEX($B$25:$B201,MATCH($A201-30,$A$25:$A201,1))&lt;&gt;0,INDEX($A$25:$A201,MATCH($A201-30,$A$25:$A201,1))&lt;&gt;0,$A201-INDEX($A$25:$A201,MATCH($A201-30,$A$25:$A201,1))&lt;=33),B201-INDEX($B$25:$B201,MATCH($A201-30,$A$25:$A201,1)),""),"")</f>
        <v/>
      </c>
      <c r="J201" s="40">
        <f>DATE(2026,11,3)-A201</f>
        <v/>
      </c>
      <c r="K201" s="26" t="inlineStr">
        <is>
          <t>02 Jul</t>
        </is>
      </c>
    </row>
    <row r="202">
      <c r="A202" s="41" t="n">
        <v>46206</v>
      </c>
      <c r="B202" s="28" t="n">
        <v>0.735</v>
      </c>
      <c r="C202" s="28" t="n">
        <v>0.235</v>
      </c>
      <c r="D202" s="29">
        <f>IF(COUNT(B202:C202)=2,B202+C202,"")</f>
        <v/>
      </c>
      <c r="E202" s="30">
        <f>IF(ISNUMBER(B202),IFERROR(B202/$D202,""),"")</f>
        <v/>
      </c>
      <c r="F202" s="30">
        <f>IF(ISNUMBER(C202),IFERROR(C202/$D202,""),"")</f>
        <v/>
      </c>
      <c r="G202" s="31">
        <f>IF(COUNT(B202:C202)=2,B202-C202,"")</f>
        <v/>
      </c>
      <c r="H202" s="31">
        <f>IFERROR(IF(AND(ISNUMBER(B202),INDEX($B$25:$B202,MATCH($A202-7,$A$25:$A202,1))&lt;&gt;0,INDEX($A$25:$A202,MATCH($A202-7,$A$25:$A202,1))&lt;&gt;0,$A202-INDEX($A$25:$A202,MATCH($A202-7,$A$25:$A202,1))&lt;=10),B202-INDEX($B$25:$B202,MATCH($A202-7,$A$25:$A202,1)),""),"")</f>
        <v/>
      </c>
      <c r="I202" s="31">
        <f>IFERROR(IF(AND(ISNUMBER(B202),INDEX($B$25:$B202,MATCH($A202-30,$A$25:$A202,1))&lt;&gt;0,INDEX($A$25:$A202,MATCH($A202-30,$A$25:$A202,1))&lt;&gt;0,$A202-INDEX($A$25:$A202,MATCH($A202-30,$A$25:$A202,1))&lt;=33),B202-INDEX($B$25:$B202,MATCH($A202-30,$A$25:$A202,1)),""),"")</f>
        <v/>
      </c>
      <c r="J202" s="42">
        <f>DATE(2026,11,3)-A202</f>
        <v/>
      </c>
      <c r="K202" s="26" t="inlineStr">
        <is>
          <t>03 Jul</t>
        </is>
      </c>
    </row>
    <row r="203">
      <c r="A203" s="39" t="n">
        <v>46207</v>
      </c>
      <c r="B203" s="16" t="n">
        <v>0.735</v>
      </c>
      <c r="C203" s="16" t="n">
        <v>0.24</v>
      </c>
      <c r="D203" s="17">
        <f>IF(COUNT(B203:C203)=2,B203+C203,"")</f>
        <v/>
      </c>
      <c r="E203" s="20">
        <f>IF(ISNUMBER(B203),IFERROR(B203/$D203,""),"")</f>
        <v/>
      </c>
      <c r="F203" s="20">
        <f>IF(ISNUMBER(C203),IFERROR(C203/$D203,""),"")</f>
        <v/>
      </c>
      <c r="G203" s="18">
        <f>IF(COUNT(B203:C203)=2,B203-C203,"")</f>
        <v/>
      </c>
      <c r="H203" s="18">
        <f>IFERROR(IF(AND(ISNUMBER(B203),INDEX($B$25:$B203,MATCH($A203-7,$A$25:$A203,1))&lt;&gt;0,INDEX($A$25:$A203,MATCH($A203-7,$A$25:$A203,1))&lt;&gt;0,$A203-INDEX($A$25:$A203,MATCH($A203-7,$A$25:$A203,1))&lt;=10),B203-INDEX($B$25:$B203,MATCH($A203-7,$A$25:$A203,1)),""),"")</f>
        <v/>
      </c>
      <c r="I203" s="18">
        <f>IFERROR(IF(AND(ISNUMBER(B203),INDEX($B$25:$B203,MATCH($A203-30,$A$25:$A203,1))&lt;&gt;0,INDEX($A$25:$A203,MATCH($A203-30,$A$25:$A203,1))&lt;&gt;0,$A203-INDEX($A$25:$A203,MATCH($A203-30,$A$25:$A203,1))&lt;=33),B203-INDEX($B$25:$B203,MATCH($A203-30,$A$25:$A203,1)),""),"")</f>
        <v/>
      </c>
      <c r="J203" s="40">
        <f>DATE(2026,11,3)-A203</f>
        <v/>
      </c>
      <c r="K203" s="26" t="inlineStr">
        <is>
          <t>04 Jul</t>
        </is>
      </c>
    </row>
    <row r="204">
      <c r="A204" s="41" t="n">
        <v>46208</v>
      </c>
      <c r="B204" s="28" t="n">
        <v>0.745</v>
      </c>
      <c r="C204" s="28" t="n">
        <v>0.235</v>
      </c>
      <c r="D204" s="29">
        <f>IF(COUNT(B204:C204)=2,B204+C204,"")</f>
        <v/>
      </c>
      <c r="E204" s="30">
        <f>IF(ISNUMBER(B204),IFERROR(B204/$D204,""),"")</f>
        <v/>
      </c>
      <c r="F204" s="30">
        <f>IF(ISNUMBER(C204),IFERROR(C204/$D204,""),"")</f>
        <v/>
      </c>
      <c r="G204" s="31">
        <f>IF(COUNT(B204:C204)=2,B204-C204,"")</f>
        <v/>
      </c>
      <c r="H204" s="31">
        <f>IFERROR(IF(AND(ISNUMBER(B204),INDEX($B$25:$B204,MATCH($A204-7,$A$25:$A204,1))&lt;&gt;0,INDEX($A$25:$A204,MATCH($A204-7,$A$25:$A204,1))&lt;&gt;0,$A204-INDEX($A$25:$A204,MATCH($A204-7,$A$25:$A204,1))&lt;=10),B204-INDEX($B$25:$B204,MATCH($A204-7,$A$25:$A204,1)),""),"")</f>
        <v/>
      </c>
      <c r="I204" s="31">
        <f>IFERROR(IF(AND(ISNUMBER(B204),INDEX($B$25:$B204,MATCH($A204-30,$A$25:$A204,1))&lt;&gt;0,INDEX($A$25:$A204,MATCH($A204-30,$A$25:$A204,1))&lt;&gt;0,$A204-INDEX($A$25:$A204,MATCH($A204-30,$A$25:$A204,1))&lt;=33),B204-INDEX($B$25:$B204,MATCH($A204-30,$A$25:$A204,1)),""),"")</f>
        <v/>
      </c>
      <c r="J204" s="42">
        <f>DATE(2026,11,3)-A204</f>
        <v/>
      </c>
      <c r="K204" s="26" t="inlineStr">
        <is>
          <t>05 Jul</t>
        </is>
      </c>
    </row>
    <row r="205">
      <c r="A205" s="39" t="n">
        <v>46209</v>
      </c>
      <c r="B205" s="16" t="n">
        <v>0.76</v>
      </c>
      <c r="C205" s="16" t="n">
        <v>0.235</v>
      </c>
      <c r="D205" s="17">
        <f>IF(COUNT(B205:C205)=2,B205+C205,"")</f>
        <v/>
      </c>
      <c r="E205" s="20">
        <f>IF(ISNUMBER(B205),IFERROR(B205/$D205,""),"")</f>
        <v/>
      </c>
      <c r="F205" s="20">
        <f>IF(ISNUMBER(C205),IFERROR(C205/$D205,""),"")</f>
        <v/>
      </c>
      <c r="G205" s="18">
        <f>IF(COUNT(B205:C205)=2,B205-C205,"")</f>
        <v/>
      </c>
      <c r="H205" s="18">
        <f>IFERROR(IF(AND(ISNUMBER(B205),INDEX($B$25:$B205,MATCH($A205-7,$A$25:$A205,1))&lt;&gt;0,INDEX($A$25:$A205,MATCH($A205-7,$A$25:$A205,1))&lt;&gt;0,$A205-INDEX($A$25:$A205,MATCH($A205-7,$A$25:$A205,1))&lt;=10),B205-INDEX($B$25:$B205,MATCH($A205-7,$A$25:$A205,1)),""),"")</f>
        <v/>
      </c>
      <c r="I205" s="18">
        <f>IFERROR(IF(AND(ISNUMBER(B205),INDEX($B$25:$B205,MATCH($A205-30,$A$25:$A205,1))&lt;&gt;0,INDEX($A$25:$A205,MATCH($A205-30,$A$25:$A205,1))&lt;&gt;0,$A205-INDEX($A$25:$A205,MATCH($A205-30,$A$25:$A205,1))&lt;=33),B205-INDEX($B$25:$B205,MATCH($A205-30,$A$25:$A205,1)),""),"")</f>
        <v/>
      </c>
      <c r="J205" s="40">
        <f>DATE(2026,11,3)-A205</f>
        <v/>
      </c>
      <c r="K205" s="26" t="inlineStr">
        <is>
          <t>06 Jul</t>
        </is>
      </c>
    </row>
    <row r="206">
      <c r="A206" s="41" t="n">
        <v>46210</v>
      </c>
      <c r="B206" s="28" t="n">
        <v>0.74</v>
      </c>
      <c r="C206" s="28" t="n">
        <v>0.235</v>
      </c>
      <c r="D206" s="29">
        <f>IF(COUNT(B206:C206)=2,B206+C206,"")</f>
        <v/>
      </c>
      <c r="E206" s="30">
        <f>IF(ISNUMBER(B206),IFERROR(B206/$D206,""),"")</f>
        <v/>
      </c>
      <c r="F206" s="30">
        <f>IF(ISNUMBER(C206),IFERROR(C206/$D206,""),"")</f>
        <v/>
      </c>
      <c r="G206" s="31">
        <f>IF(COUNT(B206:C206)=2,B206-C206,"")</f>
        <v/>
      </c>
      <c r="H206" s="31">
        <f>IFERROR(IF(AND(ISNUMBER(B206),INDEX($B$25:$B206,MATCH($A206-7,$A$25:$A206,1))&lt;&gt;0,INDEX($A$25:$A206,MATCH($A206-7,$A$25:$A206,1))&lt;&gt;0,$A206-INDEX($A$25:$A206,MATCH($A206-7,$A$25:$A206,1))&lt;=10),B206-INDEX($B$25:$B206,MATCH($A206-7,$A$25:$A206,1)),""),"")</f>
        <v/>
      </c>
      <c r="I206" s="31">
        <f>IFERROR(IF(AND(ISNUMBER(B206),INDEX($B$25:$B206,MATCH($A206-30,$A$25:$A206,1))&lt;&gt;0,INDEX($A$25:$A206,MATCH($A206-30,$A$25:$A206,1))&lt;&gt;0,$A206-INDEX($A$25:$A206,MATCH($A206-30,$A$25:$A206,1))&lt;=33),B206-INDEX($B$25:$B206,MATCH($A206-30,$A$25:$A206,1)),""),"")</f>
        <v/>
      </c>
      <c r="J206" s="42">
        <f>DATE(2026,11,3)-A206</f>
        <v/>
      </c>
      <c r="K206" s="26" t="inlineStr">
        <is>
          <t>07 Jul</t>
        </is>
      </c>
    </row>
    <row r="207">
      <c r="A207" s="39" t="n">
        <v>46211</v>
      </c>
      <c r="B207" s="16" t="n">
        <v>0.755</v>
      </c>
      <c r="C207" s="16" t="n">
        <v>0.24</v>
      </c>
      <c r="D207" s="17">
        <f>IF(COUNT(B207:C207)=2,B207+C207,"")</f>
        <v/>
      </c>
      <c r="E207" s="20">
        <f>IF(ISNUMBER(B207),IFERROR(B207/$D207,""),"")</f>
        <v/>
      </c>
      <c r="F207" s="20">
        <f>IF(ISNUMBER(C207),IFERROR(C207/$D207,""),"")</f>
        <v/>
      </c>
      <c r="G207" s="18">
        <f>IF(COUNT(B207:C207)=2,B207-C207,"")</f>
        <v/>
      </c>
      <c r="H207" s="18">
        <f>IFERROR(IF(AND(ISNUMBER(B207),INDEX($B$25:$B207,MATCH($A207-7,$A$25:$A207,1))&lt;&gt;0,INDEX($A$25:$A207,MATCH($A207-7,$A$25:$A207,1))&lt;&gt;0,$A207-INDEX($A$25:$A207,MATCH($A207-7,$A$25:$A207,1))&lt;=10),B207-INDEX($B$25:$B207,MATCH($A207-7,$A$25:$A207,1)),""),"")</f>
        <v/>
      </c>
      <c r="I207" s="18">
        <f>IFERROR(IF(AND(ISNUMBER(B207),INDEX($B$25:$B207,MATCH($A207-30,$A$25:$A207,1))&lt;&gt;0,INDEX($A$25:$A207,MATCH($A207-30,$A$25:$A207,1))&lt;&gt;0,$A207-INDEX($A$25:$A207,MATCH($A207-30,$A$25:$A207,1))&lt;=33),B207-INDEX($B$25:$B207,MATCH($A207-30,$A$25:$A207,1)),""),"")</f>
        <v/>
      </c>
      <c r="J207" s="40">
        <f>DATE(2026,11,3)-A207</f>
        <v/>
      </c>
      <c r="K207" s="26" t="inlineStr">
        <is>
          <t>08 Jul</t>
        </is>
      </c>
    </row>
    <row r="208">
      <c r="A208" s="41" t="n">
        <v>46212</v>
      </c>
      <c r="B208" s="28" t="n">
        <v>0.76</v>
      </c>
      <c r="C208" s="28" t="n">
        <v>0.235</v>
      </c>
      <c r="D208" s="29">
        <f>IF(COUNT(B208:C208)=2,B208+C208,"")</f>
        <v/>
      </c>
      <c r="E208" s="30">
        <f>IF(ISNUMBER(B208),IFERROR(B208/$D208,""),"")</f>
        <v/>
      </c>
      <c r="F208" s="30">
        <f>IF(ISNUMBER(C208),IFERROR(C208/$D208,""),"")</f>
        <v/>
      </c>
      <c r="G208" s="31">
        <f>IF(COUNT(B208:C208)=2,B208-C208,"")</f>
        <v/>
      </c>
      <c r="H208" s="31">
        <f>IFERROR(IF(AND(ISNUMBER(B208),INDEX($B$25:$B208,MATCH($A208-7,$A$25:$A208,1))&lt;&gt;0,INDEX($A$25:$A208,MATCH($A208-7,$A$25:$A208,1))&lt;&gt;0,$A208-INDEX($A$25:$A208,MATCH($A208-7,$A$25:$A208,1))&lt;=10),B208-INDEX($B$25:$B208,MATCH($A208-7,$A$25:$A208,1)),""),"")</f>
        <v/>
      </c>
      <c r="I208" s="31">
        <f>IFERROR(IF(AND(ISNUMBER(B208),INDEX($B$25:$B208,MATCH($A208-30,$A$25:$A208,1))&lt;&gt;0,INDEX($A$25:$A208,MATCH($A208-30,$A$25:$A208,1))&lt;&gt;0,$A208-INDEX($A$25:$A208,MATCH($A208-30,$A$25:$A208,1))&lt;=33),B208-INDEX($B$25:$B208,MATCH($A208-30,$A$25:$A208,1)),""),"")</f>
        <v/>
      </c>
      <c r="J208" s="42">
        <f>DATE(2026,11,3)-A208</f>
        <v/>
      </c>
      <c r="K208" s="26" t="inlineStr">
        <is>
          <t>09 Jul</t>
        </is>
      </c>
    </row>
    <row r="209">
      <c r="A209" s="39" t="n">
        <v>46213</v>
      </c>
      <c r="B209" s="16" t="n">
        <v>0.76</v>
      </c>
      <c r="C209" s="16" t="n">
        <v>0.23</v>
      </c>
      <c r="D209" s="17">
        <f>IF(COUNT(B209:C209)=2,B209+C209,"")</f>
        <v/>
      </c>
      <c r="E209" s="20">
        <f>IF(ISNUMBER(B209),IFERROR(B209/$D209,""),"")</f>
        <v/>
      </c>
      <c r="F209" s="20">
        <f>IF(ISNUMBER(C209),IFERROR(C209/$D209,""),"")</f>
        <v/>
      </c>
      <c r="G209" s="18">
        <f>IF(COUNT(B209:C209)=2,B209-C209,"")</f>
        <v/>
      </c>
      <c r="H209" s="18">
        <f>IFERROR(IF(AND(ISNUMBER(B209),INDEX($B$25:$B209,MATCH($A209-7,$A$25:$A209,1))&lt;&gt;0,INDEX($A$25:$A209,MATCH($A209-7,$A$25:$A209,1))&lt;&gt;0,$A209-INDEX($A$25:$A209,MATCH($A209-7,$A$25:$A209,1))&lt;=10),B209-INDEX($B$25:$B209,MATCH($A209-7,$A$25:$A209,1)),""),"")</f>
        <v/>
      </c>
      <c r="I209" s="18">
        <f>IFERROR(IF(AND(ISNUMBER(B209),INDEX($B$25:$B209,MATCH($A209-30,$A$25:$A209,1))&lt;&gt;0,INDEX($A$25:$A209,MATCH($A209-30,$A$25:$A209,1))&lt;&gt;0,$A209-INDEX($A$25:$A209,MATCH($A209-30,$A$25:$A209,1))&lt;=33),B209-INDEX($B$25:$B209,MATCH($A209-30,$A$25:$A209,1)),""),"")</f>
        <v/>
      </c>
      <c r="J209" s="40">
        <f>DATE(2026,11,3)-A209</f>
        <v/>
      </c>
      <c r="K209" s="26" t="inlineStr">
        <is>
          <t>10 Jul</t>
        </is>
      </c>
    </row>
    <row r="210">
      <c r="A210" s="41" t="n">
        <v>46214</v>
      </c>
      <c r="B210" s="28" t="n">
        <v>0.765</v>
      </c>
      <c r="C210" s="28" t="n">
        <v>0.23</v>
      </c>
      <c r="D210" s="29">
        <f>IF(COUNT(B210:C210)=2,B210+C210,"")</f>
        <v/>
      </c>
      <c r="E210" s="30">
        <f>IF(ISNUMBER(B210),IFERROR(B210/$D210,""),"")</f>
        <v/>
      </c>
      <c r="F210" s="30">
        <f>IF(ISNUMBER(C210),IFERROR(C210/$D210,""),"")</f>
        <v/>
      </c>
      <c r="G210" s="31">
        <f>IF(COUNT(B210:C210)=2,B210-C210,"")</f>
        <v/>
      </c>
      <c r="H210" s="31">
        <f>IFERROR(IF(AND(ISNUMBER(B210),INDEX($B$25:$B210,MATCH($A210-7,$A$25:$A210,1))&lt;&gt;0,INDEX($A$25:$A210,MATCH($A210-7,$A$25:$A210,1))&lt;&gt;0,$A210-INDEX($A$25:$A210,MATCH($A210-7,$A$25:$A210,1))&lt;=10),B210-INDEX($B$25:$B210,MATCH($A210-7,$A$25:$A210,1)),""),"")</f>
        <v/>
      </c>
      <c r="I210" s="31">
        <f>IFERROR(IF(AND(ISNUMBER(B210),INDEX($B$25:$B210,MATCH($A210-30,$A$25:$A210,1))&lt;&gt;0,INDEX($A$25:$A210,MATCH($A210-30,$A$25:$A210,1))&lt;&gt;0,$A210-INDEX($A$25:$A210,MATCH($A210-30,$A$25:$A210,1))&lt;=33),B210-INDEX($B$25:$B210,MATCH($A210-30,$A$25:$A210,1)),""),"")</f>
        <v/>
      </c>
      <c r="J210" s="42">
        <f>DATE(2026,11,3)-A210</f>
        <v/>
      </c>
      <c r="K210" s="26" t="inlineStr">
        <is>
          <t>11 Jul</t>
        </is>
      </c>
    </row>
    <row r="211">
      <c r="A211" s="39" t="n">
        <v>46215</v>
      </c>
      <c r="B211" s="16" t="n">
        <v>0.765</v>
      </c>
      <c r="C211" s="16" t="n">
        <v>0.21</v>
      </c>
      <c r="D211" s="17">
        <f>IF(COUNT(B211:C211)=2,B211+C211,"")</f>
        <v/>
      </c>
      <c r="E211" s="20">
        <f>IF(ISNUMBER(B211),IFERROR(B211/$D211,""),"")</f>
        <v/>
      </c>
      <c r="F211" s="20">
        <f>IF(ISNUMBER(C211),IFERROR(C211/$D211,""),"")</f>
        <v/>
      </c>
      <c r="G211" s="18">
        <f>IF(COUNT(B211:C211)=2,B211-C211,"")</f>
        <v/>
      </c>
      <c r="H211" s="18">
        <f>IFERROR(IF(AND(ISNUMBER(B211),INDEX($B$25:$B211,MATCH($A211-7,$A$25:$A211,1))&lt;&gt;0,INDEX($A$25:$A211,MATCH($A211-7,$A$25:$A211,1))&lt;&gt;0,$A211-INDEX($A$25:$A211,MATCH($A211-7,$A$25:$A211,1))&lt;=10),B211-INDEX($B$25:$B211,MATCH($A211-7,$A$25:$A211,1)),""),"")</f>
        <v/>
      </c>
      <c r="I211" s="18">
        <f>IFERROR(IF(AND(ISNUMBER(B211),INDEX($B$25:$B211,MATCH($A211-30,$A$25:$A211,1))&lt;&gt;0,INDEX($A$25:$A211,MATCH($A211-30,$A$25:$A211,1))&lt;&gt;0,$A211-INDEX($A$25:$A211,MATCH($A211-30,$A$25:$A211,1))&lt;=33),B211-INDEX($B$25:$B211,MATCH($A211-30,$A$25:$A211,1)),""),"")</f>
        <v/>
      </c>
      <c r="J211" s="40">
        <f>DATE(2026,11,3)-A211</f>
        <v/>
      </c>
      <c r="K211" s="26" t="inlineStr">
        <is>
          <t>12 Jul</t>
        </is>
      </c>
    </row>
    <row r="212">
      <c r="A212" s="41" t="n">
        <v>46216</v>
      </c>
      <c r="B212" s="28" t="n">
        <v>0.755</v>
      </c>
      <c r="C212" s="28" t="n">
        <v>0.22</v>
      </c>
      <c r="D212" s="29">
        <f>IF(COUNT(B212:C212)=2,B212+C212,"")</f>
        <v/>
      </c>
      <c r="E212" s="30">
        <f>IF(ISNUMBER(B212),IFERROR(B212/$D212,""),"")</f>
        <v/>
      </c>
      <c r="F212" s="30">
        <f>IF(ISNUMBER(C212),IFERROR(C212/$D212,""),"")</f>
        <v/>
      </c>
      <c r="G212" s="31">
        <f>IF(COUNT(B212:C212)=2,B212-C212,"")</f>
        <v/>
      </c>
      <c r="H212" s="31">
        <f>IFERROR(IF(AND(ISNUMBER(B212),INDEX($B$25:$B212,MATCH($A212-7,$A$25:$A212,1))&lt;&gt;0,INDEX($A$25:$A212,MATCH($A212-7,$A$25:$A212,1))&lt;&gt;0,$A212-INDEX($A$25:$A212,MATCH($A212-7,$A$25:$A212,1))&lt;=10),B212-INDEX($B$25:$B212,MATCH($A212-7,$A$25:$A212,1)),""),"")</f>
        <v/>
      </c>
      <c r="I212" s="31">
        <f>IFERROR(IF(AND(ISNUMBER(B212),INDEX($B$25:$B212,MATCH($A212-30,$A$25:$A212,1))&lt;&gt;0,INDEX($A$25:$A212,MATCH($A212-30,$A$25:$A212,1))&lt;&gt;0,$A212-INDEX($A$25:$A212,MATCH($A212-30,$A$25:$A212,1))&lt;=33),B212-INDEX($B$25:$B212,MATCH($A212-30,$A$25:$A212,1)),""),"")</f>
        <v/>
      </c>
      <c r="J212" s="42">
        <f>DATE(2026,11,3)-A212</f>
        <v/>
      </c>
      <c r="K212" s="26" t="inlineStr">
        <is>
          <t>13 Jul</t>
        </is>
      </c>
    </row>
    <row r="213">
      <c r="A213" s="39" t="n">
        <v>46217</v>
      </c>
      <c r="B213" s="16" t="n">
        <v>0.755</v>
      </c>
      <c r="C213" s="16" t="n">
        <v>0.21</v>
      </c>
      <c r="D213" s="17">
        <f>IF(COUNT(B213:C213)=2,B213+C213,"")</f>
        <v/>
      </c>
      <c r="E213" s="20">
        <f>IF(ISNUMBER(B213),IFERROR(B213/$D213,""),"")</f>
        <v/>
      </c>
      <c r="F213" s="20">
        <f>IF(ISNUMBER(C213),IFERROR(C213/$D213,""),"")</f>
        <v/>
      </c>
      <c r="G213" s="18">
        <f>IF(COUNT(B213:C213)=2,B213-C213,"")</f>
        <v/>
      </c>
      <c r="H213" s="18">
        <f>IFERROR(IF(AND(ISNUMBER(B213),INDEX($B$25:$B213,MATCH($A213-7,$A$25:$A213,1))&lt;&gt;0,INDEX($A$25:$A213,MATCH($A213-7,$A$25:$A213,1))&lt;&gt;0,$A213-INDEX($A$25:$A213,MATCH($A213-7,$A$25:$A213,1))&lt;=10),B213-INDEX($B$25:$B213,MATCH($A213-7,$A$25:$A213,1)),""),"")</f>
        <v/>
      </c>
      <c r="I213" s="18">
        <f>IFERROR(IF(AND(ISNUMBER(B213),INDEX($B$25:$B213,MATCH($A213-30,$A$25:$A213,1))&lt;&gt;0,INDEX($A$25:$A213,MATCH($A213-30,$A$25:$A213,1))&lt;&gt;0,$A213-INDEX($A$25:$A213,MATCH($A213-30,$A$25:$A213,1))&lt;=33),B213-INDEX($B$25:$B213,MATCH($A213-30,$A$25:$A213,1)),""),"")</f>
        <v/>
      </c>
      <c r="J213" s="40">
        <f>DATE(2026,11,3)-A213</f>
        <v/>
      </c>
      <c r="K213" s="26" t="inlineStr">
        <is>
          <t>14 Jul</t>
        </is>
      </c>
    </row>
    <row r="214">
      <c r="A214" s="41" t="n">
        <v>46218</v>
      </c>
      <c r="B214" s="28" t="n">
        <v>0.755</v>
      </c>
      <c r="C214" s="28" t="n">
        <v>0.21</v>
      </c>
      <c r="D214" s="29">
        <f>IF(COUNT(B214:C214)=2,B214+C214,"")</f>
        <v/>
      </c>
      <c r="E214" s="30">
        <f>IF(ISNUMBER(B214),IFERROR(B214/$D214,""),"")</f>
        <v/>
      </c>
      <c r="F214" s="30">
        <f>IF(ISNUMBER(C214),IFERROR(C214/$D214,""),"")</f>
        <v/>
      </c>
      <c r="G214" s="31">
        <f>IF(COUNT(B214:C214)=2,B214-C214,"")</f>
        <v/>
      </c>
      <c r="H214" s="31">
        <f>IFERROR(IF(AND(ISNUMBER(B214),INDEX($B$25:$B214,MATCH($A214-7,$A$25:$A214,1))&lt;&gt;0,INDEX($A$25:$A214,MATCH($A214-7,$A$25:$A214,1))&lt;&gt;0,$A214-INDEX($A$25:$A214,MATCH($A214-7,$A$25:$A214,1))&lt;=10),B214-INDEX($B$25:$B214,MATCH($A214-7,$A$25:$A214,1)),""),"")</f>
        <v/>
      </c>
      <c r="I214" s="31">
        <f>IFERROR(IF(AND(ISNUMBER(B214),INDEX($B$25:$B214,MATCH($A214-30,$A$25:$A214,1))&lt;&gt;0,INDEX($A$25:$A214,MATCH($A214-30,$A$25:$A214,1))&lt;&gt;0,$A214-INDEX($A$25:$A214,MATCH($A214-30,$A$25:$A214,1))&lt;=33),B214-INDEX($B$25:$B214,MATCH($A214-30,$A$25:$A214,1)),""),"")</f>
        <v/>
      </c>
      <c r="J214" s="42">
        <f>DATE(2026,11,3)-A214</f>
        <v/>
      </c>
      <c r="K214" s="26" t="inlineStr">
        <is>
          <t>15 Jul</t>
        </is>
      </c>
    </row>
    <row r="215">
      <c r="A215" s="39" t="n">
        <v>46219</v>
      </c>
      <c r="B215" s="16" t="n">
        <v>0.75</v>
      </c>
      <c r="C215" s="16" t="n">
        <v>0.21</v>
      </c>
      <c r="D215" s="17">
        <f>IF(COUNT(B215:C215)=2,B215+C215,"")</f>
        <v/>
      </c>
      <c r="E215" s="20">
        <f>IF(ISNUMBER(B215),IFERROR(B215/$D215,""),"")</f>
        <v/>
      </c>
      <c r="F215" s="20">
        <f>IF(ISNUMBER(C215),IFERROR(C215/$D215,""),"")</f>
        <v/>
      </c>
      <c r="G215" s="18">
        <f>IF(COUNT(B215:C215)=2,B215-C215,"")</f>
        <v/>
      </c>
      <c r="H215" s="18">
        <f>IFERROR(IF(AND(ISNUMBER(B215),INDEX($B$25:$B215,MATCH($A215-7,$A$25:$A215,1))&lt;&gt;0,INDEX($A$25:$A215,MATCH($A215-7,$A$25:$A215,1))&lt;&gt;0,$A215-INDEX($A$25:$A215,MATCH($A215-7,$A$25:$A215,1))&lt;=10),B215-INDEX($B$25:$B215,MATCH($A215-7,$A$25:$A215,1)),""),"")</f>
        <v/>
      </c>
      <c r="I215" s="18">
        <f>IFERROR(IF(AND(ISNUMBER(B215),INDEX($B$25:$B215,MATCH($A215-30,$A$25:$A215,1))&lt;&gt;0,INDEX($A$25:$A215,MATCH($A215-30,$A$25:$A215,1))&lt;&gt;0,$A215-INDEX($A$25:$A215,MATCH($A215-30,$A$25:$A215,1))&lt;=33),B215-INDEX($B$25:$B215,MATCH($A215-30,$A$25:$A215,1)),""),"")</f>
        <v/>
      </c>
      <c r="J215" s="40">
        <f>DATE(2026,11,3)-A215</f>
        <v/>
      </c>
      <c r="K215" s="26" t="inlineStr">
        <is>
          <t>16 Jul</t>
        </is>
      </c>
    </row>
    <row r="216">
      <c r="A216" s="41" t="n">
        <v>46220</v>
      </c>
      <c r="B216" s="28" t="n">
        <v>0.75</v>
      </c>
      <c r="C216" s="28" t="n">
        <v>0.21</v>
      </c>
      <c r="D216" s="29">
        <f>IF(COUNT(B216:C216)=2,B216+C216,"")</f>
        <v/>
      </c>
      <c r="E216" s="30">
        <f>IF(ISNUMBER(B216),IFERROR(B216/$D216,""),"")</f>
        <v/>
      </c>
      <c r="F216" s="30">
        <f>IF(ISNUMBER(C216),IFERROR(C216/$D216,""),"")</f>
        <v/>
      </c>
      <c r="G216" s="31">
        <f>IF(COUNT(B216:C216)=2,B216-C216,"")</f>
        <v/>
      </c>
      <c r="H216" s="31">
        <f>IFERROR(IF(AND(ISNUMBER(B216),INDEX($B$25:$B216,MATCH($A216-7,$A$25:$A216,1))&lt;&gt;0,INDEX($A$25:$A216,MATCH($A216-7,$A$25:$A216,1))&lt;&gt;0,$A216-INDEX($A$25:$A216,MATCH($A216-7,$A$25:$A216,1))&lt;=10),B216-INDEX($B$25:$B216,MATCH($A216-7,$A$25:$A216,1)),""),"")</f>
        <v/>
      </c>
      <c r="I216" s="31">
        <f>IFERROR(IF(AND(ISNUMBER(B216),INDEX($B$25:$B216,MATCH($A216-30,$A$25:$A216,1))&lt;&gt;0,INDEX($A$25:$A216,MATCH($A216-30,$A$25:$A216,1))&lt;&gt;0,$A216-INDEX($A$25:$A216,MATCH($A216-30,$A$25:$A216,1))&lt;=33),B216-INDEX($B$25:$B216,MATCH($A216-30,$A$25:$A216,1)),""),"")</f>
        <v/>
      </c>
      <c r="J216" s="42">
        <f>DATE(2026,11,3)-A216</f>
        <v/>
      </c>
      <c r="K216" s="26" t="inlineStr">
        <is>
          <t>17 Jul</t>
        </is>
      </c>
    </row>
    <row r="217">
      <c r="A217" s="39" t="n">
        <v>46221</v>
      </c>
      <c r="B217" s="16" t="n">
        <v>0.75</v>
      </c>
      <c r="C217" s="16" t="n">
        <v>0.21</v>
      </c>
      <c r="D217" s="17">
        <f>IF(COUNT(B217:C217)=2,B217+C217,"")</f>
        <v/>
      </c>
      <c r="E217" s="20">
        <f>IF(ISNUMBER(B217),IFERROR(B217/$D217,""),"")</f>
        <v/>
      </c>
      <c r="F217" s="20">
        <f>IF(ISNUMBER(C217),IFERROR(C217/$D217,""),"")</f>
        <v/>
      </c>
      <c r="G217" s="18">
        <f>IF(COUNT(B217:C217)=2,B217-C217,"")</f>
        <v/>
      </c>
      <c r="H217" s="18">
        <f>IFERROR(IF(AND(ISNUMBER(B217),INDEX($B$25:$B217,MATCH($A217-7,$A$25:$A217,1))&lt;&gt;0,INDEX($A$25:$A217,MATCH($A217-7,$A$25:$A217,1))&lt;&gt;0,$A217-INDEX($A$25:$A217,MATCH($A217-7,$A$25:$A217,1))&lt;=10),B217-INDEX($B$25:$B217,MATCH($A217-7,$A$25:$A217,1)),""),"")</f>
        <v/>
      </c>
      <c r="I217" s="18">
        <f>IFERROR(IF(AND(ISNUMBER(B217),INDEX($B$25:$B217,MATCH($A217-30,$A$25:$A217,1))&lt;&gt;0,INDEX($A$25:$A217,MATCH($A217-30,$A$25:$A217,1))&lt;&gt;0,$A217-INDEX($A$25:$A217,MATCH($A217-30,$A$25:$A217,1))&lt;=33),B217-INDEX($B$25:$B217,MATCH($A217-30,$A$25:$A217,1)),""),"")</f>
        <v/>
      </c>
      <c r="J217" s="40">
        <f>DATE(2026,11,3)-A217</f>
        <v/>
      </c>
      <c r="K217" s="26" t="inlineStr">
        <is>
          <t>18 Jul</t>
        </is>
      </c>
    </row>
    <row r="218">
      <c r="A218" s="41" t="n">
        <v>46222</v>
      </c>
      <c r="B218" s="28" t="n">
        <v>0.75</v>
      </c>
      <c r="C218" s="28" t="n">
        <v>0.21</v>
      </c>
      <c r="D218" s="29">
        <f>IF(COUNT(B218:C218)=2,B218+C218,"")</f>
        <v/>
      </c>
      <c r="E218" s="30">
        <f>IF(ISNUMBER(B218),IFERROR(B218/$D218,""),"")</f>
        <v/>
      </c>
      <c r="F218" s="30">
        <f>IF(ISNUMBER(C218),IFERROR(C218/$D218,""),"")</f>
        <v/>
      </c>
      <c r="G218" s="31">
        <f>IF(COUNT(B218:C218)=2,B218-C218,"")</f>
        <v/>
      </c>
      <c r="H218" s="31">
        <f>IFERROR(IF(AND(ISNUMBER(B218),INDEX($B$25:$B218,MATCH($A218-7,$A$25:$A218,1))&lt;&gt;0,INDEX($A$25:$A218,MATCH($A218-7,$A$25:$A218,1))&lt;&gt;0,$A218-INDEX($A$25:$A218,MATCH($A218-7,$A$25:$A218,1))&lt;=10),B218-INDEX($B$25:$B218,MATCH($A218-7,$A$25:$A218,1)),""),"")</f>
        <v/>
      </c>
      <c r="I218" s="31">
        <f>IFERROR(IF(AND(ISNUMBER(B218),INDEX($B$25:$B218,MATCH($A218-30,$A$25:$A218,1))&lt;&gt;0,INDEX($A$25:$A218,MATCH($A218-30,$A$25:$A218,1))&lt;&gt;0,$A218-INDEX($A$25:$A218,MATCH($A218-30,$A$25:$A218,1))&lt;=33),B218-INDEX($B$25:$B218,MATCH($A218-30,$A$25:$A218,1)),""),"")</f>
        <v/>
      </c>
      <c r="J218" s="42">
        <f>DATE(2026,11,3)-A218</f>
        <v/>
      </c>
      <c r="K218" s="26" t="inlineStr">
        <is>
          <t>19 Jul</t>
        </is>
      </c>
    </row>
    <row r="219">
      <c r="A219" s="39" t="n">
        <v>46223</v>
      </c>
      <c r="B219" s="16" t="n">
        <v>0.75</v>
      </c>
      <c r="C219" s="16" t="n">
        <v>0.21</v>
      </c>
      <c r="D219" s="17">
        <f>IF(COUNT(B219:C219)=2,B219+C219,"")</f>
        <v/>
      </c>
      <c r="E219" s="20">
        <f>IF(ISNUMBER(B219),IFERROR(B219/$D219,""),"")</f>
        <v/>
      </c>
      <c r="F219" s="20">
        <f>IF(ISNUMBER(C219),IFERROR(C219/$D219,""),"")</f>
        <v/>
      </c>
      <c r="G219" s="18">
        <f>IF(COUNT(B219:C219)=2,B219-C219,"")</f>
        <v/>
      </c>
      <c r="H219" s="18">
        <f>IFERROR(IF(AND(ISNUMBER(B219),INDEX($B$25:$B219,MATCH($A219-7,$A$25:$A219,1))&lt;&gt;0,INDEX($A$25:$A219,MATCH($A219-7,$A$25:$A219,1))&lt;&gt;0,$A219-INDEX($A$25:$A219,MATCH($A219-7,$A$25:$A219,1))&lt;=10),B219-INDEX($B$25:$B219,MATCH($A219-7,$A$25:$A219,1)),""),"")</f>
        <v/>
      </c>
      <c r="I219" s="18">
        <f>IFERROR(IF(AND(ISNUMBER(B219),INDEX($B$25:$B219,MATCH($A219-30,$A$25:$A219,1))&lt;&gt;0,INDEX($A$25:$A219,MATCH($A219-30,$A$25:$A219,1))&lt;&gt;0,$A219-INDEX($A$25:$A219,MATCH($A219-30,$A$25:$A219,1))&lt;=33),B219-INDEX($B$25:$B219,MATCH($A219-30,$A$25:$A219,1)),""),"")</f>
        <v/>
      </c>
      <c r="J219" s="40">
        <f>DATE(2026,11,3)-A219</f>
        <v/>
      </c>
      <c r="K219" s="26" t="inlineStr">
        <is>
          <t>20 Jul</t>
        </is>
      </c>
    </row>
    <row r="220">
      <c r="A220" s="41" t="n">
        <v>46224</v>
      </c>
      <c r="B220" s="28" t="n">
        <v>0.75</v>
      </c>
      <c r="C220" s="28" t="n">
        <v>0.21</v>
      </c>
      <c r="D220" s="29">
        <f>IF(COUNT(B220:C220)=2,B220+C220,"")</f>
        <v/>
      </c>
      <c r="E220" s="30">
        <f>IF(ISNUMBER(B220),IFERROR(B220/$D220,""),"")</f>
        <v/>
      </c>
      <c r="F220" s="30">
        <f>IF(ISNUMBER(C220),IFERROR(C220/$D220,""),"")</f>
        <v/>
      </c>
      <c r="G220" s="31">
        <f>IF(COUNT(B220:C220)=2,B220-C220,"")</f>
        <v/>
      </c>
      <c r="H220" s="31">
        <f>IFERROR(IF(AND(ISNUMBER(B220),INDEX($B$25:$B220,MATCH($A220-7,$A$25:$A220,1))&lt;&gt;0,INDEX($A$25:$A220,MATCH($A220-7,$A$25:$A220,1))&lt;&gt;0,$A220-INDEX($A$25:$A220,MATCH($A220-7,$A$25:$A220,1))&lt;=10),B220-INDEX($B$25:$B220,MATCH($A220-7,$A$25:$A220,1)),""),"")</f>
        <v/>
      </c>
      <c r="I220" s="31">
        <f>IFERROR(IF(AND(ISNUMBER(B220),INDEX($B$25:$B220,MATCH($A220-30,$A$25:$A220,1))&lt;&gt;0,INDEX($A$25:$A220,MATCH($A220-30,$A$25:$A220,1))&lt;&gt;0,$A220-INDEX($A$25:$A220,MATCH($A220-30,$A$25:$A220,1))&lt;=33),B220-INDEX($B$25:$B220,MATCH($A220-30,$A$25:$A220,1)),""),"")</f>
        <v/>
      </c>
      <c r="J220" s="42">
        <f>DATE(2026,11,3)-A220</f>
        <v/>
      </c>
      <c r="K220" s="26" t="inlineStr">
        <is>
          <t>21 Jul</t>
        </is>
      </c>
    </row>
    <row r="221">
      <c r="A221" s="39" t="n">
        <v>46225</v>
      </c>
      <c r="B221" s="16" t="n">
        <v>0.75</v>
      </c>
      <c r="C221" s="16" t="n">
        <v>0.215</v>
      </c>
      <c r="D221" s="17">
        <f>IF(COUNT(B221:C221)=2,B221+C221,"")</f>
        <v/>
      </c>
      <c r="E221" s="20">
        <f>IF(ISNUMBER(B221),IFERROR(B221/$D221,""),"")</f>
        <v/>
      </c>
      <c r="F221" s="20">
        <f>IF(ISNUMBER(C221),IFERROR(C221/$D221,""),"")</f>
        <v/>
      </c>
      <c r="G221" s="18">
        <f>IF(COUNT(B221:C221)=2,B221-C221,"")</f>
        <v/>
      </c>
      <c r="H221" s="18">
        <f>IFERROR(IF(AND(ISNUMBER(B221),INDEX($B$25:$B221,MATCH($A221-7,$A$25:$A221,1))&lt;&gt;0,INDEX($A$25:$A221,MATCH($A221-7,$A$25:$A221,1))&lt;&gt;0,$A221-INDEX($A$25:$A221,MATCH($A221-7,$A$25:$A221,1))&lt;=10),B221-INDEX($B$25:$B221,MATCH($A221-7,$A$25:$A221,1)),""),"")</f>
        <v/>
      </c>
      <c r="I221" s="18">
        <f>IFERROR(IF(AND(ISNUMBER(B221),INDEX($B$25:$B221,MATCH($A221-30,$A$25:$A221,1))&lt;&gt;0,INDEX($A$25:$A221,MATCH($A221-30,$A$25:$A221,1))&lt;&gt;0,$A221-INDEX($A$25:$A221,MATCH($A221-30,$A$25:$A221,1))&lt;=33),B221-INDEX($B$25:$B221,MATCH($A221-30,$A$25:$A221,1)),""),"")</f>
        <v/>
      </c>
      <c r="J221" s="40">
        <f>DATE(2026,11,3)-A221</f>
        <v/>
      </c>
      <c r="K221" s="26" t="inlineStr">
        <is>
          <t>22 Jul</t>
        </is>
      </c>
    </row>
    <row r="222">
      <c r="A222" s="41" t="n">
        <v>46226</v>
      </c>
      <c r="B222" s="28" t="n">
        <v>0.75</v>
      </c>
      <c r="C222" s="28" t="n">
        <v>0.215</v>
      </c>
      <c r="D222" s="29">
        <f>IF(COUNT(B222:C222)=2,B222+C222,"")</f>
        <v/>
      </c>
      <c r="E222" s="30">
        <f>IF(ISNUMBER(B222),IFERROR(B222/$D222,""),"")</f>
        <v/>
      </c>
      <c r="F222" s="30">
        <f>IF(ISNUMBER(C222),IFERROR(C222/$D222,""),"")</f>
        <v/>
      </c>
      <c r="G222" s="31">
        <f>IF(COUNT(B222:C222)=2,B222-C222,"")</f>
        <v/>
      </c>
      <c r="H222" s="31">
        <f>IFERROR(IF(AND(ISNUMBER(B222),INDEX($B$25:$B222,MATCH($A222-7,$A$25:$A222,1))&lt;&gt;0,INDEX($A$25:$A222,MATCH($A222-7,$A$25:$A222,1))&lt;&gt;0,$A222-INDEX($A$25:$A222,MATCH($A222-7,$A$25:$A222,1))&lt;=10),B222-INDEX($B$25:$B222,MATCH($A222-7,$A$25:$A222,1)),""),"")</f>
        <v/>
      </c>
      <c r="I222" s="31">
        <f>IFERROR(IF(AND(ISNUMBER(B222),INDEX($B$25:$B222,MATCH($A222-30,$A$25:$A222,1))&lt;&gt;0,INDEX($A$25:$A222,MATCH($A222-30,$A$25:$A222,1))&lt;&gt;0,$A222-INDEX($A$25:$A222,MATCH($A222-30,$A$25:$A222,1))&lt;=33),B222-INDEX($B$25:$B222,MATCH($A222-30,$A$25:$A222,1)),""),"")</f>
        <v/>
      </c>
      <c r="J222" s="42">
        <f>DATE(2026,11,3)-A222</f>
        <v/>
      </c>
      <c r="K222" s="26" t="inlineStr">
        <is>
          <t>23 Jul</t>
        </is>
      </c>
    </row>
    <row r="223">
      <c r="A223" s="39" t="n">
        <v>46227</v>
      </c>
      <c r="B223" s="16" t="n">
        <v>0.75</v>
      </c>
      <c r="C223" s="16" t="n">
        <v>0.215</v>
      </c>
      <c r="D223" s="17">
        <f>IF(COUNT(B223:C223)=2,B223+C223,"")</f>
        <v/>
      </c>
      <c r="E223" s="20">
        <f>IF(ISNUMBER(B223),IFERROR(B223/$D223,""),"")</f>
        <v/>
      </c>
      <c r="F223" s="20">
        <f>IF(ISNUMBER(C223),IFERROR(C223/$D223,""),"")</f>
        <v/>
      </c>
      <c r="G223" s="18">
        <f>IF(COUNT(B223:C223)=2,B223-C223,"")</f>
        <v/>
      </c>
      <c r="H223" s="18">
        <f>IFERROR(IF(AND(ISNUMBER(B223),INDEX($B$25:$B223,MATCH($A223-7,$A$25:$A223,1))&lt;&gt;0,INDEX($A$25:$A223,MATCH($A223-7,$A$25:$A223,1))&lt;&gt;0,$A223-INDEX($A$25:$A223,MATCH($A223-7,$A$25:$A223,1))&lt;=10),B223-INDEX($B$25:$B223,MATCH($A223-7,$A$25:$A223,1)),""),"")</f>
        <v/>
      </c>
      <c r="I223" s="18">
        <f>IFERROR(IF(AND(ISNUMBER(B223),INDEX($B$25:$B223,MATCH($A223-30,$A$25:$A223,1))&lt;&gt;0,INDEX($A$25:$A223,MATCH($A223-30,$A$25:$A223,1))&lt;&gt;0,$A223-INDEX($A$25:$A223,MATCH($A223-30,$A$25:$A223,1))&lt;=33),B223-INDEX($B$25:$B223,MATCH($A223-30,$A$25:$A223,1)),""),"")</f>
        <v/>
      </c>
      <c r="J223" s="40">
        <f>DATE(2026,11,3)-A223</f>
        <v/>
      </c>
      <c r="K223" s="26" t="inlineStr">
        <is>
          <t>24 Jul</t>
        </is>
      </c>
    </row>
    <row r="224">
      <c r="A224" s="41" t="n">
        <v>46228</v>
      </c>
      <c r="B224" s="28" t="n">
        <v>0.75</v>
      </c>
      <c r="C224" s="28" t="n">
        <v>0.21</v>
      </c>
      <c r="D224" s="29">
        <f>IF(COUNT(B224:C224)=2,B224+C224,"")</f>
        <v/>
      </c>
      <c r="E224" s="30">
        <f>IF(ISNUMBER(B224),IFERROR(B224/$D224,""),"")</f>
        <v/>
      </c>
      <c r="F224" s="30">
        <f>IF(ISNUMBER(C224),IFERROR(C224/$D224,""),"")</f>
        <v/>
      </c>
      <c r="G224" s="31">
        <f>IF(COUNT(B224:C224)=2,B224-C224,"")</f>
        <v/>
      </c>
      <c r="H224" s="31">
        <f>IFERROR(IF(AND(ISNUMBER(B224),INDEX($B$25:$B224,MATCH($A224-7,$A$25:$A224,1))&lt;&gt;0,INDEX($A$25:$A224,MATCH($A224-7,$A$25:$A224,1))&lt;&gt;0,$A224-INDEX($A$25:$A224,MATCH($A224-7,$A$25:$A224,1))&lt;=10),B224-INDEX($B$25:$B224,MATCH($A224-7,$A$25:$A224,1)),""),"")</f>
        <v/>
      </c>
      <c r="I224" s="31">
        <f>IFERROR(IF(AND(ISNUMBER(B224),INDEX($B$25:$B224,MATCH($A224-30,$A$25:$A224,1))&lt;&gt;0,INDEX($A$25:$A224,MATCH($A224-30,$A$25:$A224,1))&lt;&gt;0,$A224-INDEX($A$25:$A224,MATCH($A224-30,$A$25:$A224,1))&lt;=33),B224-INDEX($B$25:$B224,MATCH($A224-30,$A$25:$A224,1)),""),"")</f>
        <v/>
      </c>
      <c r="J224" s="42">
        <f>DATE(2026,11,3)-A224</f>
        <v/>
      </c>
      <c r="K224" s="26" t="inlineStr">
        <is>
          <t>25 Jul</t>
        </is>
      </c>
    </row>
    <row r="225">
      <c r="A225" s="39" t="n">
        <v>46229</v>
      </c>
      <c r="B225" s="16" t="n">
        <v>0.74</v>
      </c>
      <c r="C225" s="16" t="n">
        <v>0.245</v>
      </c>
      <c r="D225" s="17">
        <f>IF(COUNT(B225:C225)=2,B225+C225,"")</f>
        <v/>
      </c>
      <c r="E225" s="20">
        <f>IF(ISNUMBER(B225),IFERROR(B225/$D225,""),"")</f>
        <v/>
      </c>
      <c r="F225" s="20">
        <f>IF(ISNUMBER(C225),IFERROR(C225/$D225,""),"")</f>
        <v/>
      </c>
      <c r="G225" s="18">
        <f>IF(COUNT(B225:C225)=2,B225-C225,"")</f>
        <v/>
      </c>
      <c r="H225" s="18">
        <f>IFERROR(IF(AND(ISNUMBER(B225),INDEX($B$25:$B225,MATCH($A225-7,$A$25:$A225,1))&lt;&gt;0,INDEX($A$25:$A225,MATCH($A225-7,$A$25:$A225,1))&lt;&gt;0,$A225-INDEX($A$25:$A225,MATCH($A225-7,$A$25:$A225,1))&lt;=10),B225-INDEX($B$25:$B225,MATCH($A225-7,$A$25:$A225,1)),""),"")</f>
        <v/>
      </c>
      <c r="I225" s="18">
        <f>IFERROR(IF(AND(ISNUMBER(B225),INDEX($B$25:$B225,MATCH($A225-30,$A$25:$A225,1))&lt;&gt;0,INDEX($A$25:$A225,MATCH($A225-30,$A$25:$A225,1))&lt;&gt;0,$A225-INDEX($A$25:$A225,MATCH($A225-30,$A$25:$A225,1))&lt;=33),B225-INDEX($B$25:$B225,MATCH($A225-30,$A$25:$A225,1)),""),"")</f>
        <v/>
      </c>
      <c r="J225" s="40">
        <f>DATE(2026,11,3)-A225</f>
        <v/>
      </c>
      <c r="K225" s="26" t="inlineStr">
        <is>
          <t>26 Jul</t>
        </is>
      </c>
    </row>
    <row r="226">
      <c r="A226" s="41" t="n">
        <v>46230</v>
      </c>
      <c r="B226" s="28" t="n">
        <v>0.735</v>
      </c>
      <c r="C226" s="28" t="n">
        <v>0.24</v>
      </c>
      <c r="D226" s="29">
        <f>IF(COUNT(B226:C226)=2,B226+C226,"")</f>
        <v/>
      </c>
      <c r="E226" s="30">
        <f>IF(ISNUMBER(B226),IFERROR(B226/$D226,""),"")</f>
        <v/>
      </c>
      <c r="F226" s="30">
        <f>IF(ISNUMBER(C226),IFERROR(C226/$D226,""),"")</f>
        <v/>
      </c>
      <c r="G226" s="31">
        <f>IF(COUNT(B226:C226)=2,B226-C226,"")</f>
        <v/>
      </c>
      <c r="H226" s="31">
        <f>IFERROR(IF(AND(ISNUMBER(B226),INDEX($B$25:$B226,MATCH($A226-7,$A$25:$A226,1))&lt;&gt;0,INDEX($A$25:$A226,MATCH($A226-7,$A$25:$A226,1))&lt;&gt;0,$A226-INDEX($A$25:$A226,MATCH($A226-7,$A$25:$A226,1))&lt;=10),B226-INDEX($B$25:$B226,MATCH($A226-7,$A$25:$A226,1)),""),"")</f>
        <v/>
      </c>
      <c r="I226" s="31">
        <f>IFERROR(IF(AND(ISNUMBER(B226),INDEX($B$25:$B226,MATCH($A226-30,$A$25:$A226,1))&lt;&gt;0,INDEX($A$25:$A226,MATCH($A226-30,$A$25:$A226,1))&lt;&gt;0,$A226-INDEX($A$25:$A226,MATCH($A226-30,$A$25:$A226,1))&lt;=33),B226-INDEX($B$25:$B226,MATCH($A226-30,$A$25:$A226,1)),""),"")</f>
        <v/>
      </c>
      <c r="J226" s="42">
        <f>DATE(2026,11,3)-A226</f>
        <v/>
      </c>
      <c r="K226" s="26" t="inlineStr">
        <is>
          <t>27 Jul</t>
        </is>
      </c>
    </row>
    <row r="227">
      <c r="A227" s="39" t="n">
        <v>46231</v>
      </c>
      <c r="B227" s="16" t="n">
        <v>0.735</v>
      </c>
      <c r="C227" s="16" t="n">
        <v>0.24</v>
      </c>
      <c r="D227" s="17">
        <f>IF(COUNT(B227:C227)=2,B227+C227,"")</f>
        <v/>
      </c>
      <c r="E227" s="20">
        <f>IF(ISNUMBER(B227),IFERROR(B227/$D227,""),"")</f>
        <v/>
      </c>
      <c r="F227" s="20">
        <f>IF(ISNUMBER(C227),IFERROR(C227/$D227,""),"")</f>
        <v/>
      </c>
      <c r="G227" s="18">
        <f>IF(COUNT(B227:C227)=2,B227-C227,"")</f>
        <v/>
      </c>
      <c r="H227" s="18">
        <f>IFERROR(IF(AND(ISNUMBER(B227),INDEX($B$25:$B227,MATCH($A227-7,$A$25:$A227,1))&lt;&gt;0,INDEX($A$25:$A227,MATCH($A227-7,$A$25:$A227,1))&lt;&gt;0,$A227-INDEX($A$25:$A227,MATCH($A227-7,$A$25:$A227,1))&lt;=10),B227-INDEX($B$25:$B227,MATCH($A227-7,$A$25:$A227,1)),""),"")</f>
        <v/>
      </c>
      <c r="I227" s="18">
        <f>IFERROR(IF(AND(ISNUMBER(B227),INDEX($B$25:$B227,MATCH($A227-30,$A$25:$A227,1))&lt;&gt;0,INDEX($A$25:$A227,MATCH($A227-30,$A$25:$A227,1))&lt;&gt;0,$A227-INDEX($A$25:$A227,MATCH($A227-30,$A$25:$A227,1))&lt;=33),B227-INDEX($B$25:$B227,MATCH($A227-30,$A$25:$A227,1)),""),"")</f>
        <v/>
      </c>
      <c r="J227" s="40">
        <f>DATE(2026,11,3)-A227</f>
        <v/>
      </c>
      <c r="K227" s="26" t="inlineStr">
        <is>
          <t>28 Jul</t>
        </is>
      </c>
    </row>
    <row r="228">
      <c r="A228" s="41" t="n">
        <v>46232</v>
      </c>
      <c r="B228" s="28" t="n"/>
      <c r="C228" s="28" t="n">
        <v>0.24</v>
      </c>
      <c r="D228" s="29">
        <f>IF(COUNT(B228:C228)=2,B228+C228,"")</f>
        <v/>
      </c>
      <c r="E228" s="30">
        <f>IF(ISNUMBER(B228),IFERROR(B228/$D228,""),"")</f>
        <v/>
      </c>
      <c r="F228" s="30">
        <f>IF(ISNUMBER(C228),IFERROR(C228/$D228,""),"")</f>
        <v/>
      </c>
      <c r="G228" s="31">
        <f>IF(COUNT(B228:C228)=2,B228-C228,"")</f>
        <v/>
      </c>
      <c r="H228" s="31">
        <f>IFERROR(IF(AND(ISNUMBER(B228),INDEX($B$25:$B228,MATCH($A228-7,$A$25:$A228,1))&lt;&gt;0,INDEX($A$25:$A228,MATCH($A228-7,$A$25:$A228,1))&lt;&gt;0,$A228-INDEX($A$25:$A228,MATCH($A228-7,$A$25:$A228,1))&lt;=10),B228-INDEX($B$25:$B228,MATCH($A228-7,$A$25:$A228,1)),""),"")</f>
        <v/>
      </c>
      <c r="I228" s="31">
        <f>IFERROR(IF(AND(ISNUMBER(B228),INDEX($B$25:$B228,MATCH($A228-30,$A$25:$A228,1))&lt;&gt;0,INDEX($A$25:$A228,MATCH($A228-30,$A$25:$A228,1))&lt;&gt;0,$A228-INDEX($A$25:$A228,MATCH($A228-30,$A$25:$A228,1))&lt;=33),B228-INDEX($B$25:$B228,MATCH($A228-30,$A$25:$A228,1)),""),"")</f>
        <v/>
      </c>
      <c r="J228" s="42">
        <f>DATE(2026,11,3)-A228</f>
        <v/>
      </c>
      <c r="K228" s="26" t="inlineStr">
        <is>
          <t>29 Jul</t>
        </is>
      </c>
    </row>
    <row r="229">
      <c r="A229" s="39" t="n">
        <v>46233</v>
      </c>
      <c r="B229" s="16" t="n">
        <v>0.74</v>
      </c>
      <c r="C229" s="16" t="n">
        <v>0.24</v>
      </c>
      <c r="D229" s="17">
        <f>IF(COUNT(B229:C229)=2,B229+C229,"")</f>
        <v/>
      </c>
      <c r="E229" s="20">
        <f>IF(ISNUMBER(B229),IFERROR(B229/$D229,""),"")</f>
        <v/>
      </c>
      <c r="F229" s="20">
        <f>IF(ISNUMBER(C229),IFERROR(C229/$D229,""),"")</f>
        <v/>
      </c>
      <c r="G229" s="18">
        <f>IF(COUNT(B229:C229)=2,B229-C229,"")</f>
        <v/>
      </c>
      <c r="H229" s="18">
        <f>IFERROR(IF(AND(ISNUMBER(B229),INDEX($B$25:$B229,MATCH($A229-7,$A$25:$A229,1))&lt;&gt;0,INDEX($A$25:$A229,MATCH($A229-7,$A$25:$A229,1))&lt;&gt;0,$A229-INDEX($A$25:$A229,MATCH($A229-7,$A$25:$A229,1))&lt;=10),B229-INDEX($B$25:$B229,MATCH($A229-7,$A$25:$A229,1)),""),"")</f>
        <v/>
      </c>
      <c r="I229" s="18">
        <f>IFERROR(IF(AND(ISNUMBER(B229),INDEX($B$25:$B229,MATCH($A229-30,$A$25:$A229,1))&lt;&gt;0,INDEX($A$25:$A229,MATCH($A229-30,$A$25:$A229,1))&lt;&gt;0,$A229-INDEX($A$25:$A229,MATCH($A229-30,$A$25:$A229,1))&lt;=33),B229-INDEX($B$25:$B229,MATCH($A229-30,$A$25:$A229,1)),""),"")</f>
        <v/>
      </c>
      <c r="J229" s="40">
        <f>DATE(2026,11,3)-A229</f>
        <v/>
      </c>
      <c r="K229" s="26" t="inlineStr">
        <is>
          <t>30 Jul</t>
        </is>
      </c>
    </row>
    <row r="230">
      <c r="A230" s="41" t="n">
        <v>46234</v>
      </c>
      <c r="B230" s="28" t="n">
        <v>0.735</v>
      </c>
      <c r="C230" s="28" t="n">
        <v>0.245</v>
      </c>
      <c r="D230" s="29">
        <f>IF(COUNT(B230:C230)=2,B230+C230,"")</f>
        <v/>
      </c>
      <c r="E230" s="30">
        <f>IF(ISNUMBER(B230),IFERROR(B230/$D230,""),"")</f>
        <v/>
      </c>
      <c r="F230" s="30">
        <f>IF(ISNUMBER(C230),IFERROR(C230/$D230,""),"")</f>
        <v/>
      </c>
      <c r="G230" s="31">
        <f>IF(COUNT(B230:C230)=2,B230-C230,"")</f>
        <v/>
      </c>
      <c r="H230" s="31">
        <f>IFERROR(IF(AND(ISNUMBER(B230),INDEX($B$25:$B230,MATCH($A230-7,$A$25:$A230,1))&lt;&gt;0,INDEX($A$25:$A230,MATCH($A230-7,$A$25:$A230,1))&lt;&gt;0,$A230-INDEX($A$25:$A230,MATCH($A230-7,$A$25:$A230,1))&lt;=10),B230-INDEX($B$25:$B230,MATCH($A230-7,$A$25:$A230,1)),""),"")</f>
        <v/>
      </c>
      <c r="I230" s="31">
        <f>IFERROR(IF(AND(ISNUMBER(B230),INDEX($B$25:$B230,MATCH($A230-30,$A$25:$A230,1))&lt;&gt;0,INDEX($A$25:$A230,MATCH($A230-30,$A$25:$A230,1))&lt;&gt;0,$A230-INDEX($A$25:$A230,MATCH($A230-30,$A$25:$A230,1))&lt;=33),B230-INDEX($B$25:$B230,MATCH($A230-30,$A$25:$A230,1)),""),"")</f>
        <v/>
      </c>
      <c r="J230" s="42">
        <f>DATE(2026,11,3)-A230</f>
        <v/>
      </c>
      <c r="K230" s="26" t="inlineStr">
        <is>
          <t>31 Jul</t>
        </is>
      </c>
    </row>
    <row r="231">
      <c r="A231" s="39" t="n">
        <v>46235</v>
      </c>
      <c r="B231" s="16" t="n">
        <v>0.77</v>
      </c>
      <c r="C231" s="16" t="n">
        <v>0.24</v>
      </c>
      <c r="D231" s="17">
        <f>IF(COUNT(B231:C231)=2,B231+C231,"")</f>
        <v/>
      </c>
      <c r="E231" s="20">
        <f>IF(ISNUMBER(B231),IFERROR(B231/$D231,""),"")</f>
        <v/>
      </c>
      <c r="F231" s="20">
        <f>IF(ISNUMBER(C231),IFERROR(C231/$D231,""),"")</f>
        <v/>
      </c>
      <c r="G231" s="18">
        <f>IF(COUNT(B231:C231)=2,B231-C231,"")</f>
        <v/>
      </c>
      <c r="H231" s="18">
        <f>IFERROR(IF(AND(ISNUMBER(B231),INDEX($B$25:$B231,MATCH($A231-7,$A$25:$A231,1))&lt;&gt;0,INDEX($A$25:$A231,MATCH($A231-7,$A$25:$A231,1))&lt;&gt;0,$A231-INDEX($A$25:$A231,MATCH($A231-7,$A$25:$A231,1))&lt;=10),B231-INDEX($B$25:$B231,MATCH($A231-7,$A$25:$A231,1)),""),"")</f>
        <v/>
      </c>
      <c r="I231" s="18">
        <f>IFERROR(IF(AND(ISNUMBER(B231),INDEX($B$25:$B231,MATCH($A231-30,$A$25:$A231,1))&lt;&gt;0,INDEX($A$25:$A231,MATCH($A231-30,$A$25:$A231,1))&lt;&gt;0,$A231-INDEX($A$25:$A231,MATCH($A231-30,$A$25:$A231,1))&lt;=33),B231-INDEX($B$25:$B231,MATCH($A231-30,$A$25:$A231,1)),""),"")</f>
        <v/>
      </c>
      <c r="J231" s="40">
        <f>DATE(2026,11,3)-A231</f>
        <v/>
      </c>
      <c r="K231" s="26" t="inlineStr">
        <is>
          <t>01 Aug</t>
        </is>
      </c>
    </row>
    <row r="232">
      <c r="A232" s="41" t="n">
        <v>46236</v>
      </c>
      <c r="B232" s="28" t="n">
        <v>0.77</v>
      </c>
      <c r="C232" s="28" t="n">
        <v>0.24</v>
      </c>
      <c r="D232" s="29">
        <f>IF(COUNT(B232:C232)=2,B232+C232,"")</f>
        <v/>
      </c>
      <c r="E232" s="30">
        <f>IF(ISNUMBER(B232),IFERROR(B232/$D232,""),"")</f>
        <v/>
      </c>
      <c r="F232" s="30">
        <f>IF(ISNUMBER(C232),IFERROR(C232/$D232,""),"")</f>
        <v/>
      </c>
      <c r="G232" s="31">
        <f>IF(COUNT(B232:C232)=2,B232-C232,"")</f>
        <v/>
      </c>
      <c r="H232" s="31">
        <f>IFERROR(IF(AND(ISNUMBER(B232),INDEX($B$25:$B232,MATCH($A232-7,$A$25:$A232,1))&lt;&gt;0,INDEX($A$25:$A232,MATCH($A232-7,$A$25:$A232,1))&lt;&gt;0,$A232-INDEX($A$25:$A232,MATCH($A232-7,$A$25:$A232,1))&lt;=10),B232-INDEX($B$25:$B232,MATCH($A232-7,$A$25:$A232,1)),""),"")</f>
        <v/>
      </c>
      <c r="I232" s="31">
        <f>IFERROR(IF(AND(ISNUMBER(B232),INDEX($B$25:$B232,MATCH($A232-30,$A$25:$A232,1))&lt;&gt;0,INDEX($A$25:$A232,MATCH($A232-30,$A$25:$A232,1))&lt;&gt;0,$A232-INDEX($A$25:$A232,MATCH($A232-30,$A$25:$A232,1))&lt;=33),B232-INDEX($B$25:$B232,MATCH($A232-30,$A$25:$A232,1)),""),"")</f>
        <v/>
      </c>
      <c r="J232" s="42">
        <f>DATE(2026,11,3)-A232</f>
        <v/>
      </c>
      <c r="K232" s="26" t="inlineStr">
        <is>
          <t>02 Aug</t>
        </is>
      </c>
    </row>
    <row r="233">
      <c r="A233" s="39" t="n">
        <v>46237</v>
      </c>
      <c r="B233" s="16" t="n">
        <v>0.77</v>
      </c>
      <c r="C233" s="16" t="n">
        <v>0.235</v>
      </c>
      <c r="D233" s="17">
        <f>IF(COUNT(B233:C233)=2,B233+C233,"")</f>
        <v/>
      </c>
      <c r="E233" s="20">
        <f>IF(ISNUMBER(B233),IFERROR(B233/$D233,""),"")</f>
        <v/>
      </c>
      <c r="F233" s="20">
        <f>IF(ISNUMBER(C233),IFERROR(C233/$D233,""),"")</f>
        <v/>
      </c>
      <c r="G233" s="18">
        <f>IF(COUNT(B233:C233)=2,B233-C233,"")</f>
        <v/>
      </c>
      <c r="H233" s="18">
        <f>IFERROR(IF(AND(ISNUMBER(B233),INDEX($B$25:$B233,MATCH($A233-7,$A$25:$A233,1))&lt;&gt;0,INDEX($A$25:$A233,MATCH($A233-7,$A$25:$A233,1))&lt;&gt;0,$A233-INDEX($A$25:$A233,MATCH($A233-7,$A$25:$A233,1))&lt;=10),B233-INDEX($B$25:$B233,MATCH($A233-7,$A$25:$A233,1)),""),"")</f>
        <v/>
      </c>
      <c r="I233" s="18">
        <f>IFERROR(IF(AND(ISNUMBER(B233),INDEX($B$25:$B233,MATCH($A233-30,$A$25:$A233,1))&lt;&gt;0,INDEX($A$25:$A233,MATCH($A233-30,$A$25:$A233,1))&lt;&gt;0,$A233-INDEX($A$25:$A233,MATCH($A233-30,$A$25:$A233,1))&lt;=33),B233-INDEX($B$25:$B233,MATCH($A233-30,$A$25:$A233,1)),""),"")</f>
        <v/>
      </c>
      <c r="J233" s="40">
        <f>DATE(2026,11,3)-A233</f>
        <v/>
      </c>
      <c r="K233" s="26" t="inlineStr">
        <is>
          <t>03 Aug</t>
        </is>
      </c>
    </row>
    <row r="234">
      <c r="A234" s="41" t="n">
        <v>46238</v>
      </c>
      <c r="B234" s="28" t="n">
        <v>0.765</v>
      </c>
      <c r="C234" s="28" t="n">
        <v>0.235</v>
      </c>
      <c r="D234" s="29">
        <f>IF(COUNT(B234:C234)=2,B234+C234,"")</f>
        <v/>
      </c>
      <c r="E234" s="30">
        <f>IF(ISNUMBER(B234),IFERROR(B234/$D234,""),"")</f>
        <v/>
      </c>
      <c r="F234" s="30">
        <f>IF(ISNUMBER(C234),IFERROR(C234/$D234,""),"")</f>
        <v/>
      </c>
      <c r="G234" s="31">
        <f>IF(COUNT(B234:C234)=2,B234-C234,"")</f>
        <v/>
      </c>
      <c r="H234" s="31">
        <f>IFERROR(IF(AND(ISNUMBER(B234),INDEX($B$25:$B234,MATCH($A234-7,$A$25:$A234,1))&lt;&gt;0,INDEX($A$25:$A234,MATCH($A234-7,$A$25:$A234,1))&lt;&gt;0,$A234-INDEX($A$25:$A234,MATCH($A234-7,$A$25:$A234,1))&lt;=10),B234-INDEX($B$25:$B234,MATCH($A234-7,$A$25:$A234,1)),""),"")</f>
        <v/>
      </c>
      <c r="I234" s="31">
        <f>IFERROR(IF(AND(ISNUMBER(B234),INDEX($B$25:$B234,MATCH($A234-30,$A$25:$A234,1))&lt;&gt;0,INDEX($A$25:$A234,MATCH($A234-30,$A$25:$A234,1))&lt;&gt;0,$A234-INDEX($A$25:$A234,MATCH($A234-30,$A$25:$A234,1))&lt;=33),B234-INDEX($B$25:$B234,MATCH($A234-30,$A$25:$A234,1)),""),"")</f>
        <v/>
      </c>
      <c r="J234" s="42">
        <f>DATE(2026,11,3)-A234</f>
        <v/>
      </c>
      <c r="K234" s="26" t="inlineStr">
        <is>
          <t>04 Aug</t>
        </is>
      </c>
    </row>
    <row r="235">
      <c r="A235" s="39" t="n">
        <v>46239</v>
      </c>
      <c r="B235" s="16" t="n">
        <v>0.775</v>
      </c>
      <c r="C235" s="16" t="n">
        <v>0.23</v>
      </c>
      <c r="D235" s="17">
        <f>IF(COUNT(B235:C235)=2,B235+C235,"")</f>
        <v/>
      </c>
      <c r="E235" s="20">
        <f>IF(ISNUMBER(B235),IFERROR(B235/$D235,""),"")</f>
        <v/>
      </c>
      <c r="F235" s="20">
        <f>IF(ISNUMBER(C235),IFERROR(C235/$D235,""),"")</f>
        <v/>
      </c>
      <c r="G235" s="18">
        <f>IF(COUNT(B235:C235)=2,B235-C235,"")</f>
        <v/>
      </c>
      <c r="H235" s="18">
        <f>IFERROR(IF(AND(ISNUMBER(B235),INDEX($B$25:$B235,MATCH($A235-7,$A$25:$A235,1))&lt;&gt;0,INDEX($A$25:$A235,MATCH($A235-7,$A$25:$A235,1))&lt;&gt;0,$A235-INDEX($A$25:$A235,MATCH($A235-7,$A$25:$A235,1))&lt;=10),B235-INDEX($B$25:$B235,MATCH($A235-7,$A$25:$A235,1)),""),"")</f>
        <v/>
      </c>
      <c r="I235" s="18">
        <f>IFERROR(IF(AND(ISNUMBER(B235),INDEX($B$25:$B235,MATCH($A235-30,$A$25:$A235,1))&lt;&gt;0,INDEX($A$25:$A235,MATCH($A235-30,$A$25:$A235,1))&lt;&gt;0,$A235-INDEX($A$25:$A235,MATCH($A235-30,$A$25:$A235,1))&lt;=33),B235-INDEX($B$25:$B235,MATCH($A235-30,$A$25:$A235,1)),""),"")</f>
        <v/>
      </c>
      <c r="J235" s="40">
        <f>DATE(2026,11,3)-A235</f>
        <v/>
      </c>
      <c r="K235" s="26" t="inlineStr">
        <is>
          <t>05 Aug</t>
        </is>
      </c>
    </row>
    <row r="236">
      <c r="A236" s="41" t="n">
        <v>46240</v>
      </c>
      <c r="B236" s="28" t="n">
        <v>0.76</v>
      </c>
      <c r="C236" s="28" t="n">
        <v>0.23</v>
      </c>
      <c r="D236" s="29">
        <f>IF(COUNT(B236:C236)=2,B236+C236,"")</f>
        <v/>
      </c>
      <c r="E236" s="30">
        <f>IF(ISNUMBER(B236),IFERROR(B236/$D236,""),"")</f>
        <v/>
      </c>
      <c r="F236" s="30">
        <f>IF(ISNUMBER(C236),IFERROR(C236/$D236,""),"")</f>
        <v/>
      </c>
      <c r="G236" s="31">
        <f>IF(COUNT(B236:C236)=2,B236-C236,"")</f>
        <v/>
      </c>
      <c r="H236" s="31">
        <f>IFERROR(IF(AND(ISNUMBER(B236),INDEX($B$25:$B236,MATCH($A236-7,$A$25:$A236,1))&lt;&gt;0,INDEX($A$25:$A236,MATCH($A236-7,$A$25:$A236,1))&lt;&gt;0,$A236-INDEX($A$25:$A236,MATCH($A236-7,$A$25:$A236,1))&lt;=10),B236-INDEX($B$25:$B236,MATCH($A236-7,$A$25:$A236,1)),""),"")</f>
        <v/>
      </c>
      <c r="I236" s="31">
        <f>IFERROR(IF(AND(ISNUMBER(B236),INDEX($B$25:$B236,MATCH($A236-30,$A$25:$A236,1))&lt;&gt;0,INDEX($A$25:$A236,MATCH($A236-30,$A$25:$A236,1))&lt;&gt;0,$A236-INDEX($A$25:$A236,MATCH($A236-30,$A$25:$A236,1))&lt;=33),B236-INDEX($B$25:$B236,MATCH($A236-30,$A$25:$A236,1)),""),"")</f>
        <v/>
      </c>
      <c r="J236" s="42">
        <f>DATE(2026,11,3)-A236</f>
        <v/>
      </c>
      <c r="K236" s="26" t="inlineStr">
        <is>
          <t>06 Aug</t>
        </is>
      </c>
    </row>
    <row r="237">
      <c r="A237" s="39" t="n">
        <v>46241</v>
      </c>
      <c r="B237" s="16" t="n">
        <v>0.76</v>
      </c>
      <c r="C237" s="16" t="n">
        <v>0.245</v>
      </c>
      <c r="D237" s="17">
        <f>IF(COUNT(B237:C237)=2,B237+C237,"")</f>
        <v/>
      </c>
      <c r="E237" s="20">
        <f>IF(ISNUMBER(B237),IFERROR(B237/$D237,""),"")</f>
        <v/>
      </c>
      <c r="F237" s="20">
        <f>IF(ISNUMBER(C237),IFERROR(C237/$D237,""),"")</f>
        <v/>
      </c>
      <c r="G237" s="18">
        <f>IF(COUNT(B237:C237)=2,B237-C237,"")</f>
        <v/>
      </c>
      <c r="H237" s="18">
        <f>IFERROR(IF(AND(ISNUMBER(B237),INDEX($B$25:$B237,MATCH($A237-7,$A$25:$A237,1))&lt;&gt;0,INDEX($A$25:$A237,MATCH($A237-7,$A$25:$A237,1))&lt;&gt;0,$A237-INDEX($A$25:$A237,MATCH($A237-7,$A$25:$A237,1))&lt;=10),B237-INDEX($B$25:$B237,MATCH($A237-7,$A$25:$A237,1)),""),"")</f>
        <v/>
      </c>
      <c r="I237" s="18">
        <f>IFERROR(IF(AND(ISNUMBER(B237),INDEX($B$25:$B237,MATCH($A237-30,$A$25:$A237,1))&lt;&gt;0,INDEX($A$25:$A237,MATCH($A237-30,$A$25:$A237,1))&lt;&gt;0,$A237-INDEX($A$25:$A237,MATCH($A237-30,$A$25:$A237,1))&lt;=33),B237-INDEX($B$25:$B237,MATCH($A237-30,$A$25:$A237,1)),""),"")</f>
        <v/>
      </c>
      <c r="J237" s="40">
        <f>DATE(2026,11,3)-A237</f>
        <v/>
      </c>
      <c r="K237" s="26" t="inlineStr">
        <is>
          <t>07 Aug</t>
        </is>
      </c>
    </row>
    <row r="238">
      <c r="A238" s="41" t="n">
        <v>46242</v>
      </c>
      <c r="B238" s="28" t="n">
        <v>0.76</v>
      </c>
      <c r="C238" s="28" t="n">
        <v>0.245</v>
      </c>
      <c r="D238" s="29">
        <f>IF(COUNT(B238:C238)=2,B238+C238,"")</f>
        <v/>
      </c>
      <c r="E238" s="30">
        <f>IF(ISNUMBER(B238),IFERROR(B238/$D238,""),"")</f>
        <v/>
      </c>
      <c r="F238" s="30">
        <f>IF(ISNUMBER(C238),IFERROR(C238/$D238,""),"")</f>
        <v/>
      </c>
      <c r="G238" s="31">
        <f>IF(COUNT(B238:C238)=2,B238-C238,"")</f>
        <v/>
      </c>
      <c r="H238" s="31">
        <f>IFERROR(IF(AND(ISNUMBER(B238),INDEX($B$25:$B238,MATCH($A238-7,$A$25:$A238,1))&lt;&gt;0,INDEX($A$25:$A238,MATCH($A238-7,$A$25:$A238,1))&lt;&gt;0,$A238-INDEX($A$25:$A238,MATCH($A238-7,$A$25:$A238,1))&lt;=10),B238-INDEX($B$25:$B238,MATCH($A238-7,$A$25:$A238,1)),""),"")</f>
        <v/>
      </c>
      <c r="I238" s="31">
        <f>IFERROR(IF(AND(ISNUMBER(B238),INDEX($B$25:$B238,MATCH($A238-30,$A$25:$A238,1))&lt;&gt;0,INDEX($A$25:$A238,MATCH($A238-30,$A$25:$A238,1))&lt;&gt;0,$A238-INDEX($A$25:$A238,MATCH($A238-30,$A$25:$A238,1))&lt;=33),B238-INDEX($B$25:$B238,MATCH($A238-30,$A$25:$A238,1)),""),"")</f>
        <v/>
      </c>
      <c r="J238" s="42">
        <f>DATE(2026,11,3)-A238</f>
        <v/>
      </c>
      <c r="K238" s="26" t="inlineStr">
        <is>
          <t>08 Aug</t>
        </is>
      </c>
    </row>
    <row r="239">
      <c r="A239" s="39" t="n">
        <v>46243</v>
      </c>
      <c r="B239" s="16" t="n">
        <v>0.76</v>
      </c>
      <c r="C239" s="16" t="n">
        <v>0.24</v>
      </c>
      <c r="D239" s="17">
        <f>IF(COUNT(B239:C239)=2,B239+C239,"")</f>
        <v/>
      </c>
      <c r="E239" s="20">
        <f>IF(ISNUMBER(B239),IFERROR(B239/$D239,""),"")</f>
        <v/>
      </c>
      <c r="F239" s="20">
        <f>IF(ISNUMBER(C239),IFERROR(C239/$D239,""),"")</f>
        <v/>
      </c>
      <c r="G239" s="18">
        <f>IF(COUNT(B239:C239)=2,B239-C239,"")</f>
        <v/>
      </c>
      <c r="H239" s="18">
        <f>IFERROR(IF(AND(ISNUMBER(B239),INDEX($B$25:$B239,MATCH($A239-7,$A$25:$A239,1))&lt;&gt;0,INDEX($A$25:$A239,MATCH($A239-7,$A$25:$A239,1))&lt;&gt;0,$A239-INDEX($A$25:$A239,MATCH($A239-7,$A$25:$A239,1))&lt;=10),B239-INDEX($B$25:$B239,MATCH($A239-7,$A$25:$A239,1)),""),"")</f>
        <v/>
      </c>
      <c r="I239" s="18">
        <f>IFERROR(IF(AND(ISNUMBER(B239),INDEX($B$25:$B239,MATCH($A239-30,$A$25:$A239,1))&lt;&gt;0,INDEX($A$25:$A239,MATCH($A239-30,$A$25:$A239,1))&lt;&gt;0,$A239-INDEX($A$25:$A239,MATCH($A239-30,$A$25:$A239,1))&lt;=33),B239-INDEX($B$25:$B239,MATCH($A239-30,$A$25:$A239,1)),""),"")</f>
        <v/>
      </c>
      <c r="J239" s="40">
        <f>DATE(2026,11,3)-A239</f>
        <v/>
      </c>
      <c r="K239" s="26" t="inlineStr">
        <is>
          <t>09 Aug</t>
        </is>
      </c>
    </row>
    <row r="240">
      <c r="A240" s="41" t="n">
        <v>46244</v>
      </c>
      <c r="B240" s="28" t="n">
        <v>0.76</v>
      </c>
      <c r="C240" s="28" t="n">
        <v>0.24</v>
      </c>
      <c r="D240" s="29">
        <f>IF(COUNT(B240:C240)=2,B240+C240,"")</f>
        <v/>
      </c>
      <c r="E240" s="30">
        <f>IF(ISNUMBER(B240),IFERROR(B240/$D240,""),"")</f>
        <v/>
      </c>
      <c r="F240" s="30">
        <f>IF(ISNUMBER(C240),IFERROR(C240/$D240,""),"")</f>
        <v/>
      </c>
      <c r="G240" s="31">
        <f>IF(COUNT(B240:C240)=2,B240-C240,"")</f>
        <v/>
      </c>
      <c r="H240" s="31">
        <f>IFERROR(IF(AND(ISNUMBER(B240),INDEX($B$25:$B240,MATCH($A240-7,$A$25:$A240,1))&lt;&gt;0,INDEX($A$25:$A240,MATCH($A240-7,$A$25:$A240,1))&lt;&gt;0,$A240-INDEX($A$25:$A240,MATCH($A240-7,$A$25:$A240,1))&lt;=10),B240-INDEX($B$25:$B240,MATCH($A240-7,$A$25:$A240,1)),""),"")</f>
        <v/>
      </c>
      <c r="I240" s="31">
        <f>IFERROR(IF(AND(ISNUMBER(B240),INDEX($B$25:$B240,MATCH($A240-30,$A$25:$A240,1))&lt;&gt;0,INDEX($A$25:$A240,MATCH($A240-30,$A$25:$A240,1))&lt;&gt;0,$A240-INDEX($A$25:$A240,MATCH($A240-30,$A$25:$A240,1))&lt;=33),B240-INDEX($B$25:$B240,MATCH($A240-30,$A$25:$A240,1)),""),"")</f>
        <v/>
      </c>
      <c r="J240" s="42">
        <f>DATE(2026,11,3)-A240</f>
        <v/>
      </c>
      <c r="K240" s="26" t="inlineStr">
        <is>
          <t>10 Aug</t>
        </is>
      </c>
    </row>
    <row r="241">
      <c r="A241" s="39" t="n">
        <v>46245</v>
      </c>
      <c r="B241" s="16" t="n">
        <v>0.76</v>
      </c>
      <c r="C241" s="16" t="n">
        <v>0.245</v>
      </c>
      <c r="D241" s="17">
        <f>IF(COUNT(B241:C241)=2,B241+C241,"")</f>
        <v/>
      </c>
      <c r="E241" s="20">
        <f>IF(ISNUMBER(B241),IFERROR(B241/$D241,""),"")</f>
        <v/>
      </c>
      <c r="F241" s="20">
        <f>IF(ISNUMBER(C241),IFERROR(C241/$D241,""),"")</f>
        <v/>
      </c>
      <c r="G241" s="18">
        <f>IF(COUNT(B241:C241)=2,B241-C241,"")</f>
        <v/>
      </c>
      <c r="H241" s="18">
        <f>IFERROR(IF(AND(ISNUMBER(B241),INDEX($B$25:$B241,MATCH($A241-7,$A$25:$A241,1))&lt;&gt;0,INDEX($A$25:$A241,MATCH($A241-7,$A$25:$A241,1))&lt;&gt;0,$A241-INDEX($A$25:$A241,MATCH($A241-7,$A$25:$A241,1))&lt;=10),B241-INDEX($B$25:$B241,MATCH($A241-7,$A$25:$A241,1)),""),"")</f>
        <v/>
      </c>
      <c r="I241" s="18">
        <f>IFERROR(IF(AND(ISNUMBER(B241),INDEX($B$25:$B241,MATCH($A241-30,$A$25:$A241,1))&lt;&gt;0,INDEX($A$25:$A241,MATCH($A241-30,$A$25:$A241,1))&lt;&gt;0,$A241-INDEX($A$25:$A241,MATCH($A241-30,$A$25:$A241,1))&lt;=33),B241-INDEX($B$25:$B241,MATCH($A241-30,$A$25:$A241,1)),""),"")</f>
        <v/>
      </c>
      <c r="J241" s="40">
        <f>DATE(2026,11,3)-A241</f>
        <v/>
      </c>
      <c r="K241" s="26" t="inlineStr">
        <is>
          <t>11 Aug</t>
        </is>
      </c>
    </row>
    <row r="242">
      <c r="A242" s="41" t="n">
        <v>46246</v>
      </c>
      <c r="B242" s="28" t="n">
        <v>0.76</v>
      </c>
      <c r="C242" s="28" t="n">
        <v>0.245</v>
      </c>
      <c r="D242" s="29">
        <f>IF(COUNT(B242:C242)=2,B242+C242,"")</f>
        <v/>
      </c>
      <c r="E242" s="30">
        <f>IF(ISNUMBER(B242),IFERROR(B242/$D242,""),"")</f>
        <v/>
      </c>
      <c r="F242" s="30">
        <f>IF(ISNUMBER(C242),IFERROR(C242/$D242,""),"")</f>
        <v/>
      </c>
      <c r="G242" s="31">
        <f>IF(COUNT(B242:C242)=2,B242-C242,"")</f>
        <v/>
      </c>
      <c r="H242" s="31">
        <f>IFERROR(IF(AND(ISNUMBER(B242),INDEX($B$25:$B242,MATCH($A242-7,$A$25:$A242,1))&lt;&gt;0,INDEX($A$25:$A242,MATCH($A242-7,$A$25:$A242,1))&lt;&gt;0,$A242-INDEX($A$25:$A242,MATCH($A242-7,$A$25:$A242,1))&lt;=10),B242-INDEX($B$25:$B242,MATCH($A242-7,$A$25:$A242,1)),""),"")</f>
        <v/>
      </c>
      <c r="I242" s="31">
        <f>IFERROR(IF(AND(ISNUMBER(B242),INDEX($B$25:$B242,MATCH($A242-30,$A$25:$A242,1))&lt;&gt;0,INDEX($A$25:$A242,MATCH($A242-30,$A$25:$A242,1))&lt;&gt;0,$A242-INDEX($A$25:$A242,MATCH($A242-30,$A$25:$A242,1))&lt;=33),B242-INDEX($B$25:$B242,MATCH($A242-30,$A$25:$A242,1)),""),"")</f>
        <v/>
      </c>
      <c r="J242" s="42">
        <f>DATE(2026,11,3)-A242</f>
        <v/>
      </c>
      <c r="K242" s="26" t="inlineStr">
        <is>
          <t>12 Aug</t>
        </is>
      </c>
    </row>
    <row r="243">
      <c r="A243" s="39" t="n">
        <v>46247</v>
      </c>
      <c r="B243" s="16" t="n">
        <v>0.76</v>
      </c>
      <c r="C243" s="16" t="n">
        <v>0.245</v>
      </c>
      <c r="D243" s="17">
        <f>IF(COUNT(B243:C243)=2,B243+C243,"")</f>
        <v/>
      </c>
      <c r="E243" s="20">
        <f>IF(ISNUMBER(B243),IFERROR(B243/$D243,""),"")</f>
        <v/>
      </c>
      <c r="F243" s="20">
        <f>IF(ISNUMBER(C243),IFERROR(C243/$D243,""),"")</f>
        <v/>
      </c>
      <c r="G243" s="18">
        <f>IF(COUNT(B243:C243)=2,B243-C243,"")</f>
        <v/>
      </c>
      <c r="H243" s="18">
        <f>IFERROR(IF(AND(ISNUMBER(B243),INDEX($B$25:$B243,MATCH($A243-7,$A$25:$A243,1))&lt;&gt;0,INDEX($A$25:$A243,MATCH($A243-7,$A$25:$A243,1))&lt;&gt;0,$A243-INDEX($A$25:$A243,MATCH($A243-7,$A$25:$A243,1))&lt;=10),B243-INDEX($B$25:$B243,MATCH($A243-7,$A$25:$A243,1)),""),"")</f>
        <v/>
      </c>
      <c r="I243" s="18">
        <f>IFERROR(IF(AND(ISNUMBER(B243),INDEX($B$25:$B243,MATCH($A243-30,$A$25:$A243,1))&lt;&gt;0,INDEX($A$25:$A243,MATCH($A243-30,$A$25:$A243,1))&lt;&gt;0,$A243-INDEX($A$25:$A243,MATCH($A243-30,$A$25:$A243,1))&lt;=33),B243-INDEX($B$25:$B243,MATCH($A243-30,$A$25:$A243,1)),""),"")</f>
        <v/>
      </c>
      <c r="J243" s="40">
        <f>DATE(2026,11,3)-A243</f>
        <v/>
      </c>
      <c r="K243" s="26" t="inlineStr">
        <is>
          <t>13 Aug</t>
        </is>
      </c>
    </row>
    <row r="244">
      <c r="A244" s="41" t="n">
        <v>46248</v>
      </c>
      <c r="B244" s="28" t="n">
        <v>0.76</v>
      </c>
      <c r="C244" s="28" t="n">
        <v>0.245</v>
      </c>
      <c r="D244" s="29">
        <f>IF(COUNT(B244:C244)=2,B244+C244,"")</f>
        <v/>
      </c>
      <c r="E244" s="30">
        <f>IF(ISNUMBER(B244),IFERROR(B244/$D244,""),"")</f>
        <v/>
      </c>
      <c r="F244" s="30">
        <f>IF(ISNUMBER(C244),IFERROR(C244/$D244,""),"")</f>
        <v/>
      </c>
      <c r="G244" s="31">
        <f>IF(COUNT(B244:C244)=2,B244-C244,"")</f>
        <v/>
      </c>
      <c r="H244" s="31">
        <f>IFERROR(IF(AND(ISNUMBER(B244),INDEX($B$25:$B244,MATCH($A244-7,$A$25:$A244,1))&lt;&gt;0,INDEX($A$25:$A244,MATCH($A244-7,$A$25:$A244,1))&lt;&gt;0,$A244-INDEX($A$25:$A244,MATCH($A244-7,$A$25:$A244,1))&lt;=10),B244-INDEX($B$25:$B244,MATCH($A244-7,$A$25:$A244,1)),""),"")</f>
        <v/>
      </c>
      <c r="I244" s="31">
        <f>IFERROR(IF(AND(ISNUMBER(B244),INDEX($B$25:$B244,MATCH($A244-30,$A$25:$A244,1))&lt;&gt;0,INDEX($A$25:$A244,MATCH($A244-30,$A$25:$A244,1))&lt;&gt;0,$A244-INDEX($A$25:$A244,MATCH($A244-30,$A$25:$A244,1))&lt;=33),B244-INDEX($B$25:$B244,MATCH($A244-30,$A$25:$A244,1)),""),"")</f>
        <v/>
      </c>
      <c r="J244" s="42">
        <f>DATE(2026,11,3)-A244</f>
        <v/>
      </c>
      <c r="K244" s="26" t="inlineStr">
        <is>
          <t>14 Aug</t>
        </is>
      </c>
    </row>
    <row r="245">
      <c r="A245" s="39" t="n">
        <v>46249</v>
      </c>
      <c r="B245" s="16" t="n">
        <v>0.76</v>
      </c>
      <c r="C245" s="16" t="n">
        <v>0.245</v>
      </c>
      <c r="D245" s="17">
        <f>IF(COUNT(B245:C245)=2,B245+C245,"")</f>
        <v/>
      </c>
      <c r="E245" s="20">
        <f>IF(ISNUMBER(B245),IFERROR(B245/$D245,""),"")</f>
        <v/>
      </c>
      <c r="F245" s="20">
        <f>IF(ISNUMBER(C245),IFERROR(C245/$D245,""),"")</f>
        <v/>
      </c>
      <c r="G245" s="18">
        <f>IF(COUNT(B245:C245)=2,B245-C245,"")</f>
        <v/>
      </c>
      <c r="H245" s="18">
        <f>IFERROR(IF(AND(ISNUMBER(B245),INDEX($B$25:$B245,MATCH($A245-7,$A$25:$A245,1))&lt;&gt;0,INDEX($A$25:$A245,MATCH($A245-7,$A$25:$A245,1))&lt;&gt;0,$A245-INDEX($A$25:$A245,MATCH($A245-7,$A$25:$A245,1))&lt;=10),B245-INDEX($B$25:$B245,MATCH($A245-7,$A$25:$A245,1)),""),"")</f>
        <v/>
      </c>
      <c r="I245" s="18">
        <f>IFERROR(IF(AND(ISNUMBER(B245),INDEX($B$25:$B245,MATCH($A245-30,$A$25:$A245,1))&lt;&gt;0,INDEX($A$25:$A245,MATCH($A245-30,$A$25:$A245,1))&lt;&gt;0,$A245-INDEX($A$25:$A245,MATCH($A245-30,$A$25:$A245,1))&lt;=33),B245-INDEX($B$25:$B245,MATCH($A245-30,$A$25:$A245,1)),""),"")</f>
        <v/>
      </c>
      <c r="J245" s="40">
        <f>DATE(2026,11,3)-A245</f>
        <v/>
      </c>
      <c r="K245" s="26" t="inlineStr">
        <is>
          <t>15 Aug</t>
        </is>
      </c>
    </row>
    <row r="246">
      <c r="A246" s="41" t="n">
        <v>46250</v>
      </c>
      <c r="B246" s="28" t="n">
        <v>0.76</v>
      </c>
      <c r="C246" s="28" t="n">
        <v>0.245</v>
      </c>
      <c r="D246" s="29">
        <f>IF(COUNT(B246:C246)=2,B246+C246,"")</f>
        <v/>
      </c>
      <c r="E246" s="30">
        <f>IF(ISNUMBER(B246),IFERROR(B246/$D246,""),"")</f>
        <v/>
      </c>
      <c r="F246" s="30">
        <f>IF(ISNUMBER(C246),IFERROR(C246/$D246,""),"")</f>
        <v/>
      </c>
      <c r="G246" s="31">
        <f>IF(COUNT(B246:C246)=2,B246-C246,"")</f>
        <v/>
      </c>
      <c r="H246" s="31">
        <f>IFERROR(IF(AND(ISNUMBER(B246),INDEX($B$25:$B246,MATCH($A246-7,$A$25:$A246,1))&lt;&gt;0,INDEX($A$25:$A246,MATCH($A246-7,$A$25:$A246,1))&lt;&gt;0,$A246-INDEX($A$25:$A246,MATCH($A246-7,$A$25:$A246,1))&lt;=10),B246-INDEX($B$25:$B246,MATCH($A246-7,$A$25:$A246,1)),""),"")</f>
        <v/>
      </c>
      <c r="I246" s="31">
        <f>IFERROR(IF(AND(ISNUMBER(B246),INDEX($B$25:$B246,MATCH($A246-30,$A$25:$A246,1))&lt;&gt;0,INDEX($A$25:$A246,MATCH($A246-30,$A$25:$A246,1))&lt;&gt;0,$A246-INDEX($A$25:$A246,MATCH($A246-30,$A$25:$A246,1))&lt;=33),B246-INDEX($B$25:$B246,MATCH($A246-30,$A$25:$A246,1)),""),"")</f>
        <v/>
      </c>
      <c r="J246" s="42">
        <f>DATE(2026,11,3)-A246</f>
        <v/>
      </c>
      <c r="K246" s="26" t="inlineStr">
        <is>
          <t>16 Aug</t>
        </is>
      </c>
    </row>
    <row r="247">
      <c r="A247" s="39" t="n">
        <v>46251</v>
      </c>
      <c r="B247" s="16" t="n">
        <v>0.76</v>
      </c>
      <c r="C247" s="16" t="n">
        <v>0.245</v>
      </c>
      <c r="D247" s="17">
        <f>IF(COUNT(B247:C247)=2,B247+C247,"")</f>
        <v/>
      </c>
      <c r="E247" s="20">
        <f>IF(ISNUMBER(B247),IFERROR(B247/$D247,""),"")</f>
        <v/>
      </c>
      <c r="F247" s="20">
        <f>IF(ISNUMBER(C247),IFERROR(C247/$D247,""),"")</f>
        <v/>
      </c>
      <c r="G247" s="18">
        <f>IF(COUNT(B247:C247)=2,B247-C247,"")</f>
        <v/>
      </c>
      <c r="H247" s="18">
        <f>IFERROR(IF(AND(ISNUMBER(B247),INDEX($B$25:$B247,MATCH($A247-7,$A$25:$A247,1))&lt;&gt;0,INDEX($A$25:$A247,MATCH($A247-7,$A$25:$A247,1))&lt;&gt;0,$A247-INDEX($A$25:$A247,MATCH($A247-7,$A$25:$A247,1))&lt;=10),B247-INDEX($B$25:$B247,MATCH($A247-7,$A$25:$A247,1)),""),"")</f>
        <v/>
      </c>
      <c r="I247" s="18">
        <f>IFERROR(IF(AND(ISNUMBER(B247),INDEX($B$25:$B247,MATCH($A247-30,$A$25:$A247,1))&lt;&gt;0,INDEX($A$25:$A247,MATCH($A247-30,$A$25:$A247,1))&lt;&gt;0,$A247-INDEX($A$25:$A247,MATCH($A247-30,$A$25:$A247,1))&lt;=33),B247-INDEX($B$25:$B247,MATCH($A247-30,$A$25:$A247,1)),""),"")</f>
        <v/>
      </c>
      <c r="J247" s="40">
        <f>DATE(2026,11,3)-A247</f>
        <v/>
      </c>
      <c r="K247" s="26" t="inlineStr">
        <is>
          <t>17 Aug</t>
        </is>
      </c>
    </row>
    <row r="248">
      <c r="A248" s="41" t="n">
        <v>46252</v>
      </c>
      <c r="B248" s="28" t="n">
        <v>0.76</v>
      </c>
      <c r="C248" s="28" t="n">
        <v>0.245</v>
      </c>
      <c r="D248" s="29">
        <f>IF(COUNT(B248:C248)=2,B248+C248,"")</f>
        <v/>
      </c>
      <c r="E248" s="30">
        <f>IF(ISNUMBER(B248),IFERROR(B248/$D248,""),"")</f>
        <v/>
      </c>
      <c r="F248" s="30">
        <f>IF(ISNUMBER(C248),IFERROR(C248/$D248,""),"")</f>
        <v/>
      </c>
      <c r="G248" s="31">
        <f>IF(COUNT(B248:C248)=2,B248-C248,"")</f>
        <v/>
      </c>
      <c r="H248" s="31">
        <f>IFERROR(IF(AND(ISNUMBER(B248),INDEX($B$25:$B248,MATCH($A248-7,$A$25:$A248,1))&lt;&gt;0,INDEX($A$25:$A248,MATCH($A248-7,$A$25:$A248,1))&lt;&gt;0,$A248-INDEX($A$25:$A248,MATCH($A248-7,$A$25:$A248,1))&lt;=10),B248-INDEX($B$25:$B248,MATCH($A248-7,$A$25:$A248,1)),""),"")</f>
        <v/>
      </c>
      <c r="I248" s="31">
        <f>IFERROR(IF(AND(ISNUMBER(B248),INDEX($B$25:$B248,MATCH($A248-30,$A$25:$A248,1))&lt;&gt;0,INDEX($A$25:$A248,MATCH($A248-30,$A$25:$A248,1))&lt;&gt;0,$A248-INDEX($A$25:$A248,MATCH($A248-30,$A$25:$A248,1))&lt;=33),B248-INDEX($B$25:$B248,MATCH($A248-30,$A$25:$A248,1)),""),"")</f>
        <v/>
      </c>
      <c r="J248" s="42">
        <f>DATE(2026,11,3)-A248</f>
        <v/>
      </c>
      <c r="K248" s="26" t="inlineStr">
        <is>
          <t>18 Aug</t>
        </is>
      </c>
    </row>
    <row r="249">
      <c r="A249" s="39" t="n">
        <v>46253</v>
      </c>
      <c r="B249" s="16" t="n">
        <v>0.76</v>
      </c>
      <c r="C249" s="16" t="n">
        <v>0.245</v>
      </c>
      <c r="D249" s="17">
        <f>IF(COUNT(B249:C249)=2,B249+C249,"")</f>
        <v/>
      </c>
      <c r="E249" s="20">
        <f>IF(ISNUMBER(B249),IFERROR(B249/$D249,""),"")</f>
        <v/>
      </c>
      <c r="F249" s="20">
        <f>IF(ISNUMBER(C249),IFERROR(C249/$D249,""),"")</f>
        <v/>
      </c>
      <c r="G249" s="18">
        <f>IF(COUNT(B249:C249)=2,B249-C249,"")</f>
        <v/>
      </c>
      <c r="H249" s="18">
        <f>IFERROR(IF(AND(ISNUMBER(B249),INDEX($B$25:$B249,MATCH($A249-7,$A$25:$A249,1))&lt;&gt;0,INDEX($A$25:$A249,MATCH($A249-7,$A$25:$A249,1))&lt;&gt;0,$A249-INDEX($A$25:$A249,MATCH($A249-7,$A$25:$A249,1))&lt;=10),B249-INDEX($B$25:$B249,MATCH($A249-7,$A$25:$A249,1)),""),"")</f>
        <v/>
      </c>
      <c r="I249" s="18">
        <f>IFERROR(IF(AND(ISNUMBER(B249),INDEX($B$25:$B249,MATCH($A249-30,$A$25:$A249,1))&lt;&gt;0,INDEX($A$25:$A249,MATCH($A249-30,$A$25:$A249,1))&lt;&gt;0,$A249-INDEX($A$25:$A249,MATCH($A249-30,$A$25:$A249,1))&lt;=33),B249-INDEX($B$25:$B249,MATCH($A249-30,$A$25:$A249,1)),""),"")</f>
        <v/>
      </c>
      <c r="J249" s="40">
        <f>DATE(2026,11,3)-A249</f>
        <v/>
      </c>
      <c r="K249" s="26" t="inlineStr">
        <is>
          <t>19 Aug</t>
        </is>
      </c>
    </row>
    <row r="250">
      <c r="A250" s="41" t="n">
        <v>46254</v>
      </c>
      <c r="B250" s="28" t="n">
        <v>0.76</v>
      </c>
      <c r="C250" s="28" t="n">
        <v>0.245</v>
      </c>
      <c r="D250" s="29">
        <f>IF(COUNT(B250:C250)=2,B250+C250,"")</f>
        <v/>
      </c>
      <c r="E250" s="30">
        <f>IF(ISNUMBER(B250),IFERROR(B250/$D250,""),"")</f>
        <v/>
      </c>
      <c r="F250" s="30">
        <f>IF(ISNUMBER(C250),IFERROR(C250/$D250,""),"")</f>
        <v/>
      </c>
      <c r="G250" s="31">
        <f>IF(COUNT(B250:C250)=2,B250-C250,"")</f>
        <v/>
      </c>
      <c r="H250" s="31">
        <f>IFERROR(IF(AND(ISNUMBER(B250),INDEX($B$25:$B250,MATCH($A250-7,$A$25:$A250,1))&lt;&gt;0,INDEX($A$25:$A250,MATCH($A250-7,$A$25:$A250,1))&lt;&gt;0,$A250-INDEX($A$25:$A250,MATCH($A250-7,$A$25:$A250,1))&lt;=10),B250-INDEX($B$25:$B250,MATCH($A250-7,$A$25:$A250,1)),""),"")</f>
        <v/>
      </c>
      <c r="I250" s="31">
        <f>IFERROR(IF(AND(ISNUMBER(B250),INDEX($B$25:$B250,MATCH($A250-30,$A$25:$A250,1))&lt;&gt;0,INDEX($A$25:$A250,MATCH($A250-30,$A$25:$A250,1))&lt;&gt;0,$A250-INDEX($A$25:$A250,MATCH($A250-30,$A$25:$A250,1))&lt;=33),B250-INDEX($B$25:$B250,MATCH($A250-30,$A$25:$A250,1)),""),"")</f>
        <v/>
      </c>
      <c r="J250" s="42">
        <f>DATE(2026,11,3)-A250</f>
        <v/>
      </c>
      <c r="K250" s="26" t="inlineStr">
        <is>
          <t>20 Aug</t>
        </is>
      </c>
    </row>
    <row r="251">
      <c r="A251" s="39" t="n">
        <v>46255</v>
      </c>
      <c r="B251" s="16" t="n">
        <v>0.76</v>
      </c>
      <c r="C251" s="16" t="n">
        <v>0.245</v>
      </c>
      <c r="D251" s="17">
        <f>IF(COUNT(B251:C251)=2,B251+C251,"")</f>
        <v/>
      </c>
      <c r="E251" s="20">
        <f>IF(ISNUMBER(B251),IFERROR(B251/$D251,""),"")</f>
        <v/>
      </c>
      <c r="F251" s="20">
        <f>IF(ISNUMBER(C251),IFERROR(C251/$D251,""),"")</f>
        <v/>
      </c>
      <c r="G251" s="18">
        <f>IF(COUNT(B251:C251)=2,B251-C251,"")</f>
        <v/>
      </c>
      <c r="H251" s="18">
        <f>IFERROR(IF(AND(ISNUMBER(B251),INDEX($B$25:$B251,MATCH($A251-7,$A$25:$A251,1))&lt;&gt;0,INDEX($A$25:$A251,MATCH($A251-7,$A$25:$A251,1))&lt;&gt;0,$A251-INDEX($A$25:$A251,MATCH($A251-7,$A$25:$A251,1))&lt;=10),B251-INDEX($B$25:$B251,MATCH($A251-7,$A$25:$A251,1)),""),"")</f>
        <v/>
      </c>
      <c r="I251" s="18">
        <f>IFERROR(IF(AND(ISNUMBER(B251),INDEX($B$25:$B251,MATCH($A251-30,$A$25:$A251,1))&lt;&gt;0,INDEX($A$25:$A251,MATCH($A251-30,$A$25:$A251,1))&lt;&gt;0,$A251-INDEX($A$25:$A251,MATCH($A251-30,$A$25:$A251,1))&lt;=33),B251-INDEX($B$25:$B251,MATCH($A251-30,$A$25:$A251,1)),""),"")</f>
        <v/>
      </c>
      <c r="J251" s="40">
        <f>DATE(2026,11,3)-A251</f>
        <v/>
      </c>
      <c r="K251" s="26" t="inlineStr">
        <is>
          <t>21 Aug</t>
        </is>
      </c>
    </row>
    <row r="252">
      <c r="A252" s="41" t="n">
        <v>46256</v>
      </c>
      <c r="B252" s="28" t="n">
        <v>0.76</v>
      </c>
      <c r="C252" s="28" t="n">
        <v>0.245</v>
      </c>
      <c r="D252" s="29">
        <f>IF(COUNT(B252:C252)=2,B252+C252,"")</f>
        <v/>
      </c>
      <c r="E252" s="30">
        <f>IF(ISNUMBER(B252),IFERROR(B252/$D252,""),"")</f>
        <v/>
      </c>
      <c r="F252" s="30">
        <f>IF(ISNUMBER(C252),IFERROR(C252/$D252,""),"")</f>
        <v/>
      </c>
      <c r="G252" s="31">
        <f>IF(COUNT(B252:C252)=2,B252-C252,"")</f>
        <v/>
      </c>
      <c r="H252" s="31">
        <f>IFERROR(IF(AND(ISNUMBER(B252),INDEX($B$25:$B252,MATCH($A252-7,$A$25:$A252,1))&lt;&gt;0,INDEX($A$25:$A252,MATCH($A252-7,$A$25:$A252,1))&lt;&gt;0,$A252-INDEX($A$25:$A252,MATCH($A252-7,$A$25:$A252,1))&lt;=10),B252-INDEX($B$25:$B252,MATCH($A252-7,$A$25:$A252,1)),""),"")</f>
        <v/>
      </c>
      <c r="I252" s="31">
        <f>IFERROR(IF(AND(ISNUMBER(B252),INDEX($B$25:$B252,MATCH($A252-30,$A$25:$A252,1))&lt;&gt;0,INDEX($A$25:$A252,MATCH($A252-30,$A$25:$A252,1))&lt;&gt;0,$A252-INDEX($A$25:$A252,MATCH($A252-30,$A$25:$A252,1))&lt;=33),B252-INDEX($B$25:$B252,MATCH($A252-30,$A$25:$A252,1)),""),"")</f>
        <v/>
      </c>
      <c r="J252" s="42">
        <f>DATE(2026,11,3)-A252</f>
        <v/>
      </c>
      <c r="K252" s="26" t="inlineStr">
        <is>
          <t>22 Aug</t>
        </is>
      </c>
    </row>
    <row r="253">
      <c r="A253" s="39" t="n">
        <v>46257</v>
      </c>
      <c r="B253" s="16" t="n">
        <v>0.76</v>
      </c>
      <c r="C253" s="16" t="n">
        <v>0.245</v>
      </c>
      <c r="D253" s="17">
        <f>IF(COUNT(B253:C253)=2,B253+C253,"")</f>
        <v/>
      </c>
      <c r="E253" s="20">
        <f>IF(ISNUMBER(B253),IFERROR(B253/$D253,""),"")</f>
        <v/>
      </c>
      <c r="F253" s="20">
        <f>IF(ISNUMBER(C253),IFERROR(C253/$D253,""),"")</f>
        <v/>
      </c>
      <c r="G253" s="18">
        <f>IF(COUNT(B253:C253)=2,B253-C253,"")</f>
        <v/>
      </c>
      <c r="H253" s="18">
        <f>IFERROR(IF(AND(ISNUMBER(B253),INDEX($B$25:$B253,MATCH($A253-7,$A$25:$A253,1))&lt;&gt;0,INDEX($A$25:$A253,MATCH($A253-7,$A$25:$A253,1))&lt;&gt;0,$A253-INDEX($A$25:$A253,MATCH($A253-7,$A$25:$A253,1))&lt;=10),B253-INDEX($B$25:$B253,MATCH($A253-7,$A$25:$A253,1)),""),"")</f>
        <v/>
      </c>
      <c r="I253" s="18">
        <f>IFERROR(IF(AND(ISNUMBER(B253),INDEX($B$25:$B253,MATCH($A253-30,$A$25:$A253,1))&lt;&gt;0,INDEX($A$25:$A253,MATCH($A253-30,$A$25:$A253,1))&lt;&gt;0,$A253-INDEX($A$25:$A253,MATCH($A253-30,$A$25:$A253,1))&lt;=33),B253-INDEX($B$25:$B253,MATCH($A253-30,$A$25:$A253,1)),""),"")</f>
        <v/>
      </c>
      <c r="J253" s="40">
        <f>DATE(2026,11,3)-A253</f>
        <v/>
      </c>
      <c r="K253" s="26" t="inlineStr">
        <is>
          <t>23 Aug</t>
        </is>
      </c>
    </row>
    <row r="254">
      <c r="A254" s="41" t="n">
        <v>46258</v>
      </c>
      <c r="B254" s="28" t="n">
        <v>0.76</v>
      </c>
      <c r="C254" s="28" t="n">
        <v>0.245</v>
      </c>
      <c r="D254" s="29">
        <f>IF(COUNT(B254:C254)=2,B254+C254,"")</f>
        <v/>
      </c>
      <c r="E254" s="30">
        <f>IF(ISNUMBER(B254),IFERROR(B254/$D254,""),"")</f>
        <v/>
      </c>
      <c r="F254" s="30">
        <f>IF(ISNUMBER(C254),IFERROR(C254/$D254,""),"")</f>
        <v/>
      </c>
      <c r="G254" s="31">
        <f>IF(COUNT(B254:C254)=2,B254-C254,"")</f>
        <v/>
      </c>
      <c r="H254" s="31">
        <f>IFERROR(IF(AND(ISNUMBER(B254),INDEX($B$25:$B254,MATCH($A254-7,$A$25:$A254,1))&lt;&gt;0,INDEX($A$25:$A254,MATCH($A254-7,$A$25:$A254,1))&lt;&gt;0,$A254-INDEX($A$25:$A254,MATCH($A254-7,$A$25:$A254,1))&lt;=10),B254-INDEX($B$25:$B254,MATCH($A254-7,$A$25:$A254,1)),""),"")</f>
        <v/>
      </c>
      <c r="I254" s="31">
        <f>IFERROR(IF(AND(ISNUMBER(B254),INDEX($B$25:$B254,MATCH($A254-30,$A$25:$A254,1))&lt;&gt;0,INDEX($A$25:$A254,MATCH($A254-30,$A$25:$A254,1))&lt;&gt;0,$A254-INDEX($A$25:$A254,MATCH($A254-30,$A$25:$A254,1))&lt;=33),B254-INDEX($B$25:$B254,MATCH($A254-30,$A$25:$A254,1)),""),"")</f>
        <v/>
      </c>
      <c r="J254" s="42">
        <f>DATE(2026,11,3)-A254</f>
        <v/>
      </c>
      <c r="K254" s="26" t="inlineStr">
        <is>
          <t>24 Aug</t>
        </is>
      </c>
    </row>
    <row r="255">
      <c r="A255" s="39" t="n">
        <v>46259</v>
      </c>
      <c r="B255" s="16" t="n">
        <v>0.76</v>
      </c>
      <c r="C255" s="16" t="n">
        <v>0.245</v>
      </c>
      <c r="D255" s="17">
        <f>IF(COUNT(B255:C255)=2,B255+C255,"")</f>
        <v/>
      </c>
      <c r="E255" s="20">
        <f>IF(ISNUMBER(B255),IFERROR(B255/$D255,""),"")</f>
        <v/>
      </c>
      <c r="F255" s="20">
        <f>IF(ISNUMBER(C255),IFERROR(C255/$D255,""),"")</f>
        <v/>
      </c>
      <c r="G255" s="18">
        <f>IF(COUNT(B255:C255)=2,B255-C255,"")</f>
        <v/>
      </c>
      <c r="H255" s="18">
        <f>IFERROR(IF(AND(ISNUMBER(B255),INDEX($B$25:$B255,MATCH($A255-7,$A$25:$A255,1))&lt;&gt;0,INDEX($A$25:$A255,MATCH($A255-7,$A$25:$A255,1))&lt;&gt;0,$A255-INDEX($A$25:$A255,MATCH($A255-7,$A$25:$A255,1))&lt;=10),B255-INDEX($B$25:$B255,MATCH($A255-7,$A$25:$A255,1)),""),"")</f>
        <v/>
      </c>
      <c r="I255" s="18">
        <f>IFERROR(IF(AND(ISNUMBER(B255),INDEX($B$25:$B255,MATCH($A255-30,$A$25:$A255,1))&lt;&gt;0,INDEX($A$25:$A255,MATCH($A255-30,$A$25:$A255,1))&lt;&gt;0,$A255-INDEX($A$25:$A255,MATCH($A255-30,$A$25:$A255,1))&lt;=33),B255-INDEX($B$25:$B255,MATCH($A255-30,$A$25:$A255,1)),""),"")</f>
        <v/>
      </c>
      <c r="J255" s="40">
        <f>DATE(2026,11,3)-A255</f>
        <v/>
      </c>
      <c r="K255" s="26" t="inlineStr">
        <is>
          <t>25 Aug</t>
        </is>
      </c>
    </row>
    <row r="256">
      <c r="A256" s="41" t="n">
        <v>46260</v>
      </c>
      <c r="B256" s="28" t="n">
        <v>0.76</v>
      </c>
      <c r="C256" s="28" t="n">
        <v>0.245</v>
      </c>
      <c r="D256" s="29">
        <f>IF(COUNT(B256:C256)=2,B256+C256,"")</f>
        <v/>
      </c>
      <c r="E256" s="30">
        <f>IF(ISNUMBER(B256),IFERROR(B256/$D256,""),"")</f>
        <v/>
      </c>
      <c r="F256" s="30">
        <f>IF(ISNUMBER(C256),IFERROR(C256/$D256,""),"")</f>
        <v/>
      </c>
      <c r="G256" s="31">
        <f>IF(COUNT(B256:C256)=2,B256-C256,"")</f>
        <v/>
      </c>
      <c r="H256" s="31">
        <f>IFERROR(IF(AND(ISNUMBER(B256),INDEX($B$25:$B256,MATCH($A256-7,$A$25:$A256,1))&lt;&gt;0,INDEX($A$25:$A256,MATCH($A256-7,$A$25:$A256,1))&lt;&gt;0,$A256-INDEX($A$25:$A256,MATCH($A256-7,$A$25:$A256,1))&lt;=10),B256-INDEX($B$25:$B256,MATCH($A256-7,$A$25:$A256,1)),""),"")</f>
        <v/>
      </c>
      <c r="I256" s="31">
        <f>IFERROR(IF(AND(ISNUMBER(B256),INDEX($B$25:$B256,MATCH($A256-30,$A$25:$A256,1))&lt;&gt;0,INDEX($A$25:$A256,MATCH($A256-30,$A$25:$A256,1))&lt;&gt;0,$A256-INDEX($A$25:$A256,MATCH($A256-30,$A$25:$A256,1))&lt;=33),B256-INDEX($B$25:$B256,MATCH($A256-30,$A$25:$A256,1)),""),"")</f>
        <v/>
      </c>
      <c r="J256" s="42">
        <f>DATE(2026,11,3)-A256</f>
        <v/>
      </c>
      <c r="K256" s="26" t="inlineStr">
        <is>
          <t>26 Aug</t>
        </is>
      </c>
    </row>
    <row r="257">
      <c r="A257" s="39" t="n">
        <v>46261</v>
      </c>
      <c r="B257" s="16" t="n">
        <v>0.755</v>
      </c>
      <c r="C257" s="16" t="n">
        <v>0.245</v>
      </c>
      <c r="D257" s="17">
        <f>IF(COUNT(B257:C257)=2,B257+C257,"")</f>
        <v/>
      </c>
      <c r="E257" s="20">
        <f>IF(ISNUMBER(B257),IFERROR(B257/$D257,""),"")</f>
        <v/>
      </c>
      <c r="F257" s="20">
        <f>IF(ISNUMBER(C257),IFERROR(C257/$D257,""),"")</f>
        <v/>
      </c>
      <c r="G257" s="18">
        <f>IF(COUNT(B257:C257)=2,B257-C257,"")</f>
        <v/>
      </c>
      <c r="H257" s="18">
        <f>IFERROR(IF(AND(ISNUMBER(B257),INDEX($B$25:$B257,MATCH($A257-7,$A$25:$A257,1))&lt;&gt;0,INDEX($A$25:$A257,MATCH($A257-7,$A$25:$A257,1))&lt;&gt;0,$A257-INDEX($A$25:$A257,MATCH($A257-7,$A$25:$A257,1))&lt;=10),B257-INDEX($B$25:$B257,MATCH($A257-7,$A$25:$A257,1)),""),"")</f>
        <v/>
      </c>
      <c r="I257" s="18">
        <f>IFERROR(IF(AND(ISNUMBER(B257),INDEX($B$25:$B257,MATCH($A257-30,$A$25:$A257,1))&lt;&gt;0,INDEX($A$25:$A257,MATCH($A257-30,$A$25:$A257,1))&lt;&gt;0,$A257-INDEX($A$25:$A257,MATCH($A257-30,$A$25:$A257,1))&lt;=33),B257-INDEX($B$25:$B257,MATCH($A257-30,$A$25:$A257,1)),""),"")</f>
        <v/>
      </c>
      <c r="J257" s="40">
        <f>DATE(2026,11,3)-A257</f>
        <v/>
      </c>
      <c r="K257" s="26" t="inlineStr">
        <is>
          <t>27 Aug</t>
        </is>
      </c>
    </row>
    <row r="258">
      <c r="A258" s="41" t="n">
        <v>46262</v>
      </c>
      <c r="B258" s="28" t="n">
        <v>0.755</v>
      </c>
      <c r="C258" s="28" t="n">
        <v>0.24</v>
      </c>
      <c r="D258" s="29">
        <f>IF(COUNT(B258:C258)=2,B258+C258,"")</f>
        <v/>
      </c>
      <c r="E258" s="30">
        <f>IF(ISNUMBER(B258),IFERROR(B258/$D258,""),"")</f>
        <v/>
      </c>
      <c r="F258" s="30">
        <f>IF(ISNUMBER(C258),IFERROR(C258/$D258,""),"")</f>
        <v/>
      </c>
      <c r="G258" s="31">
        <f>IF(COUNT(B258:C258)=2,B258-C258,"")</f>
        <v/>
      </c>
      <c r="H258" s="31">
        <f>IFERROR(IF(AND(ISNUMBER(B258),INDEX($B$25:$B258,MATCH($A258-7,$A$25:$A258,1))&lt;&gt;0,INDEX($A$25:$A258,MATCH($A258-7,$A$25:$A258,1))&lt;&gt;0,$A258-INDEX($A$25:$A258,MATCH($A258-7,$A$25:$A258,1))&lt;=10),B258-INDEX($B$25:$B258,MATCH($A258-7,$A$25:$A258,1)),""),"")</f>
        <v/>
      </c>
      <c r="I258" s="31">
        <f>IFERROR(IF(AND(ISNUMBER(B258),INDEX($B$25:$B258,MATCH($A258-30,$A$25:$A258,1))&lt;&gt;0,INDEX($A$25:$A258,MATCH($A258-30,$A$25:$A258,1))&lt;&gt;0,$A258-INDEX($A$25:$A258,MATCH($A258-30,$A$25:$A258,1))&lt;=33),B258-INDEX($B$25:$B258,MATCH($A258-30,$A$25:$A258,1)),""),"")</f>
        <v/>
      </c>
      <c r="J258" s="42">
        <f>DATE(2026,11,3)-A258</f>
        <v/>
      </c>
      <c r="K258" s="26" t="inlineStr">
        <is>
          <t>28 Aug</t>
        </is>
      </c>
    </row>
    <row r="259">
      <c r="A259" s="39" t="n">
        <v>46263</v>
      </c>
      <c r="B259" s="16" t="n">
        <v>0.755</v>
      </c>
      <c r="C259" s="16" t="n">
        <v>0.24</v>
      </c>
      <c r="D259" s="17">
        <f>IF(COUNT(B259:C259)=2,B259+C259,"")</f>
        <v/>
      </c>
      <c r="E259" s="20">
        <f>IF(ISNUMBER(B259),IFERROR(B259/$D259,""),"")</f>
        <v/>
      </c>
      <c r="F259" s="20">
        <f>IF(ISNUMBER(C259),IFERROR(C259/$D259,""),"")</f>
        <v/>
      </c>
      <c r="G259" s="18">
        <f>IF(COUNT(B259:C259)=2,B259-C259,"")</f>
        <v/>
      </c>
      <c r="H259" s="18">
        <f>IFERROR(IF(AND(ISNUMBER(B259),INDEX($B$25:$B259,MATCH($A259-7,$A$25:$A259,1))&lt;&gt;0,INDEX($A$25:$A259,MATCH($A259-7,$A$25:$A259,1))&lt;&gt;0,$A259-INDEX($A$25:$A259,MATCH($A259-7,$A$25:$A259,1))&lt;=10),B259-INDEX($B$25:$B259,MATCH($A259-7,$A$25:$A259,1)),""),"")</f>
        <v/>
      </c>
      <c r="I259" s="18">
        <f>IFERROR(IF(AND(ISNUMBER(B259),INDEX($B$25:$B259,MATCH($A259-30,$A$25:$A259,1))&lt;&gt;0,INDEX($A$25:$A259,MATCH($A259-30,$A$25:$A259,1))&lt;&gt;0,$A259-INDEX($A$25:$A259,MATCH($A259-30,$A$25:$A259,1))&lt;=33),B259-INDEX($B$25:$B259,MATCH($A259-30,$A$25:$A259,1)),""),"")</f>
        <v/>
      </c>
      <c r="J259" s="40">
        <f>DATE(2026,11,3)-A259</f>
        <v/>
      </c>
      <c r="K259" s="26" t="inlineStr">
        <is>
          <t>29 Aug</t>
        </is>
      </c>
    </row>
    <row r="260">
      <c r="A260" s="41" t="n">
        <v>46264</v>
      </c>
      <c r="B260" s="28" t="n">
        <v>0.78</v>
      </c>
      <c r="C260" s="28" t="n">
        <v>0.19</v>
      </c>
      <c r="D260" s="29">
        <f>IF(COUNT(B260:C260)=2,B260+C260,"")</f>
        <v/>
      </c>
      <c r="E260" s="30">
        <f>IF(ISNUMBER(B260),IFERROR(B260/$D260,""),"")</f>
        <v/>
      </c>
      <c r="F260" s="30">
        <f>IF(ISNUMBER(C260),IFERROR(C260/$D260,""),"")</f>
        <v/>
      </c>
      <c r="G260" s="31">
        <f>IF(COUNT(B260:C260)=2,B260-C260,"")</f>
        <v/>
      </c>
      <c r="H260" s="31">
        <f>IFERROR(IF(AND(ISNUMBER(B260),INDEX($B$25:$B260,MATCH($A260-7,$A$25:$A260,1))&lt;&gt;0,INDEX($A$25:$A260,MATCH($A260-7,$A$25:$A260,1))&lt;&gt;0,$A260-INDEX($A$25:$A260,MATCH($A260-7,$A$25:$A260,1))&lt;=10),B260-INDEX($B$25:$B260,MATCH($A260-7,$A$25:$A260,1)),""),"")</f>
        <v/>
      </c>
      <c r="I260" s="31">
        <f>IFERROR(IF(AND(ISNUMBER(B260),INDEX($B$25:$B260,MATCH($A260-30,$A$25:$A260,1))&lt;&gt;0,INDEX($A$25:$A260,MATCH($A260-30,$A$25:$A260,1))&lt;&gt;0,$A260-INDEX($A$25:$A260,MATCH($A260-30,$A$25:$A260,1))&lt;=33),B260-INDEX($B$25:$B260,MATCH($A260-30,$A$25:$A260,1)),""),"")</f>
        <v/>
      </c>
      <c r="J260" s="42">
        <f>DATE(2026,11,3)-A260</f>
        <v/>
      </c>
      <c r="K260" s="26" t="inlineStr">
        <is>
          <t>30 Aug</t>
        </is>
      </c>
    </row>
    <row r="261">
      <c r="A261" s="39" t="n">
        <v>46265</v>
      </c>
      <c r="B261" s="16" t="n">
        <v>0.8100000000000001</v>
      </c>
      <c r="C261" s="16" t="n">
        <v>0.17</v>
      </c>
      <c r="D261" s="17">
        <f>IF(COUNT(B261:C261)=2,B261+C261,"")</f>
        <v/>
      </c>
      <c r="E261" s="20">
        <f>IF(ISNUMBER(B261),IFERROR(B261/$D261,""),"")</f>
        <v/>
      </c>
      <c r="F261" s="20">
        <f>IF(ISNUMBER(C261),IFERROR(C261/$D261,""),"")</f>
        <v/>
      </c>
      <c r="G261" s="18">
        <f>IF(COUNT(B261:C261)=2,B261-C261,"")</f>
        <v/>
      </c>
      <c r="H261" s="18">
        <f>IFERROR(IF(AND(ISNUMBER(B261),INDEX($B$25:$B261,MATCH($A261-7,$A$25:$A261,1))&lt;&gt;0,INDEX($A$25:$A261,MATCH($A261-7,$A$25:$A261,1))&lt;&gt;0,$A261-INDEX($A$25:$A261,MATCH($A261-7,$A$25:$A261,1))&lt;=10),B261-INDEX($B$25:$B261,MATCH($A261-7,$A$25:$A261,1)),""),"")</f>
        <v/>
      </c>
      <c r="I261" s="18">
        <f>IFERROR(IF(AND(ISNUMBER(B261),INDEX($B$25:$B261,MATCH($A261-30,$A$25:$A261,1))&lt;&gt;0,INDEX($A$25:$A261,MATCH($A261-30,$A$25:$A261,1))&lt;&gt;0,$A261-INDEX($A$25:$A261,MATCH($A261-30,$A$25:$A261,1))&lt;=33),B261-INDEX($B$25:$B261,MATCH($A261-30,$A$25:$A261,1)),""),"")</f>
        <v/>
      </c>
      <c r="J261" s="40">
        <f>DATE(2026,11,3)-A261</f>
        <v/>
      </c>
      <c r="K261" s="26" t="inlineStr">
        <is>
          <t>31 Aug</t>
        </is>
      </c>
    </row>
    <row r="262">
      <c r="A262" s="41" t="n">
        <v>46266</v>
      </c>
      <c r="B262" s="28" t="n">
        <v>0.8149999999999999</v>
      </c>
      <c r="C262" s="28" t="n">
        <v>0.175</v>
      </c>
      <c r="D262" s="29">
        <f>IF(COUNT(B262:C262)=2,B262+C262,"")</f>
        <v/>
      </c>
      <c r="E262" s="30">
        <f>IF(ISNUMBER(B262),IFERROR(B262/$D262,""),"")</f>
        <v/>
      </c>
      <c r="F262" s="30">
        <f>IF(ISNUMBER(C262),IFERROR(C262/$D262,""),"")</f>
        <v/>
      </c>
      <c r="G262" s="31">
        <f>IF(COUNT(B262:C262)=2,B262-C262,"")</f>
        <v/>
      </c>
      <c r="H262" s="31">
        <f>IFERROR(IF(AND(ISNUMBER(B262),INDEX($B$25:$B262,MATCH($A262-7,$A$25:$A262,1))&lt;&gt;0,INDEX($A$25:$A262,MATCH($A262-7,$A$25:$A262,1))&lt;&gt;0,$A262-INDEX($A$25:$A262,MATCH($A262-7,$A$25:$A262,1))&lt;=10),B262-INDEX($B$25:$B262,MATCH($A262-7,$A$25:$A262,1)),""),"")</f>
        <v/>
      </c>
      <c r="I262" s="31">
        <f>IFERROR(IF(AND(ISNUMBER(B262),INDEX($B$25:$B262,MATCH($A262-30,$A$25:$A262,1))&lt;&gt;0,INDEX($A$25:$A262,MATCH($A262-30,$A$25:$A262,1))&lt;&gt;0,$A262-INDEX($A$25:$A262,MATCH($A262-30,$A$25:$A262,1))&lt;=33),B262-INDEX($B$25:$B262,MATCH($A262-30,$A$25:$A262,1)),""),"")</f>
        <v/>
      </c>
      <c r="J262" s="42">
        <f>DATE(2026,11,3)-A262</f>
        <v/>
      </c>
      <c r="K262" s="26" t="inlineStr">
        <is>
          <t>01 Sep</t>
        </is>
      </c>
    </row>
    <row r="263">
      <c r="A263" s="39" t="n">
        <v>46267</v>
      </c>
      <c r="B263" s="16" t="n">
        <v>0.8</v>
      </c>
      <c r="C263" s="16" t="n">
        <v>0.165</v>
      </c>
      <c r="D263" s="17">
        <f>IF(COUNT(B263:C263)=2,B263+C263,"")</f>
        <v/>
      </c>
      <c r="E263" s="20">
        <f>IF(ISNUMBER(B263),IFERROR(B263/$D263,""),"")</f>
        <v/>
      </c>
      <c r="F263" s="20">
        <f>IF(ISNUMBER(C263),IFERROR(C263/$D263,""),"")</f>
        <v/>
      </c>
      <c r="G263" s="18">
        <f>IF(COUNT(B263:C263)=2,B263-C263,"")</f>
        <v/>
      </c>
      <c r="H263" s="18">
        <f>IFERROR(IF(AND(ISNUMBER(B263),INDEX($B$25:$B263,MATCH($A263-7,$A$25:$A263,1))&lt;&gt;0,INDEX($A$25:$A263,MATCH($A263-7,$A$25:$A263,1))&lt;&gt;0,$A263-INDEX($A$25:$A263,MATCH($A263-7,$A$25:$A263,1))&lt;=10),B263-INDEX($B$25:$B263,MATCH($A263-7,$A$25:$A263,1)),""),"")</f>
        <v/>
      </c>
      <c r="I263" s="18">
        <f>IFERROR(IF(AND(ISNUMBER(B263),INDEX($B$25:$B263,MATCH($A263-30,$A$25:$A263,1))&lt;&gt;0,INDEX($A$25:$A263,MATCH($A263-30,$A$25:$A263,1))&lt;&gt;0,$A263-INDEX($A$25:$A263,MATCH($A263-30,$A$25:$A263,1))&lt;=33),B263-INDEX($B$25:$B263,MATCH($A263-30,$A$25:$A263,1)),""),"")</f>
        <v/>
      </c>
      <c r="J263" s="40">
        <f>DATE(2026,11,3)-A263</f>
        <v/>
      </c>
      <c r="K263" s="26" t="inlineStr">
        <is>
          <t>02 Sep</t>
        </is>
      </c>
    </row>
    <row r="264">
      <c r="A264" s="41" t="n">
        <v>46268</v>
      </c>
      <c r="B264" s="28" t="n">
        <v>0.8</v>
      </c>
      <c r="C264" s="28" t="n">
        <v>0.175</v>
      </c>
      <c r="D264" s="29">
        <f>IF(COUNT(B264:C264)=2,B264+C264,"")</f>
        <v/>
      </c>
      <c r="E264" s="30">
        <f>IF(ISNUMBER(B264),IFERROR(B264/$D264,""),"")</f>
        <v/>
      </c>
      <c r="F264" s="30">
        <f>IF(ISNUMBER(C264),IFERROR(C264/$D264,""),"")</f>
        <v/>
      </c>
      <c r="G264" s="31">
        <f>IF(COUNT(B264:C264)=2,B264-C264,"")</f>
        <v/>
      </c>
      <c r="H264" s="31">
        <f>IFERROR(IF(AND(ISNUMBER(B264),INDEX($B$25:$B264,MATCH($A264-7,$A$25:$A264,1))&lt;&gt;0,INDEX($A$25:$A264,MATCH($A264-7,$A$25:$A264,1))&lt;&gt;0,$A264-INDEX($A$25:$A264,MATCH($A264-7,$A$25:$A264,1))&lt;=10),B264-INDEX($B$25:$B264,MATCH($A264-7,$A$25:$A264,1)),""),"")</f>
        <v/>
      </c>
      <c r="I264" s="31">
        <f>IFERROR(IF(AND(ISNUMBER(B264),INDEX($B$25:$B264,MATCH($A264-30,$A$25:$A264,1))&lt;&gt;0,INDEX($A$25:$A264,MATCH($A264-30,$A$25:$A264,1))&lt;&gt;0,$A264-INDEX($A$25:$A264,MATCH($A264-30,$A$25:$A264,1))&lt;=33),B264-INDEX($B$25:$B264,MATCH($A264-30,$A$25:$A264,1)),""),"")</f>
        <v/>
      </c>
      <c r="J264" s="42">
        <f>DATE(2026,11,3)-A264</f>
        <v/>
      </c>
      <c r="K264" s="26" t="inlineStr">
        <is>
          <t>03 Sep</t>
        </is>
      </c>
    </row>
    <row r="265">
      <c r="A265" s="39" t="n">
        <v>46269</v>
      </c>
      <c r="B265" s="16" t="n">
        <v>0.8</v>
      </c>
      <c r="C265" s="16" t="n">
        <v>0.185</v>
      </c>
      <c r="D265" s="17">
        <f>IF(COUNT(B265:C265)=2,B265+C265,"")</f>
        <v/>
      </c>
      <c r="E265" s="20">
        <f>IF(ISNUMBER(B265),IFERROR(B265/$D265,""),"")</f>
        <v/>
      </c>
      <c r="F265" s="20">
        <f>IF(ISNUMBER(C265),IFERROR(C265/$D265,""),"")</f>
        <v/>
      </c>
      <c r="G265" s="18">
        <f>IF(COUNT(B265:C265)=2,B265-C265,"")</f>
        <v/>
      </c>
      <c r="H265" s="18">
        <f>IFERROR(IF(AND(ISNUMBER(B265),INDEX($B$25:$B265,MATCH($A265-7,$A$25:$A265,1))&lt;&gt;0,INDEX($A$25:$A265,MATCH($A265-7,$A$25:$A265,1))&lt;&gt;0,$A265-INDEX($A$25:$A265,MATCH($A265-7,$A$25:$A265,1))&lt;=10),B265-INDEX($B$25:$B265,MATCH($A265-7,$A$25:$A265,1)),""),"")</f>
        <v/>
      </c>
      <c r="I265" s="18">
        <f>IFERROR(IF(AND(ISNUMBER(B265),INDEX($B$25:$B265,MATCH($A265-30,$A$25:$A265,1))&lt;&gt;0,INDEX($A$25:$A265,MATCH($A265-30,$A$25:$A265,1))&lt;&gt;0,$A265-INDEX($A$25:$A265,MATCH($A265-30,$A$25:$A265,1))&lt;=33),B265-INDEX($B$25:$B265,MATCH($A265-30,$A$25:$A265,1)),""),"")</f>
        <v/>
      </c>
      <c r="J265" s="40">
        <f>DATE(2026,11,3)-A265</f>
        <v/>
      </c>
      <c r="K265" s="26" t="inlineStr">
        <is>
          <t>04 Sep</t>
        </is>
      </c>
    </row>
    <row r="266">
      <c r="A266" s="41" t="n">
        <v>46270</v>
      </c>
      <c r="B266" s="28" t="n">
        <v>0.79</v>
      </c>
      <c r="C266" s="28" t="n">
        <v>0.195</v>
      </c>
      <c r="D266" s="29">
        <f>IF(COUNT(B266:C266)=2,B266+C266,"")</f>
        <v/>
      </c>
      <c r="E266" s="30">
        <f>IF(ISNUMBER(B266),IFERROR(B266/$D266,""),"")</f>
        <v/>
      </c>
      <c r="F266" s="30">
        <f>IF(ISNUMBER(C266),IFERROR(C266/$D266,""),"")</f>
        <v/>
      </c>
      <c r="G266" s="31">
        <f>IF(COUNT(B266:C266)=2,B266-C266,"")</f>
        <v/>
      </c>
      <c r="H266" s="31">
        <f>IFERROR(IF(AND(ISNUMBER(B266),INDEX($B$25:$B266,MATCH($A266-7,$A$25:$A266,1))&lt;&gt;0,INDEX($A$25:$A266,MATCH($A266-7,$A$25:$A266,1))&lt;&gt;0,$A266-INDEX($A$25:$A266,MATCH($A266-7,$A$25:$A266,1))&lt;=10),B266-INDEX($B$25:$B266,MATCH($A266-7,$A$25:$A266,1)),""),"")</f>
        <v/>
      </c>
      <c r="I266" s="31">
        <f>IFERROR(IF(AND(ISNUMBER(B266),INDEX($B$25:$B266,MATCH($A266-30,$A$25:$A266,1))&lt;&gt;0,INDEX($A$25:$A266,MATCH($A266-30,$A$25:$A266,1))&lt;&gt;0,$A266-INDEX($A$25:$A266,MATCH($A266-30,$A$25:$A266,1))&lt;=33),B266-INDEX($B$25:$B266,MATCH($A266-30,$A$25:$A266,1)),""),"")</f>
        <v/>
      </c>
      <c r="J266" s="42">
        <f>DATE(2026,11,3)-A266</f>
        <v/>
      </c>
      <c r="K266" s="26" t="inlineStr">
        <is>
          <t>05 Sep</t>
        </is>
      </c>
    </row>
    <row r="267">
      <c r="A267" s="39" t="n">
        <v>46271</v>
      </c>
      <c r="B267" s="16" t="n">
        <v>0.775</v>
      </c>
      <c r="C267" s="16" t="n">
        <v>0.215</v>
      </c>
      <c r="D267" s="17">
        <f>IF(COUNT(B267:C267)=2,B267+C267,"")</f>
        <v/>
      </c>
      <c r="E267" s="20">
        <f>IF(ISNUMBER(B267),IFERROR(B267/$D267,""),"")</f>
        <v/>
      </c>
      <c r="F267" s="20">
        <f>IF(ISNUMBER(C267),IFERROR(C267/$D267,""),"")</f>
        <v/>
      </c>
      <c r="G267" s="18">
        <f>IF(COUNT(B267:C267)=2,B267-C267,"")</f>
        <v/>
      </c>
      <c r="H267" s="18">
        <f>IFERROR(IF(AND(ISNUMBER(B267),INDEX($B$25:$B267,MATCH($A267-7,$A$25:$A267,1))&lt;&gt;0,INDEX($A$25:$A267,MATCH($A267-7,$A$25:$A267,1))&lt;&gt;0,$A267-INDEX($A$25:$A267,MATCH($A267-7,$A$25:$A267,1))&lt;=10),B267-INDEX($B$25:$B267,MATCH($A267-7,$A$25:$A267,1)),""),"")</f>
        <v/>
      </c>
      <c r="I267" s="18">
        <f>IFERROR(IF(AND(ISNUMBER(B267),INDEX($B$25:$B267,MATCH($A267-30,$A$25:$A267,1))&lt;&gt;0,INDEX($A$25:$A267,MATCH($A267-30,$A$25:$A267,1))&lt;&gt;0,$A267-INDEX($A$25:$A267,MATCH($A267-30,$A$25:$A267,1))&lt;=33),B267-INDEX($B$25:$B267,MATCH($A267-30,$A$25:$A267,1)),""),"")</f>
        <v/>
      </c>
      <c r="J267" s="40">
        <f>DATE(2026,11,3)-A267</f>
        <v/>
      </c>
      <c r="K267" s="26" t="inlineStr">
        <is>
          <t>06 Sep</t>
        </is>
      </c>
    </row>
    <row r="268">
      <c r="A268" s="41" t="n">
        <v>46272</v>
      </c>
      <c r="B268" s="28" t="n">
        <v>0.705</v>
      </c>
      <c r="C268" s="28" t="n">
        <v>0.255</v>
      </c>
      <c r="D268" s="29">
        <f>IF(COUNT(B268:C268)=2,B268+C268,"")</f>
        <v/>
      </c>
      <c r="E268" s="30">
        <f>IF(ISNUMBER(B268),IFERROR(B268/$D268,""),"")</f>
        <v/>
      </c>
      <c r="F268" s="30">
        <f>IF(ISNUMBER(C268),IFERROR(C268/$D268,""),"")</f>
        <v/>
      </c>
      <c r="G268" s="31">
        <f>IF(COUNT(B268:C268)=2,B268-C268,"")</f>
        <v/>
      </c>
      <c r="H268" s="31">
        <f>IFERROR(IF(AND(ISNUMBER(B268),INDEX($B$25:$B268,MATCH($A268-7,$A$25:$A268,1))&lt;&gt;0,INDEX($A$25:$A268,MATCH($A268-7,$A$25:$A268,1))&lt;&gt;0,$A268-INDEX($A$25:$A268,MATCH($A268-7,$A$25:$A268,1))&lt;=10),B268-INDEX($B$25:$B268,MATCH($A268-7,$A$25:$A268,1)),""),"")</f>
        <v/>
      </c>
      <c r="I268" s="31">
        <f>IFERROR(IF(AND(ISNUMBER(B268),INDEX($B$25:$B268,MATCH($A268-30,$A$25:$A268,1))&lt;&gt;0,INDEX($A$25:$A268,MATCH($A268-30,$A$25:$A268,1))&lt;&gt;0,$A268-INDEX($A$25:$A268,MATCH($A268-30,$A$25:$A268,1))&lt;=33),B268-INDEX($B$25:$B268,MATCH($A268-30,$A$25:$A268,1)),""),"")</f>
        <v/>
      </c>
      <c r="J268" s="42">
        <f>DATE(2026,11,3)-A268</f>
        <v/>
      </c>
      <c r="K268" s="26" t="inlineStr">
        <is>
          <t>07 Sep</t>
        </is>
      </c>
    </row>
    <row r="269">
      <c r="A269" s="39" t="n">
        <v>46273</v>
      </c>
      <c r="B269" s="16" t="n">
        <v>0.795</v>
      </c>
      <c r="C269" s="16" t="n">
        <v>0.195</v>
      </c>
      <c r="D269" s="17">
        <f>IF(COUNT(B269:C269)=2,B269+C269,"")</f>
        <v/>
      </c>
      <c r="E269" s="20">
        <f>IF(ISNUMBER(B269),IFERROR(B269/$D269,""),"")</f>
        <v/>
      </c>
      <c r="F269" s="20">
        <f>IF(ISNUMBER(C269),IFERROR(C269/$D269,""),"")</f>
        <v/>
      </c>
      <c r="G269" s="18">
        <f>IF(COUNT(B269:C269)=2,B269-C269,"")</f>
        <v/>
      </c>
      <c r="H269" s="18">
        <f>IFERROR(IF(AND(ISNUMBER(B269),INDEX($B$25:$B269,MATCH($A269-7,$A$25:$A269,1))&lt;&gt;0,INDEX($A$25:$A269,MATCH($A269-7,$A$25:$A269,1))&lt;&gt;0,$A269-INDEX($A$25:$A269,MATCH($A269-7,$A$25:$A269,1))&lt;=10),B269-INDEX($B$25:$B269,MATCH($A269-7,$A$25:$A269,1)),""),"")</f>
        <v/>
      </c>
      <c r="I269" s="18">
        <f>IFERROR(IF(AND(ISNUMBER(B269),INDEX($B$25:$B269,MATCH($A269-30,$A$25:$A269,1))&lt;&gt;0,INDEX($A$25:$A269,MATCH($A269-30,$A$25:$A269,1))&lt;&gt;0,$A269-INDEX($A$25:$A269,MATCH($A269-30,$A$25:$A269,1))&lt;=33),B269-INDEX($B$25:$B269,MATCH($A269-30,$A$25:$A269,1)),""),"")</f>
        <v/>
      </c>
      <c r="J269" s="40">
        <f>DATE(2026,11,3)-A269</f>
        <v/>
      </c>
      <c r="K269" s="26" t="inlineStr">
        <is>
          <t>08 Sep</t>
        </is>
      </c>
    </row>
    <row r="270">
      <c r="A270" s="41" t="n">
        <v>46274</v>
      </c>
      <c r="B270" s="28" t="n">
        <v>0.8100000000000001</v>
      </c>
      <c r="C270" s="28" t="n">
        <v>0.195</v>
      </c>
      <c r="D270" s="29">
        <f>IF(COUNT(B270:C270)=2,B270+C270,"")</f>
        <v/>
      </c>
      <c r="E270" s="30">
        <f>IF(ISNUMBER(B270),IFERROR(B270/$D270,""),"")</f>
        <v/>
      </c>
      <c r="F270" s="30">
        <f>IF(ISNUMBER(C270),IFERROR(C270/$D270,""),"")</f>
        <v/>
      </c>
      <c r="G270" s="31">
        <f>IF(COUNT(B270:C270)=2,B270-C270,"")</f>
        <v/>
      </c>
      <c r="H270" s="31">
        <f>IFERROR(IF(AND(ISNUMBER(B270),INDEX($B$25:$B270,MATCH($A270-7,$A$25:$A270,1))&lt;&gt;0,INDEX($A$25:$A270,MATCH($A270-7,$A$25:$A270,1))&lt;&gt;0,$A270-INDEX($A$25:$A270,MATCH($A270-7,$A$25:$A270,1))&lt;=10),B270-INDEX($B$25:$B270,MATCH($A270-7,$A$25:$A270,1)),""),"")</f>
        <v/>
      </c>
      <c r="I270" s="31">
        <f>IFERROR(IF(AND(ISNUMBER(B270),INDEX($B$25:$B270,MATCH($A270-30,$A$25:$A270,1))&lt;&gt;0,INDEX($A$25:$A270,MATCH($A270-30,$A$25:$A270,1))&lt;&gt;0,$A270-INDEX($A$25:$A270,MATCH($A270-30,$A$25:$A270,1))&lt;=33),B270-INDEX($B$25:$B270,MATCH($A270-30,$A$25:$A270,1)),""),"")</f>
        <v/>
      </c>
      <c r="J270" s="42">
        <f>DATE(2026,11,3)-A270</f>
        <v/>
      </c>
      <c r="K270" s="26" t="inlineStr">
        <is>
          <t>09 Sep</t>
        </is>
      </c>
    </row>
    <row r="271">
      <c r="A271" s="39" t="n">
        <v>46275</v>
      </c>
      <c r="B271" s="16" t="n">
        <v>0.795</v>
      </c>
      <c r="C271" s="16" t="n">
        <v>0.205</v>
      </c>
      <c r="D271" s="17">
        <f>IF(COUNT(B271:C271)=2,B271+C271,"")</f>
        <v/>
      </c>
      <c r="E271" s="20">
        <f>IF(ISNUMBER(B271),IFERROR(B271/$D271,""),"")</f>
        <v/>
      </c>
      <c r="F271" s="20">
        <f>IF(ISNUMBER(C271),IFERROR(C271/$D271,""),"")</f>
        <v/>
      </c>
      <c r="G271" s="18">
        <f>IF(COUNT(B271:C271)=2,B271-C271,"")</f>
        <v/>
      </c>
      <c r="H271" s="18">
        <f>IFERROR(IF(AND(ISNUMBER(B271),INDEX($B$25:$B271,MATCH($A271-7,$A$25:$A271,1))&lt;&gt;0,INDEX($A$25:$A271,MATCH($A271-7,$A$25:$A271,1))&lt;&gt;0,$A271-INDEX($A$25:$A271,MATCH($A271-7,$A$25:$A271,1))&lt;=10),B271-INDEX($B$25:$B271,MATCH($A271-7,$A$25:$A271,1)),""),"")</f>
        <v/>
      </c>
      <c r="I271" s="18">
        <f>IFERROR(IF(AND(ISNUMBER(B271),INDEX($B$25:$B271,MATCH($A271-30,$A$25:$A271,1))&lt;&gt;0,INDEX($A$25:$A271,MATCH($A271-30,$A$25:$A271,1))&lt;&gt;0,$A271-INDEX($A$25:$A271,MATCH($A271-30,$A$25:$A271,1))&lt;=33),B271-INDEX($B$25:$B271,MATCH($A271-30,$A$25:$A271,1)),""),"")</f>
        <v/>
      </c>
      <c r="J271" s="40">
        <f>DATE(2026,11,3)-A271</f>
        <v/>
      </c>
      <c r="K271" s="26" t="inlineStr">
        <is>
          <t>10 Sep</t>
        </is>
      </c>
    </row>
    <row r="272">
      <c r="A272" s="41" t="n">
        <v>46276</v>
      </c>
      <c r="B272" s="28" t="n">
        <v>0.8</v>
      </c>
      <c r="C272" s="28" t="n">
        <v>0.205</v>
      </c>
      <c r="D272" s="29">
        <f>IF(COUNT(B272:C272)=2,B272+C272,"")</f>
        <v/>
      </c>
      <c r="E272" s="30">
        <f>IF(ISNUMBER(B272),IFERROR(B272/$D272,""),"")</f>
        <v/>
      </c>
      <c r="F272" s="30">
        <f>IF(ISNUMBER(C272),IFERROR(C272/$D272,""),"")</f>
        <v/>
      </c>
      <c r="G272" s="31">
        <f>IF(COUNT(B272:C272)=2,B272-C272,"")</f>
        <v/>
      </c>
      <c r="H272" s="31">
        <f>IFERROR(IF(AND(ISNUMBER(B272),INDEX($B$25:$B272,MATCH($A272-7,$A$25:$A272,1))&lt;&gt;0,INDEX($A$25:$A272,MATCH($A272-7,$A$25:$A272,1))&lt;&gt;0,$A272-INDEX($A$25:$A272,MATCH($A272-7,$A$25:$A272,1))&lt;=10),B272-INDEX($B$25:$B272,MATCH($A272-7,$A$25:$A272,1)),""),"")</f>
        <v/>
      </c>
      <c r="I272" s="31">
        <f>IFERROR(IF(AND(ISNUMBER(B272),INDEX($B$25:$B272,MATCH($A272-30,$A$25:$A272,1))&lt;&gt;0,INDEX($A$25:$A272,MATCH($A272-30,$A$25:$A272,1))&lt;&gt;0,$A272-INDEX($A$25:$A272,MATCH($A272-30,$A$25:$A272,1))&lt;=33),B272-INDEX($B$25:$B272,MATCH($A272-30,$A$25:$A272,1)),""),"")</f>
        <v/>
      </c>
      <c r="J272" s="42">
        <f>DATE(2026,11,3)-A272</f>
        <v/>
      </c>
      <c r="K272" s="26" t="inlineStr">
        <is>
          <t>11 Sep</t>
        </is>
      </c>
    </row>
    <row r="273">
      <c r="A273" s="39" t="n">
        <v>46277</v>
      </c>
      <c r="B273" s="16" t="n">
        <v>0.66</v>
      </c>
      <c r="C273" s="16" t="n">
        <v>0.32</v>
      </c>
      <c r="D273" s="17">
        <f>IF(COUNT(B273:C273)=2,B273+C273,"")</f>
        <v/>
      </c>
      <c r="E273" s="20">
        <f>IF(ISNUMBER(B273),IFERROR(B273/$D273,""),"")</f>
        <v/>
      </c>
      <c r="F273" s="20">
        <f>IF(ISNUMBER(C273),IFERROR(C273/$D273,""),"")</f>
        <v/>
      </c>
      <c r="G273" s="18">
        <f>IF(COUNT(B273:C273)=2,B273-C273,"")</f>
        <v/>
      </c>
      <c r="H273" s="18">
        <f>IFERROR(IF(AND(ISNUMBER(B273),INDEX($B$25:$B273,MATCH($A273-7,$A$25:$A273,1))&lt;&gt;0,INDEX($A$25:$A273,MATCH($A273-7,$A$25:$A273,1))&lt;&gt;0,$A273-INDEX($A$25:$A273,MATCH($A273-7,$A$25:$A273,1))&lt;=10),B273-INDEX($B$25:$B273,MATCH($A273-7,$A$25:$A273,1)),""),"")</f>
        <v/>
      </c>
      <c r="I273" s="18">
        <f>IFERROR(IF(AND(ISNUMBER(B273),INDEX($B$25:$B273,MATCH($A273-30,$A$25:$A273,1))&lt;&gt;0,INDEX($A$25:$A273,MATCH($A273-30,$A$25:$A273,1))&lt;&gt;0,$A273-INDEX($A$25:$A273,MATCH($A273-30,$A$25:$A273,1))&lt;=33),B273-INDEX($B$25:$B273,MATCH($A273-30,$A$25:$A273,1)),""),"")</f>
        <v/>
      </c>
      <c r="J273" s="40">
        <f>DATE(2026,11,3)-A273</f>
        <v/>
      </c>
      <c r="K273" s="26" t="inlineStr">
        <is>
          <t>12 Sep</t>
        </is>
      </c>
    </row>
    <row r="274">
      <c r="A274" s="41" t="n">
        <v>46278</v>
      </c>
      <c r="B274" s="28" t="n">
        <v>0.6850000000000001</v>
      </c>
      <c r="C274" s="28" t="n">
        <v>0.3</v>
      </c>
      <c r="D274" s="29">
        <f>IF(COUNT(B274:C274)=2,B274+C274,"")</f>
        <v/>
      </c>
      <c r="E274" s="30">
        <f>IF(ISNUMBER(B274),IFERROR(B274/$D274,""),"")</f>
        <v/>
      </c>
      <c r="F274" s="30">
        <f>IF(ISNUMBER(C274),IFERROR(C274/$D274,""),"")</f>
        <v/>
      </c>
      <c r="G274" s="31">
        <f>IF(COUNT(B274:C274)=2,B274-C274,"")</f>
        <v/>
      </c>
      <c r="H274" s="31">
        <f>IFERROR(IF(AND(ISNUMBER(B274),INDEX($B$25:$B274,MATCH($A274-7,$A$25:$A274,1))&lt;&gt;0,INDEX($A$25:$A274,MATCH($A274-7,$A$25:$A274,1))&lt;&gt;0,$A274-INDEX($A$25:$A274,MATCH($A274-7,$A$25:$A274,1))&lt;=10),B274-INDEX($B$25:$B274,MATCH($A274-7,$A$25:$A274,1)),""),"")</f>
        <v/>
      </c>
      <c r="I274" s="31">
        <f>IFERROR(IF(AND(ISNUMBER(B274),INDEX($B$25:$B274,MATCH($A274-30,$A$25:$A274,1))&lt;&gt;0,INDEX($A$25:$A274,MATCH($A274-30,$A$25:$A274,1))&lt;&gt;0,$A274-INDEX($A$25:$A274,MATCH($A274-30,$A$25:$A274,1))&lt;=33),B274-INDEX($B$25:$B274,MATCH($A274-30,$A$25:$A274,1)),""),"")</f>
        <v/>
      </c>
      <c r="J274" s="42">
        <f>DATE(2026,11,3)-A274</f>
        <v/>
      </c>
      <c r="K274" s="26" t="inlineStr">
        <is>
          <t>13 Sep</t>
        </is>
      </c>
    </row>
    <row r="275">
      <c r="A275" s="39" t="n">
        <v>46279</v>
      </c>
      <c r="B275" s="16" t="n">
        <v>0.68</v>
      </c>
      <c r="C275" s="16" t="n">
        <v>0.3</v>
      </c>
      <c r="D275" s="17">
        <f>IF(COUNT(B275:C275)=2,B275+C275,"")</f>
        <v/>
      </c>
      <c r="E275" s="20">
        <f>IF(ISNUMBER(B275),IFERROR(B275/$D275,""),"")</f>
        <v/>
      </c>
      <c r="F275" s="20">
        <f>IF(ISNUMBER(C275),IFERROR(C275/$D275,""),"")</f>
        <v/>
      </c>
      <c r="G275" s="18">
        <f>IF(COUNT(B275:C275)=2,B275-C275,"")</f>
        <v/>
      </c>
      <c r="H275" s="18">
        <f>IFERROR(IF(AND(ISNUMBER(B275),INDEX($B$25:$B275,MATCH($A275-7,$A$25:$A275,1))&lt;&gt;0,INDEX($A$25:$A275,MATCH($A275-7,$A$25:$A275,1))&lt;&gt;0,$A275-INDEX($A$25:$A275,MATCH($A275-7,$A$25:$A275,1))&lt;=10),B275-INDEX($B$25:$B275,MATCH($A275-7,$A$25:$A275,1)),""),"")</f>
        <v/>
      </c>
      <c r="I275" s="18">
        <f>IFERROR(IF(AND(ISNUMBER(B275),INDEX($B$25:$B275,MATCH($A275-30,$A$25:$A275,1))&lt;&gt;0,INDEX($A$25:$A275,MATCH($A275-30,$A$25:$A275,1))&lt;&gt;0,$A275-INDEX($A$25:$A275,MATCH($A275-30,$A$25:$A275,1))&lt;=33),B275-INDEX($B$25:$B275,MATCH($A275-30,$A$25:$A275,1)),""),"")</f>
        <v/>
      </c>
      <c r="J275" s="40">
        <f>DATE(2026,11,3)-A275</f>
        <v/>
      </c>
      <c r="K275" s="26" t="inlineStr">
        <is>
          <t>14 Sep</t>
        </is>
      </c>
    </row>
    <row r="276">
      <c r="A276" s="41" t="n">
        <v>46280</v>
      </c>
      <c r="B276" s="28" t="n">
        <v>0.725</v>
      </c>
      <c r="C276" s="28" t="n">
        <v>0.26</v>
      </c>
      <c r="D276" s="29">
        <f>IF(COUNT(B276:C276)=2,B276+C276,"")</f>
        <v/>
      </c>
      <c r="E276" s="30">
        <f>IF(ISNUMBER(B276),IFERROR(B276/$D276,""),"")</f>
        <v/>
      </c>
      <c r="F276" s="30">
        <f>IF(ISNUMBER(C276),IFERROR(C276/$D276,""),"")</f>
        <v/>
      </c>
      <c r="G276" s="31">
        <f>IF(COUNT(B276:C276)=2,B276-C276,"")</f>
        <v/>
      </c>
      <c r="H276" s="31">
        <f>IFERROR(IF(AND(ISNUMBER(B276),INDEX($B$25:$B276,MATCH($A276-7,$A$25:$A276,1))&lt;&gt;0,INDEX($A$25:$A276,MATCH($A276-7,$A$25:$A276,1))&lt;&gt;0,$A276-INDEX($A$25:$A276,MATCH($A276-7,$A$25:$A276,1))&lt;=10),B276-INDEX($B$25:$B276,MATCH($A276-7,$A$25:$A276,1)),""),"")</f>
        <v/>
      </c>
      <c r="I276" s="31">
        <f>IFERROR(IF(AND(ISNUMBER(B276),INDEX($B$25:$B276,MATCH($A276-30,$A$25:$A276,1))&lt;&gt;0,INDEX($A$25:$A276,MATCH($A276-30,$A$25:$A276,1))&lt;&gt;0,$A276-INDEX($A$25:$A276,MATCH($A276-30,$A$25:$A276,1))&lt;=33),B276-INDEX($B$25:$B276,MATCH($A276-30,$A$25:$A276,1)),""),"")</f>
        <v/>
      </c>
      <c r="J276" s="42">
        <f>DATE(2026,11,3)-A276</f>
        <v/>
      </c>
      <c r="K276" s="26" t="inlineStr">
        <is>
          <t>15 Sep</t>
        </is>
      </c>
    </row>
    <row r="277">
      <c r="A277" s="39" t="n">
        <v>46281</v>
      </c>
      <c r="B277" s="16" t="n">
        <v>0.735</v>
      </c>
      <c r="C277" s="16" t="n">
        <v>0.25</v>
      </c>
      <c r="D277" s="17">
        <f>IF(COUNT(B277:C277)=2,B277+C277,"")</f>
        <v/>
      </c>
      <c r="E277" s="20">
        <f>IF(ISNUMBER(B277),IFERROR(B277/$D277,""),"")</f>
        <v/>
      </c>
      <c r="F277" s="20">
        <f>IF(ISNUMBER(C277),IFERROR(C277/$D277,""),"")</f>
        <v/>
      </c>
      <c r="G277" s="18">
        <f>IF(COUNT(B277:C277)=2,B277-C277,"")</f>
        <v/>
      </c>
      <c r="H277" s="18">
        <f>IFERROR(IF(AND(ISNUMBER(B277),INDEX($B$25:$B277,MATCH($A277-7,$A$25:$A277,1))&lt;&gt;0,INDEX($A$25:$A277,MATCH($A277-7,$A$25:$A277,1))&lt;&gt;0,$A277-INDEX($A$25:$A277,MATCH($A277-7,$A$25:$A277,1))&lt;=10),B277-INDEX($B$25:$B277,MATCH($A277-7,$A$25:$A277,1)),""),"")</f>
        <v/>
      </c>
      <c r="I277" s="18">
        <f>IFERROR(IF(AND(ISNUMBER(B277),INDEX($B$25:$B277,MATCH($A277-30,$A$25:$A277,1))&lt;&gt;0,INDEX($A$25:$A277,MATCH($A277-30,$A$25:$A277,1))&lt;&gt;0,$A277-INDEX($A$25:$A277,MATCH($A277-30,$A$25:$A277,1))&lt;=33),B277-INDEX($B$25:$B277,MATCH($A277-30,$A$25:$A277,1)),""),"")</f>
        <v/>
      </c>
      <c r="J277" s="40">
        <f>DATE(2026,11,3)-A277</f>
        <v/>
      </c>
      <c r="K277" s="26" t="inlineStr">
        <is>
          <t>16 Sep</t>
        </is>
      </c>
    </row>
    <row r="278">
      <c r="A278" s="41" t="n">
        <v>46282</v>
      </c>
      <c r="B278" s="28" t="n">
        <v>0.74</v>
      </c>
      <c r="C278" s="28" t="n">
        <v>0.26</v>
      </c>
      <c r="D278" s="29">
        <f>IF(COUNT(B278:C278)=2,B278+C278,"")</f>
        <v/>
      </c>
      <c r="E278" s="30">
        <f>IF(ISNUMBER(B278),IFERROR(B278/$D278,""),"")</f>
        <v/>
      </c>
      <c r="F278" s="30">
        <f>IF(ISNUMBER(C278),IFERROR(C278/$D278,""),"")</f>
        <v/>
      </c>
      <c r="G278" s="31">
        <f>IF(COUNT(B278:C278)=2,B278-C278,"")</f>
        <v/>
      </c>
      <c r="H278" s="31">
        <f>IFERROR(IF(AND(ISNUMBER(B278),INDEX($B$25:$B278,MATCH($A278-7,$A$25:$A278,1))&lt;&gt;0,INDEX($A$25:$A278,MATCH($A278-7,$A$25:$A278,1))&lt;&gt;0,$A278-INDEX($A$25:$A278,MATCH($A278-7,$A$25:$A278,1))&lt;=10),B278-INDEX($B$25:$B278,MATCH($A278-7,$A$25:$A278,1)),""),"")</f>
        <v/>
      </c>
      <c r="I278" s="31">
        <f>IFERROR(IF(AND(ISNUMBER(B278),INDEX($B$25:$B278,MATCH($A278-30,$A$25:$A278,1))&lt;&gt;0,INDEX($A$25:$A278,MATCH($A278-30,$A$25:$A278,1))&lt;&gt;0,$A278-INDEX($A$25:$A278,MATCH($A278-30,$A$25:$A278,1))&lt;=33),B278-INDEX($B$25:$B278,MATCH($A278-30,$A$25:$A278,1)),""),"")</f>
        <v/>
      </c>
      <c r="J278" s="42">
        <f>DATE(2026,11,3)-A278</f>
        <v/>
      </c>
      <c r="K278" s="26" t="inlineStr">
        <is>
          <t>17 Sep</t>
        </is>
      </c>
    </row>
    <row r="279">
      <c r="A279" s="39" t="n">
        <v>46283</v>
      </c>
      <c r="B279" s="16" t="n">
        <v>0.79</v>
      </c>
      <c r="C279" s="16" t="n">
        <v>0.2</v>
      </c>
      <c r="D279" s="17">
        <f>IF(COUNT(B279:C279)=2,B279+C279,"")</f>
        <v/>
      </c>
      <c r="E279" s="20">
        <f>IF(ISNUMBER(B279),IFERROR(B279/$D279,""),"")</f>
        <v/>
      </c>
      <c r="F279" s="20">
        <f>IF(ISNUMBER(C279),IFERROR(C279/$D279,""),"")</f>
        <v/>
      </c>
      <c r="G279" s="18">
        <f>IF(COUNT(B279:C279)=2,B279-C279,"")</f>
        <v/>
      </c>
      <c r="H279" s="18">
        <f>IFERROR(IF(AND(ISNUMBER(B279),INDEX($B$25:$B279,MATCH($A279-7,$A$25:$A279,1))&lt;&gt;0,INDEX($A$25:$A279,MATCH($A279-7,$A$25:$A279,1))&lt;&gt;0,$A279-INDEX($A$25:$A279,MATCH($A279-7,$A$25:$A279,1))&lt;=10),B279-INDEX($B$25:$B279,MATCH($A279-7,$A$25:$A279,1)),""),"")</f>
        <v/>
      </c>
      <c r="I279" s="18">
        <f>IFERROR(IF(AND(ISNUMBER(B279),INDEX($B$25:$B279,MATCH($A279-30,$A$25:$A279,1))&lt;&gt;0,INDEX($A$25:$A279,MATCH($A279-30,$A$25:$A279,1))&lt;&gt;0,$A279-INDEX($A$25:$A279,MATCH($A279-30,$A$25:$A279,1))&lt;=33),B279-INDEX($B$25:$B279,MATCH($A279-30,$A$25:$A279,1)),""),"")</f>
        <v/>
      </c>
      <c r="J279" s="40">
        <f>DATE(2026,11,3)-A279</f>
        <v/>
      </c>
      <c r="K279" s="26" t="inlineStr">
        <is>
          <t>18 Sep</t>
        </is>
      </c>
    </row>
    <row r="280">
      <c r="A280" s="41" t="n">
        <v>46284</v>
      </c>
      <c r="B280" s="28" t="n">
        <v>0.785</v>
      </c>
      <c r="C280" s="28" t="n">
        <v>0.21</v>
      </c>
      <c r="D280" s="29">
        <f>IF(COUNT(B280:C280)=2,B280+C280,"")</f>
        <v/>
      </c>
      <c r="E280" s="30">
        <f>IF(ISNUMBER(B280),IFERROR(B280/$D280,""),"")</f>
        <v/>
      </c>
      <c r="F280" s="30">
        <f>IF(ISNUMBER(C280),IFERROR(C280/$D280,""),"")</f>
        <v/>
      </c>
      <c r="G280" s="31">
        <f>IF(COUNT(B280:C280)=2,B280-C280,"")</f>
        <v/>
      </c>
      <c r="H280" s="31">
        <f>IFERROR(IF(AND(ISNUMBER(B280),INDEX($B$25:$B280,MATCH($A280-7,$A$25:$A280,1))&lt;&gt;0,INDEX($A$25:$A280,MATCH($A280-7,$A$25:$A280,1))&lt;&gt;0,$A280-INDEX($A$25:$A280,MATCH($A280-7,$A$25:$A280,1))&lt;=10),B280-INDEX($B$25:$B280,MATCH($A280-7,$A$25:$A280,1)),""),"")</f>
        <v/>
      </c>
      <c r="I280" s="31">
        <f>IFERROR(IF(AND(ISNUMBER(B280),INDEX($B$25:$B280,MATCH($A280-30,$A$25:$A280,1))&lt;&gt;0,INDEX($A$25:$A280,MATCH($A280-30,$A$25:$A280,1))&lt;&gt;0,$A280-INDEX($A$25:$A280,MATCH($A280-30,$A$25:$A280,1))&lt;=33),B280-INDEX($B$25:$B280,MATCH($A280-30,$A$25:$A280,1)),""),"")</f>
        <v/>
      </c>
      <c r="J280" s="42">
        <f>DATE(2026,11,3)-A280</f>
        <v/>
      </c>
      <c r="K280" s="26" t="inlineStr">
        <is>
          <t>19 Sep</t>
        </is>
      </c>
    </row>
    <row r="281">
      <c r="A281" s="39" t="n">
        <v>46285</v>
      </c>
      <c r="B281" s="16" t="n">
        <v>0.795</v>
      </c>
      <c r="C281" s="16" t="n">
        <v>0.205</v>
      </c>
      <c r="D281" s="17">
        <f>IF(COUNT(B281:C281)=2,B281+C281,"")</f>
        <v/>
      </c>
      <c r="E281" s="20">
        <f>IF(ISNUMBER(B281),IFERROR(B281/$D281,""),"")</f>
        <v/>
      </c>
      <c r="F281" s="20">
        <f>IF(ISNUMBER(C281),IFERROR(C281/$D281,""),"")</f>
        <v/>
      </c>
      <c r="G281" s="18">
        <f>IF(COUNT(B281:C281)=2,B281-C281,"")</f>
        <v/>
      </c>
      <c r="H281" s="18">
        <f>IFERROR(IF(AND(ISNUMBER(B281),INDEX($B$25:$B281,MATCH($A281-7,$A$25:$A281,1))&lt;&gt;0,INDEX($A$25:$A281,MATCH($A281-7,$A$25:$A281,1))&lt;&gt;0,$A281-INDEX($A$25:$A281,MATCH($A281-7,$A$25:$A281,1))&lt;=10),B281-INDEX($B$25:$B281,MATCH($A281-7,$A$25:$A281,1)),""),"")</f>
        <v/>
      </c>
      <c r="I281" s="18">
        <f>IFERROR(IF(AND(ISNUMBER(B281),INDEX($B$25:$B281,MATCH($A281-30,$A$25:$A281,1))&lt;&gt;0,INDEX($A$25:$A281,MATCH($A281-30,$A$25:$A281,1))&lt;&gt;0,$A281-INDEX($A$25:$A281,MATCH($A281-30,$A$25:$A281,1))&lt;=33),B281-INDEX($B$25:$B281,MATCH($A281-30,$A$25:$A281,1)),""),"")</f>
        <v/>
      </c>
      <c r="J281" s="40">
        <f>DATE(2026,11,3)-A281</f>
        <v/>
      </c>
      <c r="K281" s="26" t="inlineStr">
        <is>
          <t>20 Sep</t>
        </is>
      </c>
    </row>
    <row r="282">
      <c r="A282" s="41" t="n">
        <v>46286</v>
      </c>
      <c r="B282" s="28" t="n">
        <v>0.79</v>
      </c>
      <c r="C282" s="28" t="n">
        <v>0.205</v>
      </c>
      <c r="D282" s="29">
        <f>IF(COUNT(B282:C282)=2,B282+C282,"")</f>
        <v/>
      </c>
      <c r="E282" s="30">
        <f>IF(ISNUMBER(B282),IFERROR(B282/$D282,""),"")</f>
        <v/>
      </c>
      <c r="F282" s="30">
        <f>IF(ISNUMBER(C282),IFERROR(C282/$D282,""),"")</f>
        <v/>
      </c>
      <c r="G282" s="31">
        <f>IF(COUNT(B282:C282)=2,B282-C282,"")</f>
        <v/>
      </c>
      <c r="H282" s="31">
        <f>IFERROR(IF(AND(ISNUMBER(B282),INDEX($B$25:$B282,MATCH($A282-7,$A$25:$A282,1))&lt;&gt;0,INDEX($A$25:$A282,MATCH($A282-7,$A$25:$A282,1))&lt;&gt;0,$A282-INDEX($A$25:$A282,MATCH($A282-7,$A$25:$A282,1))&lt;=10),B282-INDEX($B$25:$B282,MATCH($A282-7,$A$25:$A282,1)),""),"")</f>
        <v/>
      </c>
      <c r="I282" s="31">
        <f>IFERROR(IF(AND(ISNUMBER(B282),INDEX($B$25:$B282,MATCH($A282-30,$A$25:$A282,1))&lt;&gt;0,INDEX($A$25:$A282,MATCH($A282-30,$A$25:$A282,1))&lt;&gt;0,$A282-INDEX($A$25:$A282,MATCH($A282-30,$A$25:$A282,1))&lt;=33),B282-INDEX($B$25:$B282,MATCH($A282-30,$A$25:$A282,1)),""),"")</f>
        <v/>
      </c>
      <c r="J282" s="42">
        <f>DATE(2026,11,3)-A282</f>
        <v/>
      </c>
      <c r="K282" s="26" t="inlineStr">
        <is>
          <t>21 Sep</t>
        </is>
      </c>
    </row>
    <row r="283">
      <c r="A283" s="39" t="n">
        <v>46287</v>
      </c>
      <c r="B283" s="16" t="n">
        <v>0.795</v>
      </c>
      <c r="C283" s="16" t="n">
        <v>0.205</v>
      </c>
      <c r="D283" s="17">
        <f>IF(COUNT(B283:C283)=2,B283+C283,"")</f>
        <v/>
      </c>
      <c r="E283" s="20">
        <f>IF(ISNUMBER(B283),IFERROR(B283/$D283,""),"")</f>
        <v/>
      </c>
      <c r="F283" s="20">
        <f>IF(ISNUMBER(C283),IFERROR(C283/$D283,""),"")</f>
        <v/>
      </c>
      <c r="G283" s="18">
        <f>IF(COUNT(B283:C283)=2,B283-C283,"")</f>
        <v/>
      </c>
      <c r="H283" s="18">
        <f>IFERROR(IF(AND(ISNUMBER(B283),INDEX($B$25:$B283,MATCH($A283-7,$A$25:$A283,1))&lt;&gt;0,INDEX($A$25:$A283,MATCH($A283-7,$A$25:$A283,1))&lt;&gt;0,$A283-INDEX($A$25:$A283,MATCH($A283-7,$A$25:$A283,1))&lt;=10),B283-INDEX($B$25:$B283,MATCH($A283-7,$A$25:$A283,1)),""),"")</f>
        <v/>
      </c>
      <c r="I283" s="18">
        <f>IFERROR(IF(AND(ISNUMBER(B283),INDEX($B$25:$B283,MATCH($A283-30,$A$25:$A283,1))&lt;&gt;0,INDEX($A$25:$A283,MATCH($A283-30,$A$25:$A283,1))&lt;&gt;0,$A283-INDEX($A$25:$A283,MATCH($A283-30,$A$25:$A283,1))&lt;=33),B283-INDEX($B$25:$B283,MATCH($A283-30,$A$25:$A283,1)),""),"")</f>
        <v/>
      </c>
      <c r="J283" s="40">
        <f>DATE(2026,11,3)-A283</f>
        <v/>
      </c>
      <c r="K283" s="26" t="inlineStr">
        <is>
          <t>22 Sep</t>
        </is>
      </c>
    </row>
    <row r="284">
      <c r="A284" s="41" t="n">
        <v>46288</v>
      </c>
      <c r="B284" s="28" t="n">
        <v>0.795</v>
      </c>
      <c r="C284" s="28" t="n">
        <v>0.205</v>
      </c>
      <c r="D284" s="29">
        <f>IF(COUNT(B284:C284)=2,B284+C284,"")</f>
        <v/>
      </c>
      <c r="E284" s="30">
        <f>IF(ISNUMBER(B284),IFERROR(B284/$D284,""),"")</f>
        <v/>
      </c>
      <c r="F284" s="30">
        <f>IF(ISNUMBER(C284),IFERROR(C284/$D284,""),"")</f>
        <v/>
      </c>
      <c r="G284" s="31">
        <f>IF(COUNT(B284:C284)=2,B284-C284,"")</f>
        <v/>
      </c>
      <c r="H284" s="31">
        <f>IFERROR(IF(AND(ISNUMBER(B284),INDEX($B$25:$B284,MATCH($A284-7,$A$25:$A284,1))&lt;&gt;0,INDEX($A$25:$A284,MATCH($A284-7,$A$25:$A284,1))&lt;&gt;0,$A284-INDEX($A$25:$A284,MATCH($A284-7,$A$25:$A284,1))&lt;=10),B284-INDEX($B$25:$B284,MATCH($A284-7,$A$25:$A284,1)),""),"")</f>
        <v/>
      </c>
      <c r="I284" s="31">
        <f>IFERROR(IF(AND(ISNUMBER(B284),INDEX($B$25:$B284,MATCH($A284-30,$A$25:$A284,1))&lt;&gt;0,INDEX($A$25:$A284,MATCH($A284-30,$A$25:$A284,1))&lt;&gt;0,$A284-INDEX($A$25:$A284,MATCH($A284-30,$A$25:$A284,1))&lt;=33),B284-INDEX($B$25:$B284,MATCH($A284-30,$A$25:$A284,1)),""),"")</f>
        <v/>
      </c>
      <c r="J284" s="42">
        <f>DATE(2026,11,3)-A284</f>
        <v/>
      </c>
      <c r="K284" s="26" t="inlineStr">
        <is>
          <t>23 Sep</t>
        </is>
      </c>
    </row>
    <row r="285">
      <c r="A285" s="39" t="n">
        <v>46289</v>
      </c>
      <c r="B285" s="16" t="n">
        <v>0.795</v>
      </c>
      <c r="C285" s="16" t="n">
        <v>0.205</v>
      </c>
      <c r="D285" s="17">
        <f>IF(COUNT(B285:C285)=2,B285+C285,"")</f>
        <v/>
      </c>
      <c r="E285" s="20">
        <f>IF(ISNUMBER(B285),IFERROR(B285/$D285,""),"")</f>
        <v/>
      </c>
      <c r="F285" s="20">
        <f>IF(ISNUMBER(C285),IFERROR(C285/$D285,""),"")</f>
        <v/>
      </c>
      <c r="G285" s="18">
        <f>IF(COUNT(B285:C285)=2,B285-C285,"")</f>
        <v/>
      </c>
      <c r="H285" s="18">
        <f>IFERROR(IF(AND(ISNUMBER(B285),INDEX($B$25:$B285,MATCH($A285-7,$A$25:$A285,1))&lt;&gt;0,INDEX($A$25:$A285,MATCH($A285-7,$A$25:$A285,1))&lt;&gt;0,$A285-INDEX($A$25:$A285,MATCH($A285-7,$A$25:$A285,1))&lt;=10),B285-INDEX($B$25:$B285,MATCH($A285-7,$A$25:$A285,1)),""),"")</f>
        <v/>
      </c>
      <c r="I285" s="18">
        <f>IFERROR(IF(AND(ISNUMBER(B285),INDEX($B$25:$B285,MATCH($A285-30,$A$25:$A285,1))&lt;&gt;0,INDEX($A$25:$A285,MATCH($A285-30,$A$25:$A285,1))&lt;&gt;0,$A285-INDEX($A$25:$A285,MATCH($A285-30,$A$25:$A285,1))&lt;=33),B285-INDEX($B$25:$B285,MATCH($A285-30,$A$25:$A285,1)),""),"")</f>
        <v/>
      </c>
      <c r="J285" s="40">
        <f>DATE(2026,11,3)-A285</f>
        <v/>
      </c>
      <c r="K285" s="26" t="inlineStr">
        <is>
          <t>24 Sep</t>
        </is>
      </c>
    </row>
    <row r="286">
      <c r="A286" s="41" t="n">
        <v>46290</v>
      </c>
      <c r="B286" s="28" t="n">
        <v>0.795</v>
      </c>
      <c r="C286" s="28" t="n">
        <v>0.205</v>
      </c>
      <c r="D286" s="29">
        <f>IF(COUNT(B286:C286)=2,B286+C286,"")</f>
        <v/>
      </c>
      <c r="E286" s="30">
        <f>IF(ISNUMBER(B286),IFERROR(B286/$D286,""),"")</f>
        <v/>
      </c>
      <c r="F286" s="30">
        <f>IF(ISNUMBER(C286),IFERROR(C286/$D286,""),"")</f>
        <v/>
      </c>
      <c r="G286" s="31">
        <f>IF(COUNT(B286:C286)=2,B286-C286,"")</f>
        <v/>
      </c>
      <c r="H286" s="31">
        <f>IFERROR(IF(AND(ISNUMBER(B286),INDEX($B$25:$B286,MATCH($A286-7,$A$25:$A286,1))&lt;&gt;0,INDEX($A$25:$A286,MATCH($A286-7,$A$25:$A286,1))&lt;&gt;0,$A286-INDEX($A$25:$A286,MATCH($A286-7,$A$25:$A286,1))&lt;=10),B286-INDEX($B$25:$B286,MATCH($A286-7,$A$25:$A286,1)),""),"")</f>
        <v/>
      </c>
      <c r="I286" s="31">
        <f>IFERROR(IF(AND(ISNUMBER(B286),INDEX($B$25:$B286,MATCH($A286-30,$A$25:$A286,1))&lt;&gt;0,INDEX($A$25:$A286,MATCH($A286-30,$A$25:$A286,1))&lt;&gt;0,$A286-INDEX($A$25:$A286,MATCH($A286-30,$A$25:$A286,1))&lt;=33),B286-INDEX($B$25:$B286,MATCH($A286-30,$A$25:$A286,1)),""),"")</f>
        <v/>
      </c>
      <c r="J286" s="42">
        <f>DATE(2026,11,3)-A286</f>
        <v/>
      </c>
      <c r="K286" s="26" t="inlineStr">
        <is>
          <t>25 Sep</t>
        </is>
      </c>
    </row>
    <row r="287">
      <c r="A287" s="39" t="n">
        <v>46291</v>
      </c>
      <c r="B287" s="16" t="n">
        <v>0.8149999999999999</v>
      </c>
      <c r="C287" s="16" t="n">
        <v>0.17</v>
      </c>
      <c r="D287" s="17">
        <f>IF(COUNT(B287:C287)=2,B287+C287,"")</f>
        <v/>
      </c>
      <c r="E287" s="20">
        <f>IF(ISNUMBER(B287),IFERROR(B287/$D287,""),"")</f>
        <v/>
      </c>
      <c r="F287" s="20">
        <f>IF(ISNUMBER(C287),IFERROR(C287/$D287,""),"")</f>
        <v/>
      </c>
      <c r="G287" s="18">
        <f>IF(COUNT(B287:C287)=2,B287-C287,"")</f>
        <v/>
      </c>
      <c r="H287" s="18">
        <f>IFERROR(IF(AND(ISNUMBER(B287),INDEX($B$25:$B287,MATCH($A287-7,$A$25:$A287,1))&lt;&gt;0,INDEX($A$25:$A287,MATCH($A287-7,$A$25:$A287,1))&lt;&gt;0,$A287-INDEX($A$25:$A287,MATCH($A287-7,$A$25:$A287,1))&lt;=10),B287-INDEX($B$25:$B287,MATCH($A287-7,$A$25:$A287,1)),""),"")</f>
        <v/>
      </c>
      <c r="I287" s="18">
        <f>IFERROR(IF(AND(ISNUMBER(B287),INDEX($B$25:$B287,MATCH($A287-30,$A$25:$A287,1))&lt;&gt;0,INDEX($A$25:$A287,MATCH($A287-30,$A$25:$A287,1))&lt;&gt;0,$A287-INDEX($A$25:$A287,MATCH($A287-30,$A$25:$A287,1))&lt;=33),B287-INDEX($B$25:$B287,MATCH($A287-30,$A$25:$A287,1)),""),"")</f>
        <v/>
      </c>
      <c r="J287" s="40">
        <f>DATE(2026,11,3)-A287</f>
        <v/>
      </c>
      <c r="K287" s="26" t="inlineStr">
        <is>
          <t>26 Sep</t>
        </is>
      </c>
    </row>
    <row r="288">
      <c r="A288" s="41" t="n">
        <v>46292</v>
      </c>
      <c r="B288" s="28" t="n">
        <v>0.8149999999999999</v>
      </c>
      <c r="C288" s="28" t="n">
        <v>0.165</v>
      </c>
      <c r="D288" s="29">
        <f>IF(COUNT(B288:C288)=2,B288+C288,"")</f>
        <v/>
      </c>
      <c r="E288" s="30">
        <f>IF(ISNUMBER(B288),IFERROR(B288/$D288,""),"")</f>
        <v/>
      </c>
      <c r="F288" s="30">
        <f>IF(ISNUMBER(C288),IFERROR(C288/$D288,""),"")</f>
        <v/>
      </c>
      <c r="G288" s="31">
        <f>IF(COUNT(B288:C288)=2,B288-C288,"")</f>
        <v/>
      </c>
      <c r="H288" s="31">
        <f>IFERROR(IF(AND(ISNUMBER(B288),INDEX($B$25:$B288,MATCH($A288-7,$A$25:$A288,1))&lt;&gt;0,INDEX($A$25:$A288,MATCH($A288-7,$A$25:$A288,1))&lt;&gt;0,$A288-INDEX($A$25:$A288,MATCH($A288-7,$A$25:$A288,1))&lt;=10),B288-INDEX($B$25:$B288,MATCH($A288-7,$A$25:$A288,1)),""),"")</f>
        <v/>
      </c>
      <c r="I288" s="31">
        <f>IFERROR(IF(AND(ISNUMBER(B288),INDEX($B$25:$B288,MATCH($A288-30,$A$25:$A288,1))&lt;&gt;0,INDEX($A$25:$A288,MATCH($A288-30,$A$25:$A288,1))&lt;&gt;0,$A288-INDEX($A$25:$A288,MATCH($A288-30,$A$25:$A288,1))&lt;=33),B288-INDEX($B$25:$B288,MATCH($A288-30,$A$25:$A288,1)),""),"")</f>
        <v/>
      </c>
      <c r="J288" s="42">
        <f>DATE(2026,11,3)-A288</f>
        <v/>
      </c>
      <c r="K288" s="26" t="inlineStr">
        <is>
          <t>27 Sep</t>
        </is>
      </c>
    </row>
    <row r="289">
      <c r="A289" s="39" t="n">
        <v>46293</v>
      </c>
      <c r="B289" s="16" t="n">
        <v>0.8149999999999999</v>
      </c>
      <c r="C289" s="16" t="n">
        <v>0.165</v>
      </c>
      <c r="D289" s="17">
        <f>IF(COUNT(B289:C289)=2,B289+C289,"")</f>
        <v/>
      </c>
      <c r="E289" s="20">
        <f>IF(ISNUMBER(B289),IFERROR(B289/$D289,""),"")</f>
        <v/>
      </c>
      <c r="F289" s="20">
        <f>IF(ISNUMBER(C289),IFERROR(C289/$D289,""),"")</f>
        <v/>
      </c>
      <c r="G289" s="18">
        <f>IF(COUNT(B289:C289)=2,B289-C289,"")</f>
        <v/>
      </c>
      <c r="H289" s="18">
        <f>IFERROR(IF(AND(ISNUMBER(B289),INDEX($B$25:$B289,MATCH($A289-7,$A$25:$A289,1))&lt;&gt;0,INDEX($A$25:$A289,MATCH($A289-7,$A$25:$A289,1))&lt;&gt;0,$A289-INDEX($A$25:$A289,MATCH($A289-7,$A$25:$A289,1))&lt;=10),B289-INDEX($B$25:$B289,MATCH($A289-7,$A$25:$A289,1)),""),"")</f>
        <v/>
      </c>
      <c r="I289" s="18">
        <f>IFERROR(IF(AND(ISNUMBER(B289),INDEX($B$25:$B289,MATCH($A289-30,$A$25:$A289,1))&lt;&gt;0,INDEX($A$25:$A289,MATCH($A289-30,$A$25:$A289,1))&lt;&gt;0,$A289-INDEX($A$25:$A289,MATCH($A289-30,$A$25:$A289,1))&lt;=33),B289-INDEX($B$25:$B289,MATCH($A289-30,$A$25:$A289,1)),""),"")</f>
        <v/>
      </c>
      <c r="J289" s="40">
        <f>DATE(2026,11,3)-A289</f>
        <v/>
      </c>
      <c r="K289" s="26" t="inlineStr">
        <is>
          <t>28 Sep</t>
        </is>
      </c>
    </row>
    <row r="290">
      <c r="A290" s="41" t="n">
        <v>46294</v>
      </c>
      <c r="B290" s="28" t="n">
        <v>0.8149999999999999</v>
      </c>
      <c r="C290" s="28" t="n">
        <v>0.165</v>
      </c>
      <c r="D290" s="29">
        <f>IF(COUNT(B290:C290)=2,B290+C290,"")</f>
        <v/>
      </c>
      <c r="E290" s="30">
        <f>IF(ISNUMBER(B290),IFERROR(B290/$D290,""),"")</f>
        <v/>
      </c>
      <c r="F290" s="30">
        <f>IF(ISNUMBER(C290),IFERROR(C290/$D290,""),"")</f>
        <v/>
      </c>
      <c r="G290" s="31">
        <f>IF(COUNT(B290:C290)=2,B290-C290,"")</f>
        <v/>
      </c>
      <c r="H290" s="31">
        <f>IFERROR(IF(AND(ISNUMBER(B290),INDEX($B$25:$B290,MATCH($A290-7,$A$25:$A290,1))&lt;&gt;0,INDEX($A$25:$A290,MATCH($A290-7,$A$25:$A290,1))&lt;&gt;0,$A290-INDEX($A$25:$A290,MATCH($A290-7,$A$25:$A290,1))&lt;=10),B290-INDEX($B$25:$B290,MATCH($A290-7,$A$25:$A290,1)),""),"")</f>
        <v/>
      </c>
      <c r="I290" s="31">
        <f>IFERROR(IF(AND(ISNUMBER(B290),INDEX($B$25:$B290,MATCH($A290-30,$A$25:$A290,1))&lt;&gt;0,INDEX($A$25:$A290,MATCH($A290-30,$A$25:$A290,1))&lt;&gt;0,$A290-INDEX($A$25:$A290,MATCH($A290-30,$A$25:$A290,1))&lt;=33),B290-INDEX($B$25:$B290,MATCH($A290-30,$A$25:$A290,1)),""),"")</f>
        <v/>
      </c>
      <c r="J290" s="42">
        <f>DATE(2026,11,3)-A290</f>
        <v/>
      </c>
      <c r="K290" s="26" t="inlineStr">
        <is>
          <t>29 Sep</t>
        </is>
      </c>
    </row>
    <row r="291">
      <c r="A291" s="39" t="n">
        <v>46295</v>
      </c>
      <c r="B291" s="16" t="n">
        <v>0.8149999999999999</v>
      </c>
      <c r="C291" s="16" t="n">
        <v>0.145</v>
      </c>
      <c r="D291" s="17">
        <f>IF(COUNT(B291:C291)=2,B291+C291,"")</f>
        <v/>
      </c>
      <c r="E291" s="20">
        <f>IF(ISNUMBER(B291),IFERROR(B291/$D291,""),"")</f>
        <v/>
      </c>
      <c r="F291" s="20">
        <f>IF(ISNUMBER(C291),IFERROR(C291/$D291,""),"")</f>
        <v/>
      </c>
      <c r="G291" s="18">
        <f>IF(COUNT(B291:C291)=2,B291-C291,"")</f>
        <v/>
      </c>
      <c r="H291" s="18">
        <f>IFERROR(IF(AND(ISNUMBER(B291),INDEX($B$25:$B291,MATCH($A291-7,$A$25:$A291,1))&lt;&gt;0,INDEX($A$25:$A291,MATCH($A291-7,$A$25:$A291,1))&lt;&gt;0,$A291-INDEX($A$25:$A291,MATCH($A291-7,$A$25:$A291,1))&lt;=10),B291-INDEX($B$25:$B291,MATCH($A291-7,$A$25:$A291,1)),""),"")</f>
        <v/>
      </c>
      <c r="I291" s="18">
        <f>IFERROR(IF(AND(ISNUMBER(B291),INDEX($B$25:$B291,MATCH($A291-30,$A$25:$A291,1))&lt;&gt;0,INDEX($A$25:$A291,MATCH($A291-30,$A$25:$A291,1))&lt;&gt;0,$A291-INDEX($A$25:$A291,MATCH($A291-30,$A$25:$A291,1))&lt;=33),B291-INDEX($B$25:$B291,MATCH($A291-30,$A$25:$A291,1)),""),"")</f>
        <v/>
      </c>
      <c r="J291" s="40">
        <f>DATE(2026,11,3)-A291</f>
        <v/>
      </c>
      <c r="K291" s="26" t="inlineStr">
        <is>
          <t>30 Sep</t>
        </is>
      </c>
    </row>
    <row r="292">
      <c r="A292" s="41" t="n">
        <v>46296</v>
      </c>
      <c r="B292" s="28" t="n">
        <v>0.85</v>
      </c>
      <c r="C292" s="28" t="n">
        <v>0.145</v>
      </c>
      <c r="D292" s="29">
        <f>IF(COUNT(B292:C292)=2,B292+C292,"")</f>
        <v/>
      </c>
      <c r="E292" s="30">
        <f>IF(ISNUMBER(B292),IFERROR(B292/$D292,""),"")</f>
        <v/>
      </c>
      <c r="F292" s="30">
        <f>IF(ISNUMBER(C292),IFERROR(C292/$D292,""),"")</f>
        <v/>
      </c>
      <c r="G292" s="31">
        <f>IF(COUNT(B292:C292)=2,B292-C292,"")</f>
        <v/>
      </c>
      <c r="H292" s="31">
        <f>IFERROR(IF(AND(ISNUMBER(B292),INDEX($B$25:$B292,MATCH($A292-7,$A$25:$A292,1))&lt;&gt;0,INDEX($A$25:$A292,MATCH($A292-7,$A$25:$A292,1))&lt;&gt;0,$A292-INDEX($A$25:$A292,MATCH($A292-7,$A$25:$A292,1))&lt;=10),B292-INDEX($B$25:$B292,MATCH($A292-7,$A$25:$A292,1)),""),"")</f>
        <v/>
      </c>
      <c r="I292" s="31">
        <f>IFERROR(IF(AND(ISNUMBER(B292),INDEX($B$25:$B292,MATCH($A292-30,$A$25:$A292,1))&lt;&gt;0,INDEX($A$25:$A292,MATCH($A292-30,$A$25:$A292,1))&lt;&gt;0,$A292-INDEX($A$25:$A292,MATCH($A292-30,$A$25:$A292,1))&lt;=33),B292-INDEX($B$25:$B292,MATCH($A292-30,$A$25:$A292,1)),""),"")</f>
        <v/>
      </c>
      <c r="J292" s="42">
        <f>DATE(2026,11,3)-A292</f>
        <v/>
      </c>
      <c r="K292" s="26" t="inlineStr">
        <is>
          <t>01 Oct</t>
        </is>
      </c>
    </row>
    <row r="293">
      <c r="A293" s="39" t="n">
        <v>46297</v>
      </c>
      <c r="B293" s="16" t="n">
        <v>0.84</v>
      </c>
      <c r="C293" s="16" t="n">
        <v>0.155</v>
      </c>
      <c r="D293" s="17">
        <f>IF(COUNT(B293:C293)=2,B293+C293,"")</f>
        <v/>
      </c>
      <c r="E293" s="20">
        <f>IF(ISNUMBER(B293),IFERROR(B293/$D293,""),"")</f>
        <v/>
      </c>
      <c r="F293" s="20">
        <f>IF(ISNUMBER(C293),IFERROR(C293/$D293,""),"")</f>
        <v/>
      </c>
      <c r="G293" s="18">
        <f>IF(COUNT(B293:C293)=2,B293-C293,"")</f>
        <v/>
      </c>
      <c r="H293" s="18">
        <f>IFERROR(IF(AND(ISNUMBER(B293),INDEX($B$25:$B293,MATCH($A293-7,$A$25:$A293,1))&lt;&gt;0,INDEX($A$25:$A293,MATCH($A293-7,$A$25:$A293,1))&lt;&gt;0,$A293-INDEX($A$25:$A293,MATCH($A293-7,$A$25:$A293,1))&lt;=10),B293-INDEX($B$25:$B293,MATCH($A293-7,$A$25:$A293,1)),""),"")</f>
        <v/>
      </c>
      <c r="I293" s="18">
        <f>IFERROR(IF(AND(ISNUMBER(B293),INDEX($B$25:$B293,MATCH($A293-30,$A$25:$A293,1))&lt;&gt;0,INDEX($A$25:$A293,MATCH($A293-30,$A$25:$A293,1))&lt;&gt;0,$A293-INDEX($A$25:$A293,MATCH($A293-30,$A$25:$A293,1))&lt;=33),B293-INDEX($B$25:$B293,MATCH($A293-30,$A$25:$A293,1)),""),"")</f>
        <v/>
      </c>
      <c r="J293" s="40">
        <f>DATE(2026,11,3)-A293</f>
        <v/>
      </c>
      <c r="K293" s="26" t="inlineStr">
        <is>
          <t>02 Oct</t>
        </is>
      </c>
    </row>
    <row r="294">
      <c r="A294" s="41" t="n">
        <v>46298</v>
      </c>
      <c r="B294" s="28" t="n">
        <v>0.835</v>
      </c>
      <c r="C294" s="28" t="n">
        <v>0.14</v>
      </c>
      <c r="D294" s="29">
        <f>IF(COUNT(B294:C294)=2,B294+C294,"")</f>
        <v/>
      </c>
      <c r="E294" s="30">
        <f>IF(ISNUMBER(B294),IFERROR(B294/$D294,""),"")</f>
        <v/>
      </c>
      <c r="F294" s="30">
        <f>IF(ISNUMBER(C294),IFERROR(C294/$D294,""),"")</f>
        <v/>
      </c>
      <c r="G294" s="31">
        <f>IF(COUNT(B294:C294)=2,B294-C294,"")</f>
        <v/>
      </c>
      <c r="H294" s="31">
        <f>IFERROR(IF(AND(ISNUMBER(B294),INDEX($B$25:$B294,MATCH($A294-7,$A$25:$A294,1))&lt;&gt;0,INDEX($A$25:$A294,MATCH($A294-7,$A$25:$A294,1))&lt;&gt;0,$A294-INDEX($A$25:$A294,MATCH($A294-7,$A$25:$A294,1))&lt;=10),B294-INDEX($B$25:$B294,MATCH($A294-7,$A$25:$A294,1)),""),"")</f>
        <v/>
      </c>
      <c r="I294" s="31">
        <f>IFERROR(IF(AND(ISNUMBER(B294),INDEX($B$25:$B294,MATCH($A294-30,$A$25:$A294,1))&lt;&gt;0,INDEX($A$25:$A294,MATCH($A294-30,$A$25:$A294,1))&lt;&gt;0,$A294-INDEX($A$25:$A294,MATCH($A294-30,$A$25:$A294,1))&lt;=33),B294-INDEX($B$25:$B294,MATCH($A294-30,$A$25:$A294,1)),""),"")</f>
        <v/>
      </c>
      <c r="J294" s="42">
        <f>DATE(2026,11,3)-A294</f>
        <v/>
      </c>
      <c r="K294" s="26" t="inlineStr">
        <is>
          <t>03 Oct</t>
        </is>
      </c>
    </row>
    <row r="295">
      <c r="A295" s="39" t="n">
        <v>46299</v>
      </c>
      <c r="B295" s="16" t="n">
        <v>0.835</v>
      </c>
      <c r="C295" s="16" t="n">
        <v>0.135</v>
      </c>
      <c r="D295" s="17">
        <f>IF(COUNT(B295:C295)=2,B295+C295,"")</f>
        <v/>
      </c>
      <c r="E295" s="20">
        <f>IF(ISNUMBER(B295),IFERROR(B295/$D295,""),"")</f>
        <v/>
      </c>
      <c r="F295" s="20">
        <f>IF(ISNUMBER(C295),IFERROR(C295/$D295,""),"")</f>
        <v/>
      </c>
      <c r="G295" s="18">
        <f>IF(COUNT(B295:C295)=2,B295-C295,"")</f>
        <v/>
      </c>
      <c r="H295" s="18">
        <f>IFERROR(IF(AND(ISNUMBER(B295),INDEX($B$25:$B295,MATCH($A295-7,$A$25:$A295,1))&lt;&gt;0,INDEX($A$25:$A295,MATCH($A295-7,$A$25:$A295,1))&lt;&gt;0,$A295-INDEX($A$25:$A295,MATCH($A295-7,$A$25:$A295,1))&lt;=10),B295-INDEX($B$25:$B295,MATCH($A295-7,$A$25:$A295,1)),""),"")</f>
        <v/>
      </c>
      <c r="I295" s="18">
        <f>IFERROR(IF(AND(ISNUMBER(B295),INDEX($B$25:$B295,MATCH($A295-30,$A$25:$A295,1))&lt;&gt;0,INDEX($A$25:$A295,MATCH($A295-30,$A$25:$A295,1))&lt;&gt;0,$A295-INDEX($A$25:$A295,MATCH($A295-30,$A$25:$A295,1))&lt;=33),B295-INDEX($B$25:$B295,MATCH($A295-30,$A$25:$A295,1)),""),"")</f>
        <v/>
      </c>
      <c r="J295" s="40">
        <f>DATE(2026,11,3)-A295</f>
        <v/>
      </c>
      <c r="K295" s="26" t="inlineStr">
        <is>
          <t>04 Oct</t>
        </is>
      </c>
    </row>
    <row r="296">
      <c r="A296" s="41" t="n">
        <v>46300</v>
      </c>
      <c r="B296" s="28" t="n">
        <v>0.835</v>
      </c>
      <c r="C296" s="28" t="n">
        <v>0.135</v>
      </c>
      <c r="D296" s="29">
        <f>IF(COUNT(B296:C296)=2,B296+C296,"")</f>
        <v/>
      </c>
      <c r="E296" s="30">
        <f>IF(ISNUMBER(B296),IFERROR(B296/$D296,""),"")</f>
        <v/>
      </c>
      <c r="F296" s="30">
        <f>IF(ISNUMBER(C296),IFERROR(C296/$D296,""),"")</f>
        <v/>
      </c>
      <c r="G296" s="31">
        <f>IF(COUNT(B296:C296)=2,B296-C296,"")</f>
        <v/>
      </c>
      <c r="H296" s="31">
        <f>IFERROR(IF(AND(ISNUMBER(B296),INDEX($B$25:$B296,MATCH($A296-7,$A$25:$A296,1))&lt;&gt;0,INDEX($A$25:$A296,MATCH($A296-7,$A$25:$A296,1))&lt;&gt;0,$A296-INDEX($A$25:$A296,MATCH($A296-7,$A$25:$A296,1))&lt;=10),B296-INDEX($B$25:$B296,MATCH($A296-7,$A$25:$A296,1)),""),"")</f>
        <v/>
      </c>
      <c r="I296" s="31">
        <f>IFERROR(IF(AND(ISNUMBER(B296),INDEX($B$25:$B296,MATCH($A296-30,$A$25:$A296,1))&lt;&gt;0,INDEX($A$25:$A296,MATCH($A296-30,$A$25:$A296,1))&lt;&gt;0,$A296-INDEX($A$25:$A296,MATCH($A296-30,$A$25:$A296,1))&lt;=33),B296-INDEX($B$25:$B296,MATCH($A296-30,$A$25:$A296,1)),""),"")</f>
        <v/>
      </c>
      <c r="J296" s="42">
        <f>DATE(2026,11,3)-A296</f>
        <v/>
      </c>
      <c r="K296" s="26" t="inlineStr">
        <is>
          <t>05 Oct</t>
        </is>
      </c>
    </row>
    <row r="297">
      <c r="A297" s="39" t="n">
        <v>46301</v>
      </c>
      <c r="B297" s="16" t="n">
        <v>0.835</v>
      </c>
      <c r="C297" s="16" t="n">
        <v>0.135</v>
      </c>
      <c r="D297" s="17">
        <f>IF(COUNT(B297:C297)=2,B297+C297,"")</f>
        <v/>
      </c>
      <c r="E297" s="20">
        <f>IF(ISNUMBER(B297),IFERROR(B297/$D297,""),"")</f>
        <v/>
      </c>
      <c r="F297" s="20">
        <f>IF(ISNUMBER(C297),IFERROR(C297/$D297,""),"")</f>
        <v/>
      </c>
      <c r="G297" s="18">
        <f>IF(COUNT(B297:C297)=2,B297-C297,"")</f>
        <v/>
      </c>
      <c r="H297" s="18">
        <f>IFERROR(IF(AND(ISNUMBER(B297),INDEX($B$25:$B297,MATCH($A297-7,$A$25:$A297,1))&lt;&gt;0,INDEX($A$25:$A297,MATCH($A297-7,$A$25:$A297,1))&lt;&gt;0,$A297-INDEX($A$25:$A297,MATCH($A297-7,$A$25:$A297,1))&lt;=10),B297-INDEX($B$25:$B297,MATCH($A297-7,$A$25:$A297,1)),""),"")</f>
        <v/>
      </c>
      <c r="I297" s="18">
        <f>IFERROR(IF(AND(ISNUMBER(B297),INDEX($B$25:$B297,MATCH($A297-30,$A$25:$A297,1))&lt;&gt;0,INDEX($A$25:$A297,MATCH($A297-30,$A$25:$A297,1))&lt;&gt;0,$A297-INDEX($A$25:$A297,MATCH($A297-30,$A$25:$A297,1))&lt;=33),B297-INDEX($B$25:$B297,MATCH($A297-30,$A$25:$A297,1)),""),"")</f>
        <v/>
      </c>
      <c r="J297" s="40">
        <f>DATE(2026,11,3)-A297</f>
        <v/>
      </c>
      <c r="K297" s="26" t="inlineStr">
        <is>
          <t>06 Oct</t>
        </is>
      </c>
    </row>
    <row r="298">
      <c r="A298" s="41" t="n">
        <v>46302</v>
      </c>
      <c r="B298" s="28" t="n">
        <v>0.85</v>
      </c>
      <c r="C298" s="28" t="n">
        <v>0.135</v>
      </c>
      <c r="D298" s="29">
        <f>IF(COUNT(B298:C298)=2,B298+C298,"")</f>
        <v/>
      </c>
      <c r="E298" s="30">
        <f>IF(ISNUMBER(B298),IFERROR(B298/$D298,""),"")</f>
        <v/>
      </c>
      <c r="F298" s="30">
        <f>IF(ISNUMBER(C298),IFERROR(C298/$D298,""),"")</f>
        <v/>
      </c>
      <c r="G298" s="31">
        <f>IF(COUNT(B298:C298)=2,B298-C298,"")</f>
        <v/>
      </c>
      <c r="H298" s="31">
        <f>IFERROR(IF(AND(ISNUMBER(B298),INDEX($B$25:$B298,MATCH($A298-7,$A$25:$A298,1))&lt;&gt;0,INDEX($A$25:$A298,MATCH($A298-7,$A$25:$A298,1))&lt;&gt;0,$A298-INDEX($A$25:$A298,MATCH($A298-7,$A$25:$A298,1))&lt;=10),B298-INDEX($B$25:$B298,MATCH($A298-7,$A$25:$A298,1)),""),"")</f>
        <v/>
      </c>
      <c r="I298" s="31">
        <f>IFERROR(IF(AND(ISNUMBER(B298),INDEX($B$25:$B298,MATCH($A298-30,$A$25:$A298,1))&lt;&gt;0,INDEX($A$25:$A298,MATCH($A298-30,$A$25:$A298,1))&lt;&gt;0,$A298-INDEX($A$25:$A298,MATCH($A298-30,$A$25:$A298,1))&lt;=33),B298-INDEX($B$25:$B298,MATCH($A298-30,$A$25:$A298,1)),""),"")</f>
        <v/>
      </c>
      <c r="J298" s="42">
        <f>DATE(2026,11,3)-A298</f>
        <v/>
      </c>
      <c r="K298" s="26" t="inlineStr">
        <is>
          <t>07 Oct</t>
        </is>
      </c>
    </row>
    <row r="299">
      <c r="A299" s="39" t="n">
        <v>46303</v>
      </c>
      <c r="B299" s="16" t="n">
        <v>0.85</v>
      </c>
      <c r="C299" s="16" t="n">
        <v>0.135</v>
      </c>
      <c r="D299" s="17">
        <f>IF(COUNT(B299:C299)=2,B299+C299,"")</f>
        <v/>
      </c>
      <c r="E299" s="20">
        <f>IF(ISNUMBER(B299),IFERROR(B299/$D299,""),"")</f>
        <v/>
      </c>
      <c r="F299" s="20">
        <f>IF(ISNUMBER(C299),IFERROR(C299/$D299,""),"")</f>
        <v/>
      </c>
      <c r="G299" s="18">
        <f>IF(COUNT(B299:C299)=2,B299-C299,"")</f>
        <v/>
      </c>
      <c r="H299" s="18">
        <f>IFERROR(IF(AND(ISNUMBER(B299),INDEX($B$25:$B299,MATCH($A299-7,$A$25:$A299,1))&lt;&gt;0,INDEX($A$25:$A299,MATCH($A299-7,$A$25:$A299,1))&lt;&gt;0,$A299-INDEX($A$25:$A299,MATCH($A299-7,$A$25:$A299,1))&lt;=10),B299-INDEX($B$25:$B299,MATCH($A299-7,$A$25:$A299,1)),""),"")</f>
        <v/>
      </c>
      <c r="I299" s="18">
        <f>IFERROR(IF(AND(ISNUMBER(B299),INDEX($B$25:$B299,MATCH($A299-30,$A$25:$A299,1))&lt;&gt;0,INDEX($A$25:$A299,MATCH($A299-30,$A$25:$A299,1))&lt;&gt;0,$A299-INDEX($A$25:$A299,MATCH($A299-30,$A$25:$A299,1))&lt;=33),B299-INDEX($B$25:$B299,MATCH($A299-30,$A$25:$A299,1)),""),"")</f>
        <v/>
      </c>
      <c r="J299" s="40">
        <f>DATE(2026,11,3)-A299</f>
        <v/>
      </c>
      <c r="K299" s="26" t="inlineStr">
        <is>
          <t>08 Oct</t>
        </is>
      </c>
    </row>
    <row r="300">
      <c r="A300" s="41" t="n">
        <v>46304</v>
      </c>
      <c r="B300" s="28" t="n">
        <v>0.865</v>
      </c>
      <c r="C300" s="28" t="n">
        <v>0.115</v>
      </c>
      <c r="D300" s="29">
        <f>IF(COUNT(B300:C300)=2,B300+C300,"")</f>
        <v/>
      </c>
      <c r="E300" s="30">
        <f>IF(ISNUMBER(B300),IFERROR(B300/$D300,""),"")</f>
        <v/>
      </c>
      <c r="F300" s="30">
        <f>IF(ISNUMBER(C300),IFERROR(C300/$D300,""),"")</f>
        <v/>
      </c>
      <c r="G300" s="31">
        <f>IF(COUNT(B300:C300)=2,B300-C300,"")</f>
        <v/>
      </c>
      <c r="H300" s="31">
        <f>IFERROR(IF(AND(ISNUMBER(B300),INDEX($B$25:$B300,MATCH($A300-7,$A$25:$A300,1))&lt;&gt;0,INDEX($A$25:$A300,MATCH($A300-7,$A$25:$A300,1))&lt;&gt;0,$A300-INDEX($A$25:$A300,MATCH($A300-7,$A$25:$A300,1))&lt;=10),B300-INDEX($B$25:$B300,MATCH($A300-7,$A$25:$A300,1)),""),"")</f>
        <v/>
      </c>
      <c r="I300" s="31">
        <f>IFERROR(IF(AND(ISNUMBER(B300),INDEX($B$25:$B300,MATCH($A300-30,$A$25:$A300,1))&lt;&gt;0,INDEX($A$25:$A300,MATCH($A300-30,$A$25:$A300,1))&lt;&gt;0,$A300-INDEX($A$25:$A300,MATCH($A300-30,$A$25:$A300,1))&lt;=33),B300-INDEX($B$25:$B300,MATCH($A300-30,$A$25:$A300,1)),""),"")</f>
        <v/>
      </c>
      <c r="J300" s="42">
        <f>DATE(2026,11,3)-A300</f>
        <v/>
      </c>
      <c r="K300" s="26" t="inlineStr">
        <is>
          <t>09 Oct</t>
        </is>
      </c>
    </row>
    <row r="301">
      <c r="A301" s="39" t="n">
        <v>46305</v>
      </c>
      <c r="B301" s="16" t="n">
        <v>0.87</v>
      </c>
      <c r="C301" s="16" t="n">
        <v>0.11</v>
      </c>
      <c r="D301" s="17">
        <f>IF(COUNT(B301:C301)=2,B301+C301,"")</f>
        <v/>
      </c>
      <c r="E301" s="20">
        <f>IF(ISNUMBER(B301),IFERROR(B301/$D301,""),"")</f>
        <v/>
      </c>
      <c r="F301" s="20">
        <f>IF(ISNUMBER(C301),IFERROR(C301/$D301,""),"")</f>
        <v/>
      </c>
      <c r="G301" s="18">
        <f>IF(COUNT(B301:C301)=2,B301-C301,"")</f>
        <v/>
      </c>
      <c r="H301" s="18">
        <f>IFERROR(IF(AND(ISNUMBER(B301),INDEX($B$25:$B301,MATCH($A301-7,$A$25:$A301,1))&lt;&gt;0,INDEX($A$25:$A301,MATCH($A301-7,$A$25:$A301,1))&lt;&gt;0,$A301-INDEX($A$25:$A301,MATCH($A301-7,$A$25:$A301,1))&lt;=10),B301-INDEX($B$25:$B301,MATCH($A301-7,$A$25:$A301,1)),""),"")</f>
        <v/>
      </c>
      <c r="I301" s="18">
        <f>IFERROR(IF(AND(ISNUMBER(B301),INDEX($B$25:$B301,MATCH($A301-30,$A$25:$A301,1))&lt;&gt;0,INDEX($A$25:$A301,MATCH($A301-30,$A$25:$A301,1))&lt;&gt;0,$A301-INDEX($A$25:$A301,MATCH($A301-30,$A$25:$A301,1))&lt;=33),B301-INDEX($B$25:$B301,MATCH($A301-30,$A$25:$A301,1)),""),"")</f>
        <v/>
      </c>
      <c r="J301" s="40">
        <f>DATE(2026,11,3)-A301</f>
        <v/>
      </c>
      <c r="K301" s="26" t="inlineStr">
        <is>
          <t>10 Oct</t>
        </is>
      </c>
    </row>
    <row r="302">
      <c r="A302" s="41" t="n">
        <v>46306</v>
      </c>
      <c r="B302" s="28" t="n">
        <v>0.86</v>
      </c>
      <c r="C302" s="28" t="n">
        <v>0.13</v>
      </c>
      <c r="D302" s="29">
        <f>IF(COUNT(B302:C302)=2,B302+C302,"")</f>
        <v/>
      </c>
      <c r="E302" s="30">
        <f>IF(ISNUMBER(B302),IFERROR(B302/$D302,""),"")</f>
        <v/>
      </c>
      <c r="F302" s="30">
        <f>IF(ISNUMBER(C302),IFERROR(C302/$D302,""),"")</f>
        <v/>
      </c>
      <c r="G302" s="31">
        <f>IF(COUNT(B302:C302)=2,B302-C302,"")</f>
        <v/>
      </c>
      <c r="H302" s="31">
        <f>IFERROR(IF(AND(ISNUMBER(B302),INDEX($B$25:$B302,MATCH($A302-7,$A$25:$A302,1))&lt;&gt;0,INDEX($A$25:$A302,MATCH($A302-7,$A$25:$A302,1))&lt;&gt;0,$A302-INDEX($A$25:$A302,MATCH($A302-7,$A$25:$A302,1))&lt;=10),B302-INDEX($B$25:$B302,MATCH($A302-7,$A$25:$A302,1)),""),"")</f>
        <v/>
      </c>
      <c r="I302" s="31">
        <f>IFERROR(IF(AND(ISNUMBER(B302),INDEX($B$25:$B302,MATCH($A302-30,$A$25:$A302,1))&lt;&gt;0,INDEX($A$25:$A302,MATCH($A302-30,$A$25:$A302,1))&lt;&gt;0,$A302-INDEX($A$25:$A302,MATCH($A302-30,$A$25:$A302,1))&lt;=33),B302-INDEX($B$25:$B302,MATCH($A302-30,$A$25:$A302,1)),""),"")</f>
        <v/>
      </c>
      <c r="J302" s="42">
        <f>DATE(2026,11,3)-A302</f>
        <v/>
      </c>
      <c r="K302" s="26" t="inlineStr">
        <is>
          <t>11 Oct</t>
        </is>
      </c>
    </row>
    <row r="303">
      <c r="A303" s="39" t="n">
        <v>46307</v>
      </c>
      <c r="B303" s="16" t="n">
        <v>0.86</v>
      </c>
      <c r="C303" s="16" t="n">
        <v>0.135</v>
      </c>
      <c r="D303" s="17">
        <f>IF(COUNT(B303:C303)=2,B303+C303,"")</f>
        <v/>
      </c>
      <c r="E303" s="20">
        <f>IF(ISNUMBER(B303),IFERROR(B303/$D303,""),"")</f>
        <v/>
      </c>
      <c r="F303" s="20">
        <f>IF(ISNUMBER(C303),IFERROR(C303/$D303,""),"")</f>
        <v/>
      </c>
      <c r="G303" s="18">
        <f>IF(COUNT(B303:C303)=2,B303-C303,"")</f>
        <v/>
      </c>
      <c r="H303" s="18">
        <f>IFERROR(IF(AND(ISNUMBER(B303),INDEX($B$25:$B303,MATCH($A303-7,$A$25:$A303,1))&lt;&gt;0,INDEX($A$25:$A303,MATCH($A303-7,$A$25:$A303,1))&lt;&gt;0,$A303-INDEX($A$25:$A303,MATCH($A303-7,$A$25:$A303,1))&lt;=10),B303-INDEX($B$25:$B303,MATCH($A303-7,$A$25:$A303,1)),""),"")</f>
        <v/>
      </c>
      <c r="I303" s="18">
        <f>IFERROR(IF(AND(ISNUMBER(B303),INDEX($B$25:$B303,MATCH($A303-30,$A$25:$A303,1))&lt;&gt;0,INDEX($A$25:$A303,MATCH($A303-30,$A$25:$A303,1))&lt;&gt;0,$A303-INDEX($A$25:$A303,MATCH($A303-30,$A$25:$A303,1))&lt;=33),B303-INDEX($B$25:$B303,MATCH($A303-30,$A$25:$A303,1)),""),"")</f>
        <v/>
      </c>
      <c r="J303" s="40">
        <f>DATE(2026,11,3)-A303</f>
        <v/>
      </c>
      <c r="K303" s="26" t="inlineStr">
        <is>
          <t>12 Oct</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485"/>
  <sheetViews>
    <sheetView showGridLines="0" workbookViewId="0">
      <pane xSplit="1" ySplit="30" topLeftCell="B31"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Kalshi — PA-07 House Race Winner (HOUSEPA7-26)</t>
        </is>
      </c>
    </row>
    <row r="2">
      <c r="A2" s="2" t="inlineStr">
        <is>
          <t>Source: Kalshi Trade API v2 (api.elections.kalshi.com), RSA-signed requests. Prices are per-$1 contracts; price = implied probability. Pulled 2026-10-12 02:24 UTC.</t>
        </is>
      </c>
    </row>
    <row r="4">
      <c r="A4" s="3" t="inlineStr">
        <is>
          <t>MARKET METADATA</t>
        </is>
      </c>
      <c r="B4" s="4" t="n"/>
      <c r="C4" s="4" t="n"/>
      <c r="D4" s="4" t="n"/>
      <c r="E4" s="4" t="n"/>
      <c r="F4" s="4" t="n"/>
      <c r="G4" s="4" t="n"/>
      <c r="H4" s="4" t="n"/>
      <c r="I4" s="4" t="n"/>
      <c r="J4" s="4" t="n"/>
      <c r="K4" s="4" t="n"/>
      <c r="L4" s="4" t="n"/>
    </row>
    <row r="5" ht="28" customHeight="1">
      <c r="A5" s="5" t="inlineStr">
        <is>
          <t>Field</t>
        </is>
      </c>
      <c r="B5" s="5" t="inlineStr">
        <is>
          <t>Democratic (YES)</t>
        </is>
      </c>
      <c r="C5" s="5" t="inlineStr">
        <is>
          <t>Republican (YES)</t>
        </is>
      </c>
      <c r="D5" s="5" t="inlineStr"/>
      <c r="E5" s="5" t="inlineStr"/>
      <c r="F5" s="5" t="inlineStr"/>
      <c r="G5" s="5" t="inlineStr"/>
      <c r="H5" s="5" t="inlineStr"/>
      <c r="I5" s="5" t="inlineStr"/>
      <c r="J5" s="5" t="inlineStr"/>
      <c r="K5" s="5" t="inlineStr"/>
      <c r="L5" s="5" t="inlineStr"/>
    </row>
    <row r="6">
      <c r="A6" s="6" t="inlineStr">
        <is>
          <t>Market ticker</t>
        </is>
      </c>
      <c r="B6" s="7" t="inlineStr">
        <is>
          <t>HOUSEPA7-26-D</t>
        </is>
      </c>
      <c r="C6" s="8" t="inlineStr">
        <is>
          <t>HOUSEPA7-26-R</t>
        </is>
      </c>
    </row>
    <row r="7">
      <c r="A7" s="6" t="inlineStr">
        <is>
          <t>Event ticker</t>
        </is>
      </c>
      <c r="B7" s="7" t="inlineStr">
        <is>
          <t>HOUSEPA7-26</t>
        </is>
      </c>
      <c r="C7" s="8" t="inlineStr">
        <is>
          <t>HOUSEPA7-26</t>
        </is>
      </c>
    </row>
    <row r="8">
      <c r="A8" s="6" t="inlineStr">
        <is>
          <t>Question</t>
        </is>
      </c>
      <c r="B8" s="7" t="inlineStr">
        <is>
          <t>Will Democratic win the House race for PA-7?</t>
        </is>
      </c>
      <c r="C8" s="8" t="inlineStr">
        <is>
          <t>Will Republican win the House race for PA-7?</t>
        </is>
      </c>
    </row>
    <row r="9">
      <c r="A9" s="6" t="inlineStr">
        <is>
          <t>Candidate</t>
        </is>
      </c>
      <c r="B9" s="7" t="inlineStr">
        <is>
          <t>Bob Brooks</t>
        </is>
      </c>
      <c r="C9" s="8" t="inlineStr">
        <is>
          <t>Ryan Mackenzie</t>
        </is>
      </c>
    </row>
    <row r="10">
      <c r="A10" s="6" t="inlineStr">
        <is>
          <t>Status</t>
        </is>
      </c>
      <c r="B10" s="7" t="inlineStr">
        <is>
          <t>active</t>
        </is>
      </c>
      <c r="C10" s="8" t="inlineStr">
        <is>
          <t>active</t>
        </is>
      </c>
    </row>
    <row r="11">
      <c r="A11" s="6" t="inlineStr">
        <is>
          <t>Opened</t>
        </is>
      </c>
      <c r="B11" s="7" t="inlineStr">
        <is>
          <t>2025-07-01</t>
        </is>
      </c>
      <c r="C11" s="8" t="inlineStr">
        <is>
          <t>2025-07-01</t>
        </is>
      </c>
    </row>
    <row r="12">
      <c r="A12" s="6" t="inlineStr">
        <is>
          <t>Close time</t>
        </is>
      </c>
      <c r="B12" s="7" t="inlineStr">
        <is>
          <t>2027-11-03</t>
        </is>
      </c>
      <c r="C12" s="8" t="inlineStr">
        <is>
          <t>2027-11-03</t>
        </is>
      </c>
    </row>
    <row r="13">
      <c r="A13" s="6" t="inlineStr">
        <is>
          <t>Candlesticks pulled</t>
        </is>
      </c>
      <c r="B13" s="43" t="n">
        <v>442</v>
      </c>
      <c r="C13" s="44" t="n">
        <v>429</v>
      </c>
    </row>
    <row r="15">
      <c r="A15" s="3" t="inlineStr">
        <is>
          <t>LIVE ORDER BOOK SNAPSHOT</t>
        </is>
      </c>
      <c r="B15" s="4" t="n"/>
      <c r="C15" s="4" t="n"/>
      <c r="D15" s="4" t="n"/>
      <c r="E15" s="4" t="n"/>
      <c r="F15" s="4" t="n"/>
      <c r="G15" s="4" t="n"/>
      <c r="H15" s="4" t="n"/>
      <c r="I15" s="4" t="n"/>
      <c r="J15" s="4" t="n"/>
      <c r="K15" s="4" t="n"/>
      <c r="L15" s="4" t="n"/>
    </row>
    <row r="16" ht="28" customHeight="1">
      <c r="A16" s="5" t="inlineStr">
        <is>
          <t>Outcome</t>
        </is>
      </c>
      <c r="B16" s="5" t="inlineStr">
        <is>
          <t>YES Best Bid</t>
        </is>
      </c>
      <c r="C16" s="5" t="inlineStr">
        <is>
          <t>NO Best Bid</t>
        </is>
      </c>
      <c r="D16" s="5" t="inlineStr">
        <is>
          <t>YES Best Ask (1−NO bid)</t>
        </is>
      </c>
      <c r="E16" s="5" t="inlineStr">
        <is>
          <t>Mid</t>
        </is>
      </c>
      <c r="F16" s="5" t="inlineStr">
        <is>
          <t>Bid-Ask Spread</t>
        </is>
      </c>
      <c r="G16" s="5" t="inlineStr">
        <is>
          <t>YES Bid Size ($)</t>
        </is>
      </c>
      <c r="H16" s="5" t="inlineStr">
        <is>
          <t>Implied Prob (normalised)</t>
        </is>
      </c>
      <c r="I16" s="5" t="inlineStr"/>
      <c r="J16" s="5" t="inlineStr"/>
      <c r="K16" s="5" t="inlineStr"/>
      <c r="L16" s="5" t="inlineStr"/>
    </row>
    <row r="17">
      <c r="A17" s="15" t="inlineStr">
        <is>
          <t>Democratic — Bob Brooks</t>
        </is>
      </c>
      <c r="B17" s="16" t="n">
        <v>0.86</v>
      </c>
      <c r="C17" s="16" t="n">
        <v>0.13</v>
      </c>
      <c r="D17" s="20">
        <f>1-C17</f>
        <v/>
      </c>
      <c r="E17" s="17">
        <f>(B17+D17)/2</f>
        <v/>
      </c>
      <c r="F17" s="18">
        <f>D17-B17</f>
        <v/>
      </c>
      <c r="G17" s="19" t="n">
        <v>14</v>
      </c>
      <c r="H17" s="20">
        <f>IFERROR(E17/$E$19,"")</f>
        <v/>
      </c>
    </row>
    <row r="18">
      <c r="A18" s="21" t="inlineStr">
        <is>
          <t>Republican — Ryan Mackenzie</t>
        </is>
      </c>
      <c r="B18" s="16" t="n">
        <v>0.12</v>
      </c>
      <c r="C18" s="16" t="n">
        <v>0.86</v>
      </c>
      <c r="D18" s="20">
        <f>1-C18</f>
        <v/>
      </c>
      <c r="E18" s="17">
        <f>(B18+D18)/2</f>
        <v/>
      </c>
      <c r="F18" s="18">
        <f>D18-B18</f>
        <v/>
      </c>
      <c r="G18" s="19" t="n">
        <v>10080</v>
      </c>
      <c r="H18" s="20">
        <f>IFERROR(E18/$E$19,"")</f>
        <v/>
      </c>
    </row>
    <row r="19">
      <c r="A19" s="22" t="inlineStr">
        <is>
          <t>Sum of mids (100% = no vig)</t>
        </is>
      </c>
      <c r="E19" s="23">
        <f>SUM(E17:E18)</f>
        <v/>
      </c>
      <c r="F19" s="18">
        <f>E19-1</f>
        <v/>
      </c>
      <c r="H19" s="20">
        <f>SUM(H17:H18)</f>
        <v/>
      </c>
    </row>
    <row r="21">
      <c r="A21" s="3" t="inlineStr">
        <is>
          <t>ORDER BOOK DEPTH (top 5 levels each side)</t>
        </is>
      </c>
      <c r="B21" s="4" t="n"/>
      <c r="C21" s="4" t="n"/>
      <c r="D21" s="4" t="n"/>
      <c r="E21" s="4" t="n"/>
      <c r="F21" s="4" t="n"/>
      <c r="G21" s="4" t="n"/>
      <c r="H21" s="4" t="n"/>
      <c r="I21" s="4" t="n"/>
      <c r="J21" s="4" t="n"/>
      <c r="K21" s="4" t="n"/>
      <c r="L21" s="4" t="n"/>
    </row>
    <row r="22" ht="28" customHeight="1">
      <c r="A22" s="5" t="inlineStr">
        <is>
          <t>Level</t>
        </is>
      </c>
      <c r="B22" s="5" t="inlineStr">
        <is>
          <t>Dem YES Bid</t>
        </is>
      </c>
      <c r="C22" s="5" t="inlineStr">
        <is>
          <t>Dem YES Size ($)</t>
        </is>
      </c>
      <c r="D22" s="5" t="inlineStr">
        <is>
          <t>Dem NO Bid</t>
        </is>
      </c>
      <c r="E22" s="5" t="inlineStr">
        <is>
          <t>Dem NO Size ($)</t>
        </is>
      </c>
      <c r="F22" s="5" t="inlineStr">
        <is>
          <t>Rep YES Bid</t>
        </is>
      </c>
      <c r="G22" s="5" t="inlineStr">
        <is>
          <t>Rep YES Size ($)</t>
        </is>
      </c>
      <c r="H22" s="5" t="inlineStr">
        <is>
          <t>Rep NO Bid</t>
        </is>
      </c>
      <c r="I22" s="5" t="inlineStr">
        <is>
          <t>Rep NO Size ($)</t>
        </is>
      </c>
      <c r="J22" s="5" t="inlineStr"/>
      <c r="K22" s="5" t="inlineStr"/>
      <c r="L22" s="5" t="inlineStr"/>
    </row>
    <row r="23">
      <c r="A23" s="35" t="n">
        <v>1</v>
      </c>
      <c r="B23" s="16" t="n">
        <v>0.86</v>
      </c>
      <c r="C23" s="19" t="n">
        <v>14</v>
      </c>
      <c r="D23" s="16" t="n">
        <v>0.13</v>
      </c>
      <c r="E23" s="19" t="n">
        <v>99.89</v>
      </c>
      <c r="F23" s="16" t="n">
        <v>0.12</v>
      </c>
      <c r="G23" s="19" t="n">
        <v>10080</v>
      </c>
      <c r="H23" s="16" t="n">
        <v>0.86</v>
      </c>
      <c r="I23" s="19" t="n">
        <v>50065.28</v>
      </c>
    </row>
    <row r="24">
      <c r="A24" s="35" t="n">
        <v>2</v>
      </c>
      <c r="B24" s="16" t="n">
        <v>0.85</v>
      </c>
      <c r="C24" s="19" t="n">
        <v>50065.32</v>
      </c>
      <c r="D24" s="16" t="n">
        <v>0.12</v>
      </c>
      <c r="E24" s="19" t="n">
        <v>10560</v>
      </c>
      <c r="F24" s="16" t="n">
        <v>0.11</v>
      </c>
      <c r="G24" s="19" t="n">
        <v>539</v>
      </c>
      <c r="H24" s="16" t="n">
        <v>0.85</v>
      </c>
      <c r="I24" s="19" t="n">
        <v>10</v>
      </c>
    </row>
    <row r="25">
      <c r="A25" s="35" t="n">
        <v>3</v>
      </c>
      <c r="B25" s="16" t="n">
        <v>0.84</v>
      </c>
      <c r="C25" s="19" t="n">
        <v>1171.55</v>
      </c>
      <c r="D25" s="16" t="n">
        <v>0.11</v>
      </c>
      <c r="E25" s="19" t="n">
        <v>50478.69</v>
      </c>
      <c r="F25" s="16" t="n">
        <v>0.1</v>
      </c>
      <c r="G25" s="19" t="n">
        <v>50400</v>
      </c>
      <c r="H25" s="16" t="n">
        <v>0.84</v>
      </c>
      <c r="I25" s="19" t="n">
        <v>1415</v>
      </c>
    </row>
    <row r="26">
      <c r="A26" s="35" t="n">
        <v>4</v>
      </c>
      <c r="B26" s="16" t="n">
        <v>0.83</v>
      </c>
      <c r="C26" s="19" t="n">
        <v>73.93000000000001</v>
      </c>
      <c r="D26" s="16" t="n">
        <v>0.1</v>
      </c>
      <c r="E26" s="19" t="n">
        <v>79</v>
      </c>
      <c r="F26" s="16" t="n">
        <v>0.09</v>
      </c>
      <c r="G26" s="19" t="n">
        <v>1000</v>
      </c>
      <c r="H26" s="16" t="n">
        <v>0.83</v>
      </c>
      <c r="I26" s="19" t="n">
        <v>5107</v>
      </c>
    </row>
    <row r="27">
      <c r="A27" s="35" t="n">
        <v>5</v>
      </c>
      <c r="B27" s="16" t="n">
        <v>0.82</v>
      </c>
      <c r="C27" s="19" t="n">
        <v>15268</v>
      </c>
      <c r="D27" s="16" t="n">
        <v>0.091</v>
      </c>
      <c r="E27" s="19" t="n">
        <v>50</v>
      </c>
      <c r="F27" s="16" t="n">
        <v>0.075</v>
      </c>
      <c r="G27" s="19" t="n">
        <v>5000</v>
      </c>
      <c r="H27" s="16" t="n">
        <v>0.82</v>
      </c>
      <c r="I27" s="19" t="n">
        <v>10050</v>
      </c>
    </row>
    <row r="29">
      <c r="A29" s="3" t="inlineStr">
        <is>
          <t>DAILY PRICE HISTORY (1-day candlesticks)</t>
        </is>
      </c>
      <c r="B29" s="4" t="n"/>
      <c r="C29" s="4" t="n"/>
      <c r="D29" s="4" t="n"/>
      <c r="E29" s="4" t="n"/>
      <c r="F29" s="4" t="n"/>
      <c r="G29" s="4" t="n"/>
      <c r="H29" s="4" t="n"/>
      <c r="I29" s="4" t="n"/>
      <c r="J29" s="4" t="n"/>
      <c r="K29" s="4" t="n"/>
      <c r="L29" s="4" t="n"/>
    </row>
    <row r="30" ht="28" customHeight="1">
      <c r="A30" s="5" t="inlineStr">
        <is>
          <t>Date</t>
        </is>
      </c>
      <c r="B30" s="5" t="inlineStr">
        <is>
          <t>Dem YES Bid</t>
        </is>
      </c>
      <c r="C30" s="5" t="inlineStr">
        <is>
          <t>Dem YES Ask</t>
        </is>
      </c>
      <c r="D30" s="5" t="inlineStr">
        <is>
          <t>Dem Mid</t>
        </is>
      </c>
      <c r="E30" s="5" t="inlineStr">
        <is>
          <t>Rep YES Bid</t>
        </is>
      </c>
      <c r="F30" s="5" t="inlineStr">
        <is>
          <t>Rep YES Ask</t>
        </is>
      </c>
      <c r="G30" s="5" t="inlineStr">
        <is>
          <t>Rep Mid</t>
        </is>
      </c>
      <c r="H30" s="5" t="inlineStr">
        <is>
          <t>Sum of Mids</t>
        </is>
      </c>
      <c r="I30" s="5" t="inlineStr">
        <is>
          <t>Dem Normalised</t>
        </is>
      </c>
      <c r="J30" s="5" t="inlineStr">
        <is>
          <t>Dem − Rep Spread</t>
        </is>
      </c>
      <c r="K30" s="5" t="inlineStr">
        <is>
          <t>Volume (contracts)</t>
        </is>
      </c>
      <c r="L30" s="5" t="inlineStr">
        <is>
          <t>Open Interest</t>
        </is>
      </c>
      <c r="M30" s="5" t="inlineStr">
        <is>
          <t>Axis label</t>
        </is>
      </c>
    </row>
    <row r="31">
      <c r="A31" s="39" t="n">
        <v>45840</v>
      </c>
      <c r="B31" s="16" t="n">
        <v>0.61</v>
      </c>
      <c r="C31" s="16" t="n">
        <v>0.66</v>
      </c>
      <c r="D31" s="17">
        <f>IF(COUNT(B31:C31)=2,(B31+C31)/2,"")</f>
        <v/>
      </c>
      <c r="E31" s="16" t="n">
        <v>0.3</v>
      </c>
      <c r="F31" s="16" t="n">
        <v>0.35</v>
      </c>
      <c r="G31" s="17">
        <f>IF(COUNT(E31:F31)=2,(E31+F31)/2,"")</f>
        <v/>
      </c>
      <c r="H31" s="17">
        <f>IF(AND(ISNUMBER(D31),ISNUMBER(G31)),D31+G31,"")</f>
        <v/>
      </c>
      <c r="I31" s="20">
        <f>IFERROR(D31/H31,"")</f>
        <v/>
      </c>
      <c r="J31" s="18">
        <f>IF(AND(ISNUMBER(D31),ISNUMBER(G31)),D31-G31,"")</f>
        <v/>
      </c>
      <c r="K31" s="45" t="n">
        <v>0</v>
      </c>
      <c r="L31" s="45" t="n">
        <v>0</v>
      </c>
      <c r="M31" s="26" t="inlineStr">
        <is>
          <t>02 Jul</t>
        </is>
      </c>
    </row>
    <row r="32">
      <c r="A32" s="41" t="n">
        <v>45841</v>
      </c>
      <c r="B32" s="28" t="n">
        <v>0.61</v>
      </c>
      <c r="C32" s="28" t="n">
        <v>0.66</v>
      </c>
      <c r="D32" s="29">
        <f>IF(COUNT(B32:C32)=2,(B32+C32)/2,"")</f>
        <v/>
      </c>
      <c r="E32" s="28" t="n">
        <v>0.3</v>
      </c>
      <c r="F32" s="28" t="n">
        <v>0.35</v>
      </c>
      <c r="G32" s="29">
        <f>IF(COUNT(E32:F32)=2,(E32+F32)/2,"")</f>
        <v/>
      </c>
      <c r="H32" s="29">
        <f>IF(AND(ISNUMBER(D32),ISNUMBER(G32)),D32+G32,"")</f>
        <v/>
      </c>
      <c r="I32" s="30">
        <f>IFERROR(D32/H32,"")</f>
        <v/>
      </c>
      <c r="J32" s="31">
        <f>IF(AND(ISNUMBER(D32),ISNUMBER(G32)),D32-G32,"")</f>
        <v/>
      </c>
      <c r="K32" s="46" t="n">
        <v>0</v>
      </c>
      <c r="L32" s="46" t="n">
        <v>0</v>
      </c>
      <c r="M32" s="38" t="inlineStr">
        <is>
          <t>03 Jul</t>
        </is>
      </c>
    </row>
    <row r="33">
      <c r="A33" s="39" t="n">
        <v>45842</v>
      </c>
      <c r="B33" s="16" t="n">
        <v>0.61</v>
      </c>
      <c r="C33" s="16" t="n">
        <v>0.66</v>
      </c>
      <c r="D33" s="17">
        <f>IF(COUNT(B33:C33)=2,(B33+C33)/2,"")</f>
        <v/>
      </c>
      <c r="E33" s="16" t="n">
        <v>0.3</v>
      </c>
      <c r="F33" s="16" t="n">
        <v>0.35</v>
      </c>
      <c r="G33" s="17">
        <f>IF(COUNT(E33:F33)=2,(E33+F33)/2,"")</f>
        <v/>
      </c>
      <c r="H33" s="17">
        <f>IF(AND(ISNUMBER(D33),ISNUMBER(G33)),D33+G33,"")</f>
        <v/>
      </c>
      <c r="I33" s="20">
        <f>IFERROR(D33/H33,"")</f>
        <v/>
      </c>
      <c r="J33" s="18">
        <f>IF(AND(ISNUMBER(D33),ISNUMBER(G33)),D33-G33,"")</f>
        <v/>
      </c>
      <c r="K33" s="45" t="n">
        <v>0</v>
      </c>
      <c r="L33" s="45" t="n">
        <v>0</v>
      </c>
      <c r="M33" s="26" t="inlineStr">
        <is>
          <t>04 Jul</t>
        </is>
      </c>
    </row>
    <row r="34">
      <c r="A34" s="41" t="n">
        <v>45843</v>
      </c>
      <c r="B34" s="28" t="n">
        <v>0.61</v>
      </c>
      <c r="C34" s="28" t="n">
        <v>0.66</v>
      </c>
      <c r="D34" s="29">
        <f>IF(COUNT(B34:C34)=2,(B34+C34)/2,"")</f>
        <v/>
      </c>
      <c r="E34" s="28" t="n">
        <v>0.3</v>
      </c>
      <c r="F34" s="28" t="n">
        <v>0.35</v>
      </c>
      <c r="G34" s="29">
        <f>IF(COUNT(E34:F34)=2,(E34+F34)/2,"")</f>
        <v/>
      </c>
      <c r="H34" s="29">
        <f>IF(AND(ISNUMBER(D34),ISNUMBER(G34)),D34+G34,"")</f>
        <v/>
      </c>
      <c r="I34" s="30">
        <f>IFERROR(D34/H34,"")</f>
        <v/>
      </c>
      <c r="J34" s="31">
        <f>IF(AND(ISNUMBER(D34),ISNUMBER(G34)),D34-G34,"")</f>
        <v/>
      </c>
      <c r="K34" s="46" t="n">
        <v>0</v>
      </c>
      <c r="L34" s="46" t="n">
        <v>0</v>
      </c>
      <c r="M34" s="38" t="inlineStr">
        <is>
          <t>05 Jul</t>
        </is>
      </c>
    </row>
    <row r="35">
      <c r="A35" s="39" t="n">
        <v>45844</v>
      </c>
      <c r="B35" s="16" t="n">
        <v>0.61</v>
      </c>
      <c r="C35" s="16" t="n">
        <v>0.66</v>
      </c>
      <c r="D35" s="17">
        <f>IF(COUNT(B35:C35)=2,(B35+C35)/2,"")</f>
        <v/>
      </c>
      <c r="E35" s="16" t="n">
        <v>0.31</v>
      </c>
      <c r="F35" s="16" t="n">
        <v>0.36</v>
      </c>
      <c r="G35" s="17">
        <f>IF(COUNT(E35:F35)=2,(E35+F35)/2,"")</f>
        <v/>
      </c>
      <c r="H35" s="17">
        <f>IF(AND(ISNUMBER(D35),ISNUMBER(G35)),D35+G35,"")</f>
        <v/>
      </c>
      <c r="I35" s="20">
        <f>IFERROR(D35/H35,"")</f>
        <v/>
      </c>
      <c r="J35" s="18">
        <f>IF(AND(ISNUMBER(D35),ISNUMBER(G35)),D35-G35,"")</f>
        <v/>
      </c>
      <c r="K35" s="45" t="n">
        <v>298</v>
      </c>
      <c r="L35" s="45" t="n">
        <v>152</v>
      </c>
      <c r="M35" s="26" t="inlineStr">
        <is>
          <t>06 Jul</t>
        </is>
      </c>
    </row>
    <row r="36">
      <c r="A36" s="41" t="n">
        <v>45845</v>
      </c>
      <c r="B36" s="28" t="n">
        <v>0.61</v>
      </c>
      <c r="C36" s="28" t="n">
        <v>0.66</v>
      </c>
      <c r="D36" s="29">
        <f>IF(COUNT(B36:C36)=2,(B36+C36)/2,"")</f>
        <v/>
      </c>
      <c r="E36" s="28" t="n">
        <v>0.31</v>
      </c>
      <c r="F36" s="28" t="n">
        <v>0.36</v>
      </c>
      <c r="G36" s="29">
        <f>IF(COUNT(E36:F36)=2,(E36+F36)/2,"")</f>
        <v/>
      </c>
      <c r="H36" s="29">
        <f>IF(AND(ISNUMBER(D36),ISNUMBER(G36)),D36+G36,"")</f>
        <v/>
      </c>
      <c r="I36" s="30">
        <f>IFERROR(D36/H36,"")</f>
        <v/>
      </c>
      <c r="J36" s="31">
        <f>IF(AND(ISNUMBER(D36),ISNUMBER(G36)),D36-G36,"")</f>
        <v/>
      </c>
      <c r="K36" s="46" t="n">
        <v>0</v>
      </c>
      <c r="L36" s="46" t="n">
        <v>152</v>
      </c>
      <c r="M36" s="38" t="inlineStr">
        <is>
          <t>07 Jul</t>
        </is>
      </c>
    </row>
    <row r="37">
      <c r="A37" s="39" t="n">
        <v>45846</v>
      </c>
      <c r="B37" s="16" t="n">
        <v>0.61</v>
      </c>
      <c r="C37" s="16" t="n">
        <v>0.66</v>
      </c>
      <c r="D37" s="17">
        <f>IF(COUNT(B37:C37)=2,(B37+C37)/2,"")</f>
        <v/>
      </c>
      <c r="E37" s="16" t="n">
        <v>0.31</v>
      </c>
      <c r="F37" s="16" t="n">
        <v>0.36</v>
      </c>
      <c r="G37" s="17">
        <f>IF(COUNT(E37:F37)=2,(E37+F37)/2,"")</f>
        <v/>
      </c>
      <c r="H37" s="17">
        <f>IF(AND(ISNUMBER(D37),ISNUMBER(G37)),D37+G37,"")</f>
        <v/>
      </c>
      <c r="I37" s="20">
        <f>IFERROR(D37/H37,"")</f>
        <v/>
      </c>
      <c r="J37" s="18">
        <f>IF(AND(ISNUMBER(D37),ISNUMBER(G37)),D37-G37,"")</f>
        <v/>
      </c>
      <c r="K37" s="45" t="n">
        <v>0</v>
      </c>
      <c r="L37" s="45" t="n">
        <v>152</v>
      </c>
      <c r="M37" s="26" t="inlineStr">
        <is>
          <t>08 Jul</t>
        </is>
      </c>
    </row>
    <row r="38">
      <c r="A38" s="41" t="n">
        <v>45847</v>
      </c>
      <c r="B38" s="28" t="n">
        <v>0.61</v>
      </c>
      <c r="C38" s="28" t="n">
        <v>0.66</v>
      </c>
      <c r="D38" s="29">
        <f>IF(COUNT(B38:C38)=2,(B38+C38)/2,"")</f>
        <v/>
      </c>
      <c r="E38" s="28" t="n">
        <v>0.31</v>
      </c>
      <c r="F38" s="28" t="n">
        <v>0.36</v>
      </c>
      <c r="G38" s="29">
        <f>IF(COUNT(E38:F38)=2,(E38+F38)/2,"")</f>
        <v/>
      </c>
      <c r="H38" s="29">
        <f>IF(AND(ISNUMBER(D38),ISNUMBER(G38)),D38+G38,"")</f>
        <v/>
      </c>
      <c r="I38" s="30">
        <f>IFERROR(D38/H38,"")</f>
        <v/>
      </c>
      <c r="J38" s="31">
        <f>IF(AND(ISNUMBER(D38),ISNUMBER(G38)),D38-G38,"")</f>
        <v/>
      </c>
      <c r="K38" s="46" t="n">
        <v>0</v>
      </c>
      <c r="L38" s="46" t="n">
        <v>152</v>
      </c>
      <c r="M38" s="38" t="inlineStr">
        <is>
          <t>09 Jul</t>
        </is>
      </c>
    </row>
    <row r="39">
      <c r="A39" s="39" t="n">
        <v>45848</v>
      </c>
      <c r="B39" s="16" t="n">
        <v>0.61</v>
      </c>
      <c r="C39" s="16" t="n">
        <v>0.66</v>
      </c>
      <c r="D39" s="17">
        <f>IF(COUNT(B39:C39)=2,(B39+C39)/2,"")</f>
        <v/>
      </c>
      <c r="E39" s="16" t="n">
        <v>0.31</v>
      </c>
      <c r="F39" s="16" t="n">
        <v>0.36</v>
      </c>
      <c r="G39" s="17">
        <f>IF(COUNT(E39:F39)=2,(E39+F39)/2,"")</f>
        <v/>
      </c>
      <c r="H39" s="17">
        <f>IF(AND(ISNUMBER(D39),ISNUMBER(G39)),D39+G39,"")</f>
        <v/>
      </c>
      <c r="I39" s="20">
        <f>IFERROR(D39/H39,"")</f>
        <v/>
      </c>
      <c r="J39" s="18">
        <f>IF(AND(ISNUMBER(D39),ISNUMBER(G39)),D39-G39,"")</f>
        <v/>
      </c>
      <c r="K39" s="45" t="n">
        <v>0</v>
      </c>
      <c r="L39" s="45" t="n">
        <v>152</v>
      </c>
      <c r="M39" s="26" t="inlineStr">
        <is>
          <t>10 Jul</t>
        </is>
      </c>
    </row>
    <row r="40">
      <c r="A40" s="41" t="n">
        <v>45849</v>
      </c>
      <c r="B40" s="28" t="n">
        <v>0.61</v>
      </c>
      <c r="C40" s="28" t="n">
        <v>0.66</v>
      </c>
      <c r="D40" s="29">
        <f>IF(COUNT(B40:C40)=2,(B40+C40)/2,"")</f>
        <v/>
      </c>
      <c r="E40" s="28" t="n">
        <v>0.31</v>
      </c>
      <c r="F40" s="28" t="n">
        <v>0.36</v>
      </c>
      <c r="G40" s="29">
        <f>IF(COUNT(E40:F40)=2,(E40+F40)/2,"")</f>
        <v/>
      </c>
      <c r="H40" s="29">
        <f>IF(AND(ISNUMBER(D40),ISNUMBER(G40)),D40+G40,"")</f>
        <v/>
      </c>
      <c r="I40" s="30">
        <f>IFERROR(D40/H40,"")</f>
        <v/>
      </c>
      <c r="J40" s="31">
        <f>IF(AND(ISNUMBER(D40),ISNUMBER(G40)),D40-G40,"")</f>
        <v/>
      </c>
      <c r="K40" s="46" t="n">
        <v>0</v>
      </c>
      <c r="L40" s="46" t="n">
        <v>152</v>
      </c>
      <c r="M40" s="38" t="inlineStr">
        <is>
          <t>11 Jul</t>
        </is>
      </c>
    </row>
    <row r="41">
      <c r="A41" s="39" t="n">
        <v>45850</v>
      </c>
      <c r="B41" s="16" t="n">
        <v>0.61</v>
      </c>
      <c r="C41" s="16" t="n">
        <v>0.66</v>
      </c>
      <c r="D41" s="17">
        <f>IF(COUNT(B41:C41)=2,(B41+C41)/2,"")</f>
        <v/>
      </c>
      <c r="E41" s="16" t="n">
        <v>0.31</v>
      </c>
      <c r="F41" s="16" t="n">
        <v>0.36</v>
      </c>
      <c r="G41" s="17">
        <f>IF(COUNT(E41:F41)=2,(E41+F41)/2,"")</f>
        <v/>
      </c>
      <c r="H41" s="17">
        <f>IF(AND(ISNUMBER(D41),ISNUMBER(G41)),D41+G41,"")</f>
        <v/>
      </c>
      <c r="I41" s="20">
        <f>IFERROR(D41/H41,"")</f>
        <v/>
      </c>
      <c r="J41" s="18">
        <f>IF(AND(ISNUMBER(D41),ISNUMBER(G41)),D41-G41,"")</f>
        <v/>
      </c>
      <c r="K41" s="45" t="n">
        <v>0</v>
      </c>
      <c r="L41" s="45" t="n">
        <v>152</v>
      </c>
      <c r="M41" s="26" t="inlineStr">
        <is>
          <t>12 Jul</t>
        </is>
      </c>
    </row>
    <row r="42">
      <c r="A42" s="41" t="n">
        <v>45851</v>
      </c>
      <c r="B42" s="28" t="n">
        <v>0.61</v>
      </c>
      <c r="C42" s="28" t="n">
        <v>0.66</v>
      </c>
      <c r="D42" s="29">
        <f>IF(COUNT(B42:C42)=2,(B42+C42)/2,"")</f>
        <v/>
      </c>
      <c r="E42" s="28" t="n">
        <v>0.31</v>
      </c>
      <c r="F42" s="28" t="n">
        <v>0.36</v>
      </c>
      <c r="G42" s="29">
        <f>IF(COUNT(E42:F42)=2,(E42+F42)/2,"")</f>
        <v/>
      </c>
      <c r="H42" s="29">
        <f>IF(AND(ISNUMBER(D42),ISNUMBER(G42)),D42+G42,"")</f>
        <v/>
      </c>
      <c r="I42" s="30">
        <f>IFERROR(D42/H42,"")</f>
        <v/>
      </c>
      <c r="J42" s="31">
        <f>IF(AND(ISNUMBER(D42),ISNUMBER(G42)),D42-G42,"")</f>
        <v/>
      </c>
      <c r="K42" s="46" t="n">
        <v>0</v>
      </c>
      <c r="L42" s="46" t="n">
        <v>152</v>
      </c>
      <c r="M42" s="38" t="inlineStr">
        <is>
          <t>13 Jul</t>
        </is>
      </c>
    </row>
    <row r="43">
      <c r="A43" s="39" t="n">
        <v>45852</v>
      </c>
      <c r="B43" s="16" t="n">
        <v>0.61</v>
      </c>
      <c r="C43" s="16" t="n">
        <v>0.66</v>
      </c>
      <c r="D43" s="17">
        <f>IF(COUNT(B43:C43)=2,(B43+C43)/2,"")</f>
        <v/>
      </c>
      <c r="E43" s="16" t="n">
        <v>0.31</v>
      </c>
      <c r="F43" s="16" t="n">
        <v>0.36</v>
      </c>
      <c r="G43" s="17">
        <f>IF(COUNT(E43:F43)=2,(E43+F43)/2,"")</f>
        <v/>
      </c>
      <c r="H43" s="17">
        <f>IF(AND(ISNUMBER(D43),ISNUMBER(G43)),D43+G43,"")</f>
        <v/>
      </c>
      <c r="I43" s="20">
        <f>IFERROR(D43/H43,"")</f>
        <v/>
      </c>
      <c r="J43" s="18">
        <f>IF(AND(ISNUMBER(D43),ISNUMBER(G43)),D43-G43,"")</f>
        <v/>
      </c>
      <c r="K43" s="45" t="n">
        <v>0</v>
      </c>
      <c r="L43" s="45" t="n">
        <v>152</v>
      </c>
      <c r="M43" s="26" t="inlineStr">
        <is>
          <t>14 Jul</t>
        </is>
      </c>
    </row>
    <row r="44">
      <c r="A44" s="41" t="n">
        <v>45853</v>
      </c>
      <c r="B44" s="28" t="n">
        <v>0.61</v>
      </c>
      <c r="C44" s="28" t="n">
        <v>0.66</v>
      </c>
      <c r="D44" s="29">
        <f>IF(COUNT(B44:C44)=2,(B44+C44)/2,"")</f>
        <v/>
      </c>
      <c r="E44" s="28" t="n">
        <v>0.31</v>
      </c>
      <c r="F44" s="28" t="n">
        <v>0.36</v>
      </c>
      <c r="G44" s="29">
        <f>IF(COUNT(E44:F44)=2,(E44+F44)/2,"")</f>
        <v/>
      </c>
      <c r="H44" s="29">
        <f>IF(AND(ISNUMBER(D44),ISNUMBER(G44)),D44+G44,"")</f>
        <v/>
      </c>
      <c r="I44" s="30">
        <f>IFERROR(D44/H44,"")</f>
        <v/>
      </c>
      <c r="J44" s="31">
        <f>IF(AND(ISNUMBER(D44),ISNUMBER(G44)),D44-G44,"")</f>
        <v/>
      </c>
      <c r="K44" s="46" t="n">
        <v>0</v>
      </c>
      <c r="L44" s="46" t="n">
        <v>152</v>
      </c>
      <c r="M44" s="38" t="inlineStr">
        <is>
          <t>15 Jul</t>
        </is>
      </c>
    </row>
    <row r="45">
      <c r="A45" s="39" t="n">
        <v>45854</v>
      </c>
      <c r="B45" s="16" t="n">
        <v>0.61</v>
      </c>
      <c r="C45" s="16" t="n">
        <v>0.66</v>
      </c>
      <c r="D45" s="17">
        <f>IF(COUNT(B45:C45)=2,(B45+C45)/2,"")</f>
        <v/>
      </c>
      <c r="E45" s="16" t="n">
        <v>0.31</v>
      </c>
      <c r="F45" s="16" t="n">
        <v>0.36</v>
      </c>
      <c r="G45" s="17">
        <f>IF(COUNT(E45:F45)=2,(E45+F45)/2,"")</f>
        <v/>
      </c>
      <c r="H45" s="17">
        <f>IF(AND(ISNUMBER(D45),ISNUMBER(G45)),D45+G45,"")</f>
        <v/>
      </c>
      <c r="I45" s="20">
        <f>IFERROR(D45/H45,"")</f>
        <v/>
      </c>
      <c r="J45" s="18">
        <f>IF(AND(ISNUMBER(D45),ISNUMBER(G45)),D45-G45,"")</f>
        <v/>
      </c>
      <c r="K45" s="45" t="n">
        <v>0</v>
      </c>
      <c r="L45" s="45" t="n">
        <v>152</v>
      </c>
      <c r="M45" s="26" t="inlineStr">
        <is>
          <t>16 Jul</t>
        </is>
      </c>
    </row>
    <row r="46">
      <c r="A46" s="41" t="n">
        <v>45855</v>
      </c>
      <c r="B46" s="28" t="n">
        <v>0.61</v>
      </c>
      <c r="C46" s="28" t="n">
        <v>0.66</v>
      </c>
      <c r="D46" s="29">
        <f>IF(COUNT(B46:C46)=2,(B46+C46)/2,"")</f>
        <v/>
      </c>
      <c r="E46" s="28" t="n">
        <v>0.31</v>
      </c>
      <c r="F46" s="28" t="n">
        <v>0.36</v>
      </c>
      <c r="G46" s="29">
        <f>IF(COUNT(E46:F46)=2,(E46+F46)/2,"")</f>
        <v/>
      </c>
      <c r="H46" s="29">
        <f>IF(AND(ISNUMBER(D46),ISNUMBER(G46)),D46+G46,"")</f>
        <v/>
      </c>
      <c r="I46" s="30">
        <f>IFERROR(D46/H46,"")</f>
        <v/>
      </c>
      <c r="J46" s="31">
        <f>IF(AND(ISNUMBER(D46),ISNUMBER(G46)),D46-G46,"")</f>
        <v/>
      </c>
      <c r="K46" s="46" t="n">
        <v>0</v>
      </c>
      <c r="L46" s="46" t="n">
        <v>152</v>
      </c>
      <c r="M46" s="38" t="inlineStr">
        <is>
          <t>17 Jul</t>
        </is>
      </c>
    </row>
    <row r="47">
      <c r="A47" s="39" t="n">
        <v>45856</v>
      </c>
      <c r="B47" s="16" t="n">
        <v>0.61</v>
      </c>
      <c r="C47" s="16" t="n">
        <v>0.66</v>
      </c>
      <c r="D47" s="17">
        <f>IF(COUNT(B47:C47)=2,(B47+C47)/2,"")</f>
        <v/>
      </c>
      <c r="E47" s="16" t="n">
        <v>0.31</v>
      </c>
      <c r="F47" s="16" t="n">
        <v>0.36</v>
      </c>
      <c r="G47" s="17">
        <f>IF(COUNT(E47:F47)=2,(E47+F47)/2,"")</f>
        <v/>
      </c>
      <c r="H47" s="17">
        <f>IF(AND(ISNUMBER(D47),ISNUMBER(G47)),D47+G47,"")</f>
        <v/>
      </c>
      <c r="I47" s="20">
        <f>IFERROR(D47/H47,"")</f>
        <v/>
      </c>
      <c r="J47" s="18">
        <f>IF(AND(ISNUMBER(D47),ISNUMBER(G47)),D47-G47,"")</f>
        <v/>
      </c>
      <c r="K47" s="45" t="n">
        <v>0</v>
      </c>
      <c r="L47" s="45" t="n">
        <v>152</v>
      </c>
      <c r="M47" s="26" t="inlineStr">
        <is>
          <t>18 Jul</t>
        </is>
      </c>
    </row>
    <row r="48">
      <c r="A48" s="41" t="n">
        <v>45857</v>
      </c>
      <c r="B48" s="28" t="n">
        <v>0.61</v>
      </c>
      <c r="C48" s="28" t="n">
        <v>0.66</v>
      </c>
      <c r="D48" s="29">
        <f>IF(COUNT(B48:C48)=2,(B48+C48)/2,"")</f>
        <v/>
      </c>
      <c r="E48" s="28" t="n">
        <v>0.31</v>
      </c>
      <c r="F48" s="28" t="n">
        <v>0.36</v>
      </c>
      <c r="G48" s="29">
        <f>IF(COUNT(E48:F48)=2,(E48+F48)/2,"")</f>
        <v/>
      </c>
      <c r="H48" s="29">
        <f>IF(AND(ISNUMBER(D48),ISNUMBER(G48)),D48+G48,"")</f>
        <v/>
      </c>
      <c r="I48" s="30">
        <f>IFERROR(D48/H48,"")</f>
        <v/>
      </c>
      <c r="J48" s="31">
        <f>IF(AND(ISNUMBER(D48),ISNUMBER(G48)),D48-G48,"")</f>
        <v/>
      </c>
      <c r="K48" s="46" t="n">
        <v>0</v>
      </c>
      <c r="L48" s="46" t="n">
        <v>152</v>
      </c>
      <c r="M48" s="38" t="inlineStr">
        <is>
          <t>19 Jul</t>
        </is>
      </c>
    </row>
    <row r="49">
      <c r="A49" s="39" t="n">
        <v>45858</v>
      </c>
      <c r="B49" s="16" t="n">
        <v>0.61</v>
      </c>
      <c r="C49" s="16" t="n">
        <v>0.66</v>
      </c>
      <c r="D49" s="17">
        <f>IF(COUNT(B49:C49)=2,(B49+C49)/2,"")</f>
        <v/>
      </c>
      <c r="E49" s="16" t="n">
        <v>0.31</v>
      </c>
      <c r="F49" s="16" t="n">
        <v>0.36</v>
      </c>
      <c r="G49" s="17">
        <f>IF(COUNT(E49:F49)=2,(E49+F49)/2,"")</f>
        <v/>
      </c>
      <c r="H49" s="17">
        <f>IF(AND(ISNUMBER(D49),ISNUMBER(G49)),D49+G49,"")</f>
        <v/>
      </c>
      <c r="I49" s="20">
        <f>IFERROR(D49/H49,"")</f>
        <v/>
      </c>
      <c r="J49" s="18">
        <f>IF(AND(ISNUMBER(D49),ISNUMBER(G49)),D49-G49,"")</f>
        <v/>
      </c>
      <c r="K49" s="45" t="n">
        <v>0</v>
      </c>
      <c r="L49" s="45" t="n">
        <v>152</v>
      </c>
      <c r="M49" s="26" t="inlineStr">
        <is>
          <t>20 Jul</t>
        </is>
      </c>
    </row>
    <row r="50">
      <c r="A50" s="41" t="n">
        <v>45859</v>
      </c>
      <c r="B50" s="28" t="n">
        <v>0.61</v>
      </c>
      <c r="C50" s="28" t="n">
        <v>0.66</v>
      </c>
      <c r="D50" s="29">
        <f>IF(COUNT(B50:C50)=2,(B50+C50)/2,"")</f>
        <v/>
      </c>
      <c r="E50" s="28" t="n">
        <v>0.31</v>
      </c>
      <c r="F50" s="28" t="n">
        <v>0.36</v>
      </c>
      <c r="G50" s="29">
        <f>IF(COUNT(E50:F50)=2,(E50+F50)/2,"")</f>
        <v/>
      </c>
      <c r="H50" s="29">
        <f>IF(AND(ISNUMBER(D50),ISNUMBER(G50)),D50+G50,"")</f>
        <v/>
      </c>
      <c r="I50" s="30">
        <f>IFERROR(D50/H50,"")</f>
        <v/>
      </c>
      <c r="J50" s="31">
        <f>IF(AND(ISNUMBER(D50),ISNUMBER(G50)),D50-G50,"")</f>
        <v/>
      </c>
      <c r="K50" s="46" t="n">
        <v>0</v>
      </c>
      <c r="L50" s="46" t="n">
        <v>152</v>
      </c>
      <c r="M50" s="38" t="inlineStr">
        <is>
          <t>21 Jul</t>
        </is>
      </c>
    </row>
    <row r="51">
      <c r="A51" s="39" t="n">
        <v>45860</v>
      </c>
      <c r="B51" s="16" t="n">
        <v>0.61</v>
      </c>
      <c r="C51" s="16" t="n">
        <v>0.66</v>
      </c>
      <c r="D51" s="17">
        <f>IF(COUNT(B51:C51)=2,(B51+C51)/2,"")</f>
        <v/>
      </c>
      <c r="E51" s="16" t="n">
        <v>0.31</v>
      </c>
      <c r="F51" s="16" t="n">
        <v>0.36</v>
      </c>
      <c r="G51" s="17">
        <f>IF(COUNT(E51:F51)=2,(E51+F51)/2,"")</f>
        <v/>
      </c>
      <c r="H51" s="17">
        <f>IF(AND(ISNUMBER(D51),ISNUMBER(G51)),D51+G51,"")</f>
        <v/>
      </c>
      <c r="I51" s="20">
        <f>IFERROR(D51/H51,"")</f>
        <v/>
      </c>
      <c r="J51" s="18">
        <f>IF(AND(ISNUMBER(D51),ISNUMBER(G51)),D51-G51,"")</f>
        <v/>
      </c>
      <c r="K51" s="45" t="n">
        <v>0</v>
      </c>
      <c r="L51" s="45" t="n">
        <v>152</v>
      </c>
      <c r="M51" s="26" t="inlineStr">
        <is>
          <t>22 Jul</t>
        </is>
      </c>
    </row>
    <row r="52">
      <c r="A52" s="41" t="n">
        <v>45861</v>
      </c>
      <c r="B52" s="28" t="n">
        <v>0.61</v>
      </c>
      <c r="C52" s="28" t="n">
        <v>0.66</v>
      </c>
      <c r="D52" s="29">
        <f>IF(COUNT(B52:C52)=2,(B52+C52)/2,"")</f>
        <v/>
      </c>
      <c r="E52" s="28" t="n">
        <v>0.31</v>
      </c>
      <c r="F52" s="28" t="n">
        <v>0.36</v>
      </c>
      <c r="G52" s="29">
        <f>IF(COUNT(E52:F52)=2,(E52+F52)/2,"")</f>
        <v/>
      </c>
      <c r="H52" s="29">
        <f>IF(AND(ISNUMBER(D52),ISNUMBER(G52)),D52+G52,"")</f>
        <v/>
      </c>
      <c r="I52" s="30">
        <f>IFERROR(D52/H52,"")</f>
        <v/>
      </c>
      <c r="J52" s="31">
        <f>IF(AND(ISNUMBER(D52),ISNUMBER(G52)),D52-G52,"")</f>
        <v/>
      </c>
      <c r="K52" s="46" t="n">
        <v>0</v>
      </c>
      <c r="L52" s="46" t="n">
        <v>152</v>
      </c>
      <c r="M52" s="38" t="inlineStr">
        <is>
          <t>23 Jul</t>
        </is>
      </c>
    </row>
    <row r="53">
      <c r="A53" s="39" t="n">
        <v>45862</v>
      </c>
      <c r="B53" s="16" t="n">
        <v>0.61</v>
      </c>
      <c r="C53" s="16" t="n">
        <v>0.66</v>
      </c>
      <c r="D53" s="17">
        <f>IF(COUNT(B53:C53)=2,(B53+C53)/2,"")</f>
        <v/>
      </c>
      <c r="E53" s="16" t="n">
        <v>0.31</v>
      </c>
      <c r="F53" s="16" t="n">
        <v>0.36</v>
      </c>
      <c r="G53" s="17">
        <f>IF(COUNT(E53:F53)=2,(E53+F53)/2,"")</f>
        <v/>
      </c>
      <c r="H53" s="17">
        <f>IF(AND(ISNUMBER(D53),ISNUMBER(G53)),D53+G53,"")</f>
        <v/>
      </c>
      <c r="I53" s="20">
        <f>IFERROR(D53/H53,"")</f>
        <v/>
      </c>
      <c r="J53" s="18">
        <f>IF(AND(ISNUMBER(D53),ISNUMBER(G53)),D53-G53,"")</f>
        <v/>
      </c>
      <c r="K53" s="45" t="n">
        <v>0</v>
      </c>
      <c r="L53" s="45" t="n">
        <v>152</v>
      </c>
      <c r="M53" s="26" t="inlineStr">
        <is>
          <t>24 Jul</t>
        </is>
      </c>
    </row>
    <row r="54">
      <c r="A54" s="41" t="n">
        <v>45863</v>
      </c>
      <c r="B54" s="28" t="n">
        <v>0.61</v>
      </c>
      <c r="C54" s="28" t="n">
        <v>0.66</v>
      </c>
      <c r="D54" s="29">
        <f>IF(COUNT(B54:C54)=2,(B54+C54)/2,"")</f>
        <v/>
      </c>
      <c r="E54" s="28" t="n">
        <v>0.31</v>
      </c>
      <c r="F54" s="28" t="n">
        <v>0.36</v>
      </c>
      <c r="G54" s="29">
        <f>IF(COUNT(E54:F54)=2,(E54+F54)/2,"")</f>
        <v/>
      </c>
      <c r="H54" s="29">
        <f>IF(AND(ISNUMBER(D54),ISNUMBER(G54)),D54+G54,"")</f>
        <v/>
      </c>
      <c r="I54" s="30">
        <f>IFERROR(D54/H54,"")</f>
        <v/>
      </c>
      <c r="J54" s="31">
        <f>IF(AND(ISNUMBER(D54),ISNUMBER(G54)),D54-G54,"")</f>
        <v/>
      </c>
      <c r="K54" s="46" t="n">
        <v>5</v>
      </c>
      <c r="L54" s="46" t="n">
        <v>157</v>
      </c>
      <c r="M54" s="38" t="inlineStr">
        <is>
          <t>25 Jul</t>
        </is>
      </c>
    </row>
    <row r="55">
      <c r="A55" s="39" t="n">
        <v>45864</v>
      </c>
      <c r="B55" s="16" t="n">
        <v>0.61</v>
      </c>
      <c r="C55" s="16" t="n">
        <v>0.66</v>
      </c>
      <c r="D55" s="17">
        <f>IF(COUNT(B55:C55)=2,(B55+C55)/2,"")</f>
        <v/>
      </c>
      <c r="E55" s="16" t="n">
        <v>0.31</v>
      </c>
      <c r="F55" s="16" t="n">
        <v>0.36</v>
      </c>
      <c r="G55" s="17">
        <f>IF(COUNT(E55:F55)=2,(E55+F55)/2,"")</f>
        <v/>
      </c>
      <c r="H55" s="17">
        <f>IF(AND(ISNUMBER(D55),ISNUMBER(G55)),D55+G55,"")</f>
        <v/>
      </c>
      <c r="I55" s="20">
        <f>IFERROR(D55/H55,"")</f>
        <v/>
      </c>
      <c r="J55" s="18">
        <f>IF(AND(ISNUMBER(D55),ISNUMBER(G55)),D55-G55,"")</f>
        <v/>
      </c>
      <c r="K55" s="45" t="n">
        <v>0</v>
      </c>
      <c r="L55" s="45" t="n">
        <v>157</v>
      </c>
      <c r="M55" s="26" t="inlineStr">
        <is>
          <t>26 Jul</t>
        </is>
      </c>
    </row>
    <row r="56">
      <c r="A56" s="41" t="n">
        <v>45865</v>
      </c>
      <c r="B56" s="28" t="n">
        <v>0.61</v>
      </c>
      <c r="C56" s="28" t="n">
        <v>0.66</v>
      </c>
      <c r="D56" s="29">
        <f>IF(COUNT(B56:C56)=2,(B56+C56)/2,"")</f>
        <v/>
      </c>
      <c r="E56" s="28" t="n">
        <v>0.31</v>
      </c>
      <c r="F56" s="28" t="n">
        <v>0.36</v>
      </c>
      <c r="G56" s="29">
        <f>IF(COUNT(E56:F56)=2,(E56+F56)/2,"")</f>
        <v/>
      </c>
      <c r="H56" s="29">
        <f>IF(AND(ISNUMBER(D56),ISNUMBER(G56)),D56+G56,"")</f>
        <v/>
      </c>
      <c r="I56" s="30">
        <f>IFERROR(D56/H56,"")</f>
        <v/>
      </c>
      <c r="J56" s="31">
        <f>IF(AND(ISNUMBER(D56),ISNUMBER(G56)),D56-G56,"")</f>
        <v/>
      </c>
      <c r="K56" s="46" t="n">
        <v>0</v>
      </c>
      <c r="L56" s="46" t="n">
        <v>157</v>
      </c>
      <c r="M56" s="38" t="inlineStr">
        <is>
          <t>27 Jul</t>
        </is>
      </c>
    </row>
    <row r="57">
      <c r="A57" s="39" t="n">
        <v>45866</v>
      </c>
      <c r="B57" s="16" t="n">
        <v>0.61</v>
      </c>
      <c r="C57" s="16" t="n">
        <v>0.66</v>
      </c>
      <c r="D57" s="17">
        <f>IF(COUNT(B57:C57)=2,(B57+C57)/2,"")</f>
        <v/>
      </c>
      <c r="E57" s="16" t="n">
        <v>0.31</v>
      </c>
      <c r="F57" s="16" t="n">
        <v>0.36</v>
      </c>
      <c r="G57" s="17">
        <f>IF(COUNT(E57:F57)=2,(E57+F57)/2,"")</f>
        <v/>
      </c>
      <c r="H57" s="17">
        <f>IF(AND(ISNUMBER(D57),ISNUMBER(G57)),D57+G57,"")</f>
        <v/>
      </c>
      <c r="I57" s="20">
        <f>IFERROR(D57/H57,"")</f>
        <v/>
      </c>
      <c r="J57" s="18">
        <f>IF(AND(ISNUMBER(D57),ISNUMBER(G57)),D57-G57,"")</f>
        <v/>
      </c>
      <c r="K57" s="45" t="n">
        <v>0</v>
      </c>
      <c r="L57" s="45" t="n">
        <v>157</v>
      </c>
      <c r="M57" s="26" t="inlineStr">
        <is>
          <t>28 Jul</t>
        </is>
      </c>
    </row>
    <row r="58">
      <c r="A58" s="41" t="n">
        <v>45867</v>
      </c>
      <c r="B58" s="28" t="n">
        <v>0.61</v>
      </c>
      <c r="C58" s="28" t="n">
        <v>0.66</v>
      </c>
      <c r="D58" s="29">
        <f>IF(COUNT(B58:C58)=2,(B58+C58)/2,"")</f>
        <v/>
      </c>
      <c r="E58" s="28" t="n">
        <v>0.32</v>
      </c>
      <c r="F58" s="28" t="n">
        <v>0.37</v>
      </c>
      <c r="G58" s="29">
        <f>IF(COUNT(E58:F58)=2,(E58+F58)/2,"")</f>
        <v/>
      </c>
      <c r="H58" s="29">
        <f>IF(AND(ISNUMBER(D58),ISNUMBER(G58)),D58+G58,"")</f>
        <v/>
      </c>
      <c r="I58" s="30">
        <f>IFERROR(D58/H58,"")</f>
        <v/>
      </c>
      <c r="J58" s="31">
        <f>IF(AND(ISNUMBER(D58),ISNUMBER(G58)),D58-G58,"")</f>
        <v/>
      </c>
      <c r="K58" s="46" t="n">
        <v>72</v>
      </c>
      <c r="L58" s="46" t="n">
        <v>229</v>
      </c>
      <c r="M58" s="38" t="inlineStr">
        <is>
          <t>29 Jul</t>
        </is>
      </c>
    </row>
    <row r="59">
      <c r="A59" s="39" t="n">
        <v>45868</v>
      </c>
      <c r="B59" s="16" t="n">
        <v>0.59</v>
      </c>
      <c r="C59" s="16" t="n">
        <v>0.66</v>
      </c>
      <c r="D59" s="17">
        <f>IF(COUNT(B59:C59)=2,(B59+C59)/2,"")</f>
        <v/>
      </c>
      <c r="E59" s="16" t="n">
        <v>0.31</v>
      </c>
      <c r="F59" s="16" t="n">
        <v>0.37</v>
      </c>
      <c r="G59" s="17">
        <f>IF(COUNT(E59:F59)=2,(E59+F59)/2,"")</f>
        <v/>
      </c>
      <c r="H59" s="17">
        <f>IF(AND(ISNUMBER(D59),ISNUMBER(G59)),D59+G59,"")</f>
        <v/>
      </c>
      <c r="I59" s="20">
        <f>IFERROR(D59/H59,"")</f>
        <v/>
      </c>
      <c r="J59" s="18">
        <f>IF(AND(ISNUMBER(D59),ISNUMBER(G59)),D59-G59,"")</f>
        <v/>
      </c>
      <c r="K59" s="45" t="n">
        <v>0</v>
      </c>
      <c r="L59" s="45" t="n">
        <v>229</v>
      </c>
      <c r="M59" s="26" t="inlineStr">
        <is>
          <t>30 Jul</t>
        </is>
      </c>
    </row>
    <row r="60">
      <c r="A60" s="41" t="n">
        <v>45869</v>
      </c>
      <c r="B60" s="28" t="n">
        <v>0.59</v>
      </c>
      <c r="C60" s="28" t="n">
        <v>0.66</v>
      </c>
      <c r="D60" s="29">
        <f>IF(COUNT(B60:C60)=2,(B60+C60)/2,"")</f>
        <v/>
      </c>
      <c r="E60" s="28" t="n">
        <v>0.32</v>
      </c>
      <c r="F60" s="28" t="n">
        <v>0.37</v>
      </c>
      <c r="G60" s="29">
        <f>IF(COUNT(E60:F60)=2,(E60+F60)/2,"")</f>
        <v/>
      </c>
      <c r="H60" s="29">
        <f>IF(AND(ISNUMBER(D60),ISNUMBER(G60)),D60+G60,"")</f>
        <v/>
      </c>
      <c r="I60" s="30">
        <f>IFERROR(D60/H60,"")</f>
        <v/>
      </c>
      <c r="J60" s="31">
        <f>IF(AND(ISNUMBER(D60),ISNUMBER(G60)),D60-G60,"")</f>
        <v/>
      </c>
      <c r="K60" s="46" t="n">
        <v>0</v>
      </c>
      <c r="L60" s="46" t="n">
        <v>229</v>
      </c>
      <c r="M60" s="38" t="inlineStr">
        <is>
          <t>31 Jul</t>
        </is>
      </c>
    </row>
    <row r="61">
      <c r="A61" s="39" t="n">
        <v>45870</v>
      </c>
      <c r="B61" s="16" t="n">
        <v>0.59</v>
      </c>
      <c r="C61" s="16" t="n">
        <v>0.66</v>
      </c>
      <c r="D61" s="17">
        <f>IF(COUNT(B61:C61)=2,(B61+C61)/2,"")</f>
        <v/>
      </c>
      <c r="E61" s="16" t="n">
        <v>0.32</v>
      </c>
      <c r="F61" s="16" t="n">
        <v>0.37</v>
      </c>
      <c r="G61" s="17">
        <f>IF(COUNT(E61:F61)=2,(E61+F61)/2,"")</f>
        <v/>
      </c>
      <c r="H61" s="17">
        <f>IF(AND(ISNUMBER(D61),ISNUMBER(G61)),D61+G61,"")</f>
        <v/>
      </c>
      <c r="I61" s="20">
        <f>IFERROR(D61/H61,"")</f>
        <v/>
      </c>
      <c r="J61" s="18">
        <f>IF(AND(ISNUMBER(D61),ISNUMBER(G61)),D61-G61,"")</f>
        <v/>
      </c>
      <c r="K61" s="45" t="n">
        <v>0</v>
      </c>
      <c r="L61" s="45" t="n">
        <v>229</v>
      </c>
      <c r="M61" s="26" t="inlineStr">
        <is>
          <t>01 Aug</t>
        </is>
      </c>
    </row>
    <row r="62">
      <c r="A62" s="41" t="n">
        <v>45871</v>
      </c>
      <c r="B62" s="28" t="n">
        <v>0.59</v>
      </c>
      <c r="C62" s="28" t="n">
        <v>0.66</v>
      </c>
      <c r="D62" s="29">
        <f>IF(COUNT(B62:C62)=2,(B62+C62)/2,"")</f>
        <v/>
      </c>
      <c r="E62" s="28" t="n">
        <v>0.32</v>
      </c>
      <c r="F62" s="28" t="n">
        <v>0.37</v>
      </c>
      <c r="G62" s="29">
        <f>IF(COUNT(E62:F62)=2,(E62+F62)/2,"")</f>
        <v/>
      </c>
      <c r="H62" s="29">
        <f>IF(AND(ISNUMBER(D62),ISNUMBER(G62)),D62+G62,"")</f>
        <v/>
      </c>
      <c r="I62" s="30">
        <f>IFERROR(D62/H62,"")</f>
        <v/>
      </c>
      <c r="J62" s="31">
        <f>IF(AND(ISNUMBER(D62),ISNUMBER(G62)),D62-G62,"")</f>
        <v/>
      </c>
      <c r="K62" s="46" t="n">
        <v>0</v>
      </c>
      <c r="L62" s="46" t="n">
        <v>229</v>
      </c>
      <c r="M62" s="38" t="inlineStr">
        <is>
          <t>02 Aug</t>
        </is>
      </c>
    </row>
    <row r="63">
      <c r="A63" s="39" t="n">
        <v>45872</v>
      </c>
      <c r="B63" s="16" t="n">
        <v>0.59</v>
      </c>
      <c r="C63" s="16" t="n">
        <v>0.66</v>
      </c>
      <c r="D63" s="17">
        <f>IF(COUNT(B63:C63)=2,(B63+C63)/2,"")</f>
        <v/>
      </c>
      <c r="E63" s="16" t="n">
        <v>0.32</v>
      </c>
      <c r="F63" s="16" t="n">
        <v>0.37</v>
      </c>
      <c r="G63" s="17">
        <f>IF(COUNT(E63:F63)=2,(E63+F63)/2,"")</f>
        <v/>
      </c>
      <c r="H63" s="17">
        <f>IF(AND(ISNUMBER(D63),ISNUMBER(G63)),D63+G63,"")</f>
        <v/>
      </c>
      <c r="I63" s="20">
        <f>IFERROR(D63/H63,"")</f>
        <v/>
      </c>
      <c r="J63" s="18">
        <f>IF(AND(ISNUMBER(D63),ISNUMBER(G63)),D63-G63,"")</f>
        <v/>
      </c>
      <c r="K63" s="45" t="n">
        <v>0</v>
      </c>
      <c r="L63" s="45" t="n">
        <v>229</v>
      </c>
      <c r="M63" s="26" t="inlineStr">
        <is>
          <t>03 Aug</t>
        </is>
      </c>
    </row>
    <row r="64">
      <c r="A64" s="41" t="n">
        <v>45873</v>
      </c>
      <c r="B64" s="28" t="n">
        <v>0.59</v>
      </c>
      <c r="C64" s="28" t="n">
        <v>0.66</v>
      </c>
      <c r="D64" s="29">
        <f>IF(COUNT(B64:C64)=2,(B64+C64)/2,"")</f>
        <v/>
      </c>
      <c r="E64" s="28" t="n">
        <v>0.32</v>
      </c>
      <c r="F64" s="28" t="n">
        <v>0.37</v>
      </c>
      <c r="G64" s="29">
        <f>IF(COUNT(E64:F64)=2,(E64+F64)/2,"")</f>
        <v/>
      </c>
      <c r="H64" s="29">
        <f>IF(AND(ISNUMBER(D64),ISNUMBER(G64)),D64+G64,"")</f>
        <v/>
      </c>
      <c r="I64" s="30">
        <f>IFERROR(D64/H64,"")</f>
        <v/>
      </c>
      <c r="J64" s="31">
        <f>IF(AND(ISNUMBER(D64),ISNUMBER(G64)),D64-G64,"")</f>
        <v/>
      </c>
      <c r="K64" s="46" t="n">
        <v>0</v>
      </c>
      <c r="L64" s="46" t="n">
        <v>229</v>
      </c>
      <c r="M64" s="38" t="inlineStr">
        <is>
          <t>04 Aug</t>
        </is>
      </c>
    </row>
    <row r="65">
      <c r="A65" s="39" t="n">
        <v>45874</v>
      </c>
      <c r="B65" s="16" t="n">
        <v>0.59</v>
      </c>
      <c r="C65" s="16" t="n">
        <v>0.66</v>
      </c>
      <c r="D65" s="17">
        <f>IF(COUNT(B65:C65)=2,(B65+C65)/2,"")</f>
        <v/>
      </c>
      <c r="E65" s="16" t="n">
        <v>0.32</v>
      </c>
      <c r="F65" s="16" t="n">
        <v>0.37</v>
      </c>
      <c r="G65" s="17">
        <f>IF(COUNT(E65:F65)=2,(E65+F65)/2,"")</f>
        <v/>
      </c>
      <c r="H65" s="17">
        <f>IF(AND(ISNUMBER(D65),ISNUMBER(G65)),D65+G65,"")</f>
        <v/>
      </c>
      <c r="I65" s="20">
        <f>IFERROR(D65/H65,"")</f>
        <v/>
      </c>
      <c r="J65" s="18">
        <f>IF(AND(ISNUMBER(D65),ISNUMBER(G65)),D65-G65,"")</f>
        <v/>
      </c>
      <c r="K65" s="45" t="n">
        <v>0</v>
      </c>
      <c r="L65" s="45" t="n">
        <v>229</v>
      </c>
      <c r="M65" s="26" t="inlineStr">
        <is>
          <t>05 Aug</t>
        </is>
      </c>
    </row>
    <row r="66">
      <c r="A66" s="41" t="n">
        <v>45875</v>
      </c>
      <c r="B66" s="28" t="n">
        <v>0.59</v>
      </c>
      <c r="C66" s="28" t="n">
        <v>0.66</v>
      </c>
      <c r="D66" s="29">
        <f>IF(COUNT(B66:C66)=2,(B66+C66)/2,"")</f>
        <v/>
      </c>
      <c r="E66" s="28" t="n">
        <v>0.32</v>
      </c>
      <c r="F66" s="28" t="n">
        <v>0.37</v>
      </c>
      <c r="G66" s="29">
        <f>IF(COUNT(E66:F66)=2,(E66+F66)/2,"")</f>
        <v/>
      </c>
      <c r="H66" s="29">
        <f>IF(AND(ISNUMBER(D66),ISNUMBER(G66)),D66+G66,"")</f>
        <v/>
      </c>
      <c r="I66" s="30">
        <f>IFERROR(D66/H66,"")</f>
        <v/>
      </c>
      <c r="J66" s="31">
        <f>IF(AND(ISNUMBER(D66),ISNUMBER(G66)),D66-G66,"")</f>
        <v/>
      </c>
      <c r="K66" s="46" t="n">
        <v>0</v>
      </c>
      <c r="L66" s="46" t="n">
        <v>229</v>
      </c>
      <c r="M66" s="38" t="inlineStr">
        <is>
          <t>06 Aug</t>
        </is>
      </c>
    </row>
    <row r="67">
      <c r="A67" s="39" t="n">
        <v>45876</v>
      </c>
      <c r="B67" s="16" t="n">
        <v>0.59</v>
      </c>
      <c r="C67" s="16" t="n">
        <v>0.66</v>
      </c>
      <c r="D67" s="17">
        <f>IF(COUNT(B67:C67)=2,(B67+C67)/2,"")</f>
        <v/>
      </c>
      <c r="E67" s="16" t="n">
        <v>0.32</v>
      </c>
      <c r="F67" s="16" t="n">
        <v>0.37</v>
      </c>
      <c r="G67" s="17">
        <f>IF(COUNT(E67:F67)=2,(E67+F67)/2,"")</f>
        <v/>
      </c>
      <c r="H67" s="17">
        <f>IF(AND(ISNUMBER(D67),ISNUMBER(G67)),D67+G67,"")</f>
        <v/>
      </c>
      <c r="I67" s="20">
        <f>IFERROR(D67/H67,"")</f>
        <v/>
      </c>
      <c r="J67" s="18">
        <f>IF(AND(ISNUMBER(D67),ISNUMBER(G67)),D67-G67,"")</f>
        <v/>
      </c>
      <c r="K67" s="45" t="n">
        <v>0</v>
      </c>
      <c r="L67" s="45" t="n">
        <v>229</v>
      </c>
      <c r="M67" s="26" t="inlineStr">
        <is>
          <t>07 Aug</t>
        </is>
      </c>
    </row>
    <row r="68">
      <c r="A68" s="41" t="n">
        <v>45877</v>
      </c>
      <c r="B68" s="28" t="n">
        <v>0.59</v>
      </c>
      <c r="C68" s="28" t="n">
        <v>0.66</v>
      </c>
      <c r="D68" s="29">
        <f>IF(COUNT(B68:C68)=2,(B68+C68)/2,"")</f>
        <v/>
      </c>
      <c r="E68" s="28" t="n">
        <v>0.32</v>
      </c>
      <c r="F68" s="28" t="n">
        <v>0.37</v>
      </c>
      <c r="G68" s="29">
        <f>IF(COUNT(E68:F68)=2,(E68+F68)/2,"")</f>
        <v/>
      </c>
      <c r="H68" s="29">
        <f>IF(AND(ISNUMBER(D68),ISNUMBER(G68)),D68+G68,"")</f>
        <v/>
      </c>
      <c r="I68" s="30">
        <f>IFERROR(D68/H68,"")</f>
        <v/>
      </c>
      <c r="J68" s="31">
        <f>IF(AND(ISNUMBER(D68),ISNUMBER(G68)),D68-G68,"")</f>
        <v/>
      </c>
      <c r="K68" s="46" t="n">
        <v>0</v>
      </c>
      <c r="L68" s="46" t="n">
        <v>229</v>
      </c>
      <c r="M68" s="38" t="inlineStr">
        <is>
          <t>08 Aug</t>
        </is>
      </c>
    </row>
    <row r="69">
      <c r="A69" s="39" t="n">
        <v>45878</v>
      </c>
      <c r="B69" s="16" t="n">
        <v>0.59</v>
      </c>
      <c r="C69" s="16" t="n">
        <v>0.66</v>
      </c>
      <c r="D69" s="17">
        <f>IF(COUNT(B69:C69)=2,(B69+C69)/2,"")</f>
        <v/>
      </c>
      <c r="E69" s="16" t="n">
        <v>0.32</v>
      </c>
      <c r="F69" s="16" t="n">
        <v>0.37</v>
      </c>
      <c r="G69" s="17">
        <f>IF(COUNT(E69:F69)=2,(E69+F69)/2,"")</f>
        <v/>
      </c>
      <c r="H69" s="17">
        <f>IF(AND(ISNUMBER(D69),ISNUMBER(G69)),D69+G69,"")</f>
        <v/>
      </c>
      <c r="I69" s="20">
        <f>IFERROR(D69/H69,"")</f>
        <v/>
      </c>
      <c r="J69" s="18">
        <f>IF(AND(ISNUMBER(D69),ISNUMBER(G69)),D69-G69,"")</f>
        <v/>
      </c>
      <c r="K69" s="45" t="n">
        <v>0</v>
      </c>
      <c r="L69" s="45" t="n">
        <v>229</v>
      </c>
      <c r="M69" s="26" t="inlineStr">
        <is>
          <t>09 Aug</t>
        </is>
      </c>
    </row>
    <row r="70">
      <c r="A70" s="41" t="n">
        <v>45879</v>
      </c>
      <c r="B70" s="28" t="n">
        <v>0.59</v>
      </c>
      <c r="C70" s="28" t="n">
        <v>0.66</v>
      </c>
      <c r="D70" s="29">
        <f>IF(COUNT(B70:C70)=2,(B70+C70)/2,"")</f>
        <v/>
      </c>
      <c r="E70" s="28" t="n">
        <v>0.32</v>
      </c>
      <c r="F70" s="28" t="n">
        <v>0.37</v>
      </c>
      <c r="G70" s="29">
        <f>IF(COUNT(E70:F70)=2,(E70+F70)/2,"")</f>
        <v/>
      </c>
      <c r="H70" s="29">
        <f>IF(AND(ISNUMBER(D70),ISNUMBER(G70)),D70+G70,"")</f>
        <v/>
      </c>
      <c r="I70" s="30">
        <f>IFERROR(D70/H70,"")</f>
        <v/>
      </c>
      <c r="J70" s="31">
        <f>IF(AND(ISNUMBER(D70),ISNUMBER(G70)),D70-G70,"")</f>
        <v/>
      </c>
      <c r="K70" s="46" t="n">
        <v>0</v>
      </c>
      <c r="L70" s="46" t="n">
        <v>229</v>
      </c>
      <c r="M70" s="38" t="inlineStr">
        <is>
          <t>10 Aug</t>
        </is>
      </c>
    </row>
    <row r="71">
      <c r="A71" s="39" t="n">
        <v>45880</v>
      </c>
      <c r="B71" s="16" t="n">
        <v>0.59</v>
      </c>
      <c r="C71" s="16" t="n">
        <v>0.66</v>
      </c>
      <c r="D71" s="17">
        <f>IF(COUNT(B71:C71)=2,(B71+C71)/2,"")</f>
        <v/>
      </c>
      <c r="E71" s="16" t="n">
        <v>0.32</v>
      </c>
      <c r="F71" s="16" t="n">
        <v>0.37</v>
      </c>
      <c r="G71" s="17">
        <f>IF(COUNT(E71:F71)=2,(E71+F71)/2,"")</f>
        <v/>
      </c>
      <c r="H71" s="17">
        <f>IF(AND(ISNUMBER(D71),ISNUMBER(G71)),D71+G71,"")</f>
        <v/>
      </c>
      <c r="I71" s="20">
        <f>IFERROR(D71/H71,"")</f>
        <v/>
      </c>
      <c r="J71" s="18">
        <f>IF(AND(ISNUMBER(D71),ISNUMBER(G71)),D71-G71,"")</f>
        <v/>
      </c>
      <c r="K71" s="45" t="n">
        <v>0</v>
      </c>
      <c r="L71" s="45" t="n">
        <v>229</v>
      </c>
      <c r="M71" s="26" t="inlineStr">
        <is>
          <t>11 Aug</t>
        </is>
      </c>
    </row>
    <row r="72">
      <c r="A72" s="41" t="n">
        <v>45881</v>
      </c>
      <c r="B72" s="28" t="n">
        <v>0.59</v>
      </c>
      <c r="C72" s="28" t="n">
        <v>0.66</v>
      </c>
      <c r="D72" s="29">
        <f>IF(COUNT(B72:C72)=2,(B72+C72)/2,"")</f>
        <v/>
      </c>
      <c r="E72" s="28" t="n">
        <v>0.32</v>
      </c>
      <c r="F72" s="28" t="n">
        <v>0.37</v>
      </c>
      <c r="G72" s="29">
        <f>IF(COUNT(E72:F72)=2,(E72+F72)/2,"")</f>
        <v/>
      </c>
      <c r="H72" s="29">
        <f>IF(AND(ISNUMBER(D72),ISNUMBER(G72)),D72+G72,"")</f>
        <v/>
      </c>
      <c r="I72" s="30">
        <f>IFERROR(D72/H72,"")</f>
        <v/>
      </c>
      <c r="J72" s="31">
        <f>IF(AND(ISNUMBER(D72),ISNUMBER(G72)),D72-G72,"")</f>
        <v/>
      </c>
      <c r="K72" s="46" t="n">
        <v>0</v>
      </c>
      <c r="L72" s="46" t="n">
        <v>229</v>
      </c>
      <c r="M72" s="38" t="inlineStr">
        <is>
          <t>12 Aug</t>
        </is>
      </c>
    </row>
    <row r="73">
      <c r="A73" s="39" t="n">
        <v>45882</v>
      </c>
      <c r="B73" s="16" t="n">
        <v>0.59</v>
      </c>
      <c r="C73" s="16" t="n">
        <v>0.66</v>
      </c>
      <c r="D73" s="17">
        <f>IF(COUNT(B73:C73)=2,(B73+C73)/2,"")</f>
        <v/>
      </c>
      <c r="E73" s="16" t="n">
        <v>0.32</v>
      </c>
      <c r="F73" s="16" t="n">
        <v>0.37</v>
      </c>
      <c r="G73" s="17">
        <f>IF(COUNT(E73:F73)=2,(E73+F73)/2,"")</f>
        <v/>
      </c>
      <c r="H73" s="17">
        <f>IF(AND(ISNUMBER(D73),ISNUMBER(G73)),D73+G73,"")</f>
        <v/>
      </c>
      <c r="I73" s="20">
        <f>IFERROR(D73/H73,"")</f>
        <v/>
      </c>
      <c r="J73" s="18">
        <f>IF(AND(ISNUMBER(D73),ISNUMBER(G73)),D73-G73,"")</f>
        <v/>
      </c>
      <c r="K73" s="45" t="n">
        <v>0</v>
      </c>
      <c r="L73" s="45" t="n">
        <v>229</v>
      </c>
      <c r="M73" s="26" t="inlineStr">
        <is>
          <t>13 Aug</t>
        </is>
      </c>
    </row>
    <row r="74">
      <c r="A74" s="41" t="n">
        <v>45883</v>
      </c>
      <c r="B74" s="28" t="n">
        <v>0.6</v>
      </c>
      <c r="C74" s="28" t="n">
        <v>0.66</v>
      </c>
      <c r="D74" s="29">
        <f>IF(COUNT(B74:C74)=2,(B74+C74)/2,"")</f>
        <v/>
      </c>
      <c r="E74" s="28" t="n">
        <v>0.32</v>
      </c>
      <c r="F74" s="28" t="n">
        <v>0.36</v>
      </c>
      <c r="G74" s="29">
        <f>IF(COUNT(E74:F74)=2,(E74+F74)/2,"")</f>
        <v/>
      </c>
      <c r="H74" s="29">
        <f>IF(AND(ISNUMBER(D74),ISNUMBER(G74)),D74+G74,"")</f>
        <v/>
      </c>
      <c r="I74" s="30">
        <f>IFERROR(D74/H74,"")</f>
        <v/>
      </c>
      <c r="J74" s="31">
        <f>IF(AND(ISNUMBER(D74),ISNUMBER(G74)),D74-G74,"")</f>
        <v/>
      </c>
      <c r="K74" s="46" t="n">
        <v>73</v>
      </c>
      <c r="L74" s="46" t="n">
        <v>229</v>
      </c>
      <c r="M74" s="38" t="inlineStr">
        <is>
          <t>14 Aug</t>
        </is>
      </c>
    </row>
    <row r="75">
      <c r="A75" s="39" t="n">
        <v>45884</v>
      </c>
      <c r="B75" s="16" t="n">
        <v>0.6</v>
      </c>
      <c r="C75" s="16" t="n">
        <v>0.66</v>
      </c>
      <c r="D75" s="17">
        <f>IF(COUNT(B75:C75)=2,(B75+C75)/2,"")</f>
        <v/>
      </c>
      <c r="E75" s="16" t="n">
        <v>0.32</v>
      </c>
      <c r="F75" s="16" t="n">
        <v>0.36</v>
      </c>
      <c r="G75" s="17">
        <f>IF(COUNT(E75:F75)=2,(E75+F75)/2,"")</f>
        <v/>
      </c>
      <c r="H75" s="17">
        <f>IF(AND(ISNUMBER(D75),ISNUMBER(G75)),D75+G75,"")</f>
        <v/>
      </c>
      <c r="I75" s="20">
        <f>IFERROR(D75/H75,"")</f>
        <v/>
      </c>
      <c r="J75" s="18">
        <f>IF(AND(ISNUMBER(D75),ISNUMBER(G75)),D75-G75,"")</f>
        <v/>
      </c>
      <c r="K75" s="45" t="n">
        <v>0</v>
      </c>
      <c r="L75" s="45" t="n">
        <v>229</v>
      </c>
      <c r="M75" s="26" t="inlineStr">
        <is>
          <t>15 Aug</t>
        </is>
      </c>
    </row>
    <row r="76">
      <c r="A76" s="41" t="n">
        <v>45885</v>
      </c>
      <c r="B76" s="28" t="n">
        <v>0.6</v>
      </c>
      <c r="C76" s="28" t="n">
        <v>0.66</v>
      </c>
      <c r="D76" s="29">
        <f>IF(COUNT(B76:C76)=2,(B76+C76)/2,"")</f>
        <v/>
      </c>
      <c r="E76" s="28" t="n">
        <v>0.32</v>
      </c>
      <c r="F76" s="28" t="n">
        <v>0.36</v>
      </c>
      <c r="G76" s="29">
        <f>IF(COUNT(E76:F76)=2,(E76+F76)/2,"")</f>
        <v/>
      </c>
      <c r="H76" s="29">
        <f>IF(AND(ISNUMBER(D76),ISNUMBER(G76)),D76+G76,"")</f>
        <v/>
      </c>
      <c r="I76" s="30">
        <f>IFERROR(D76/H76,"")</f>
        <v/>
      </c>
      <c r="J76" s="31">
        <f>IF(AND(ISNUMBER(D76),ISNUMBER(G76)),D76-G76,"")</f>
        <v/>
      </c>
      <c r="K76" s="46" t="n">
        <v>0</v>
      </c>
      <c r="L76" s="46" t="n">
        <v>229</v>
      </c>
      <c r="M76" s="38" t="inlineStr">
        <is>
          <t>16 Aug</t>
        </is>
      </c>
    </row>
    <row r="77">
      <c r="A77" s="39" t="n">
        <v>45886</v>
      </c>
      <c r="B77" s="16" t="n">
        <v>0.6</v>
      </c>
      <c r="C77" s="16" t="n">
        <v>0.66</v>
      </c>
      <c r="D77" s="17">
        <f>IF(COUNT(B77:C77)=2,(B77+C77)/2,"")</f>
        <v/>
      </c>
      <c r="E77" s="16" t="n">
        <v>0.32</v>
      </c>
      <c r="F77" s="16" t="n">
        <v>0.36</v>
      </c>
      <c r="G77" s="17">
        <f>IF(COUNT(E77:F77)=2,(E77+F77)/2,"")</f>
        <v/>
      </c>
      <c r="H77" s="17">
        <f>IF(AND(ISNUMBER(D77),ISNUMBER(G77)),D77+G77,"")</f>
        <v/>
      </c>
      <c r="I77" s="20">
        <f>IFERROR(D77/H77,"")</f>
        <v/>
      </c>
      <c r="J77" s="18">
        <f>IF(AND(ISNUMBER(D77),ISNUMBER(G77)),D77-G77,"")</f>
        <v/>
      </c>
      <c r="K77" s="45" t="n">
        <v>0</v>
      </c>
      <c r="L77" s="45" t="n">
        <v>229</v>
      </c>
      <c r="M77" s="26" t="inlineStr">
        <is>
          <t>17 Aug</t>
        </is>
      </c>
    </row>
    <row r="78">
      <c r="A78" s="41" t="n">
        <v>45887</v>
      </c>
      <c r="B78" s="28" t="n">
        <v>0.6</v>
      </c>
      <c r="C78" s="28" t="n">
        <v>0.66</v>
      </c>
      <c r="D78" s="29">
        <f>IF(COUNT(B78:C78)=2,(B78+C78)/2,"")</f>
        <v/>
      </c>
      <c r="E78" s="28" t="n">
        <v>0.32</v>
      </c>
      <c r="F78" s="28" t="n">
        <v>0.36</v>
      </c>
      <c r="G78" s="29">
        <f>IF(COUNT(E78:F78)=2,(E78+F78)/2,"")</f>
        <v/>
      </c>
      <c r="H78" s="29">
        <f>IF(AND(ISNUMBER(D78),ISNUMBER(G78)),D78+G78,"")</f>
        <v/>
      </c>
      <c r="I78" s="30">
        <f>IFERROR(D78/H78,"")</f>
        <v/>
      </c>
      <c r="J78" s="31">
        <f>IF(AND(ISNUMBER(D78),ISNUMBER(G78)),D78-G78,"")</f>
        <v/>
      </c>
      <c r="K78" s="46" t="n">
        <v>0</v>
      </c>
      <c r="L78" s="46" t="n">
        <v>229</v>
      </c>
      <c r="M78" s="38" t="inlineStr">
        <is>
          <t>18 Aug</t>
        </is>
      </c>
    </row>
    <row r="79">
      <c r="A79" s="39" t="n">
        <v>45888</v>
      </c>
      <c r="B79" s="16" t="n">
        <v>0.59</v>
      </c>
      <c r="C79" s="16" t="n">
        <v>0.66</v>
      </c>
      <c r="D79" s="17">
        <f>IF(COUNT(B79:C79)=2,(B79+C79)/2,"")</f>
        <v/>
      </c>
      <c r="E79" s="16" t="n">
        <v>0.36</v>
      </c>
      <c r="F79" s="16" t="n">
        <v>0.37</v>
      </c>
      <c r="G79" s="17">
        <f>IF(COUNT(E79:F79)=2,(E79+F79)/2,"")</f>
        <v/>
      </c>
      <c r="H79" s="17">
        <f>IF(AND(ISNUMBER(D79),ISNUMBER(G79)),D79+G79,"")</f>
        <v/>
      </c>
      <c r="I79" s="20">
        <f>IFERROR(D79/H79,"")</f>
        <v/>
      </c>
      <c r="J79" s="18">
        <f>IF(AND(ISNUMBER(D79),ISNUMBER(G79)),D79-G79,"")</f>
        <v/>
      </c>
      <c r="K79" s="45" t="n">
        <v>37</v>
      </c>
      <c r="L79" s="45" t="n">
        <v>266</v>
      </c>
      <c r="M79" s="26" t="inlineStr">
        <is>
          <t>19 Aug</t>
        </is>
      </c>
    </row>
    <row r="80">
      <c r="A80" s="41" t="n">
        <v>45889</v>
      </c>
      <c r="B80" s="28" t="n">
        <v>0.59</v>
      </c>
      <c r="C80" s="28" t="n">
        <v>0.66</v>
      </c>
      <c r="D80" s="29">
        <f>IF(COUNT(B80:C80)=2,(B80+C80)/2,"")</f>
        <v/>
      </c>
      <c r="E80" s="28" t="n">
        <v>0.36</v>
      </c>
      <c r="F80" s="28" t="n">
        <v>0.37</v>
      </c>
      <c r="G80" s="29">
        <f>IF(COUNT(E80:F80)=2,(E80+F80)/2,"")</f>
        <v/>
      </c>
      <c r="H80" s="29">
        <f>IF(AND(ISNUMBER(D80),ISNUMBER(G80)),D80+G80,"")</f>
        <v/>
      </c>
      <c r="I80" s="30">
        <f>IFERROR(D80/H80,"")</f>
        <v/>
      </c>
      <c r="J80" s="31">
        <f>IF(AND(ISNUMBER(D80),ISNUMBER(G80)),D80-G80,"")</f>
        <v/>
      </c>
      <c r="K80" s="46" t="n">
        <v>0</v>
      </c>
      <c r="L80" s="46" t="n">
        <v>266</v>
      </c>
      <c r="M80" s="38" t="inlineStr">
        <is>
          <t>20 Aug</t>
        </is>
      </c>
    </row>
    <row r="81">
      <c r="A81" s="39" t="n">
        <v>45890</v>
      </c>
      <c r="B81" s="16" t="n">
        <v>0.59</v>
      </c>
      <c r="C81" s="16" t="n">
        <v>0.66</v>
      </c>
      <c r="D81" s="17">
        <f>IF(COUNT(B81:C81)=2,(B81+C81)/2,"")</f>
        <v/>
      </c>
      <c r="E81" s="16" t="n">
        <v>0.36</v>
      </c>
      <c r="F81" s="16" t="n">
        <v>0.37</v>
      </c>
      <c r="G81" s="17">
        <f>IF(COUNT(E81:F81)=2,(E81+F81)/2,"")</f>
        <v/>
      </c>
      <c r="H81" s="17">
        <f>IF(AND(ISNUMBER(D81),ISNUMBER(G81)),D81+G81,"")</f>
        <v/>
      </c>
      <c r="I81" s="20">
        <f>IFERROR(D81/H81,"")</f>
        <v/>
      </c>
      <c r="J81" s="18">
        <f>IF(AND(ISNUMBER(D81),ISNUMBER(G81)),D81-G81,"")</f>
        <v/>
      </c>
      <c r="K81" s="45" t="n">
        <v>0</v>
      </c>
      <c r="L81" s="45" t="n">
        <v>266</v>
      </c>
      <c r="M81" s="26" t="inlineStr">
        <is>
          <t>21 Aug</t>
        </is>
      </c>
    </row>
    <row r="82">
      <c r="A82" s="41" t="n">
        <v>45891</v>
      </c>
      <c r="B82" s="28" t="n">
        <v>0.59</v>
      </c>
      <c r="C82" s="28" t="n">
        <v>0.66</v>
      </c>
      <c r="D82" s="29">
        <f>IF(COUNT(B82:C82)=2,(B82+C82)/2,"")</f>
        <v/>
      </c>
      <c r="E82" s="28" t="n">
        <v>0.36</v>
      </c>
      <c r="F82" s="28" t="n">
        <v>0.37</v>
      </c>
      <c r="G82" s="29">
        <f>IF(COUNT(E82:F82)=2,(E82+F82)/2,"")</f>
        <v/>
      </c>
      <c r="H82" s="29">
        <f>IF(AND(ISNUMBER(D82),ISNUMBER(G82)),D82+G82,"")</f>
        <v/>
      </c>
      <c r="I82" s="30">
        <f>IFERROR(D82/H82,"")</f>
        <v/>
      </c>
      <c r="J82" s="31">
        <f>IF(AND(ISNUMBER(D82),ISNUMBER(G82)),D82-G82,"")</f>
        <v/>
      </c>
      <c r="K82" s="46" t="n">
        <v>4</v>
      </c>
      <c r="L82" s="46" t="n">
        <v>270</v>
      </c>
      <c r="M82" s="38" t="inlineStr">
        <is>
          <t>22 Aug</t>
        </is>
      </c>
    </row>
    <row r="83">
      <c r="A83" s="39" t="n">
        <v>45892</v>
      </c>
      <c r="B83" s="16" t="n">
        <v>0.59</v>
      </c>
      <c r="C83" s="16" t="n">
        <v>0.66</v>
      </c>
      <c r="D83" s="17">
        <f>IF(COUNT(B83:C83)=2,(B83+C83)/2,"")</f>
        <v/>
      </c>
      <c r="E83" s="16" t="n">
        <v>0.36</v>
      </c>
      <c r="F83" s="16" t="n">
        <v>0.37</v>
      </c>
      <c r="G83" s="17">
        <f>IF(COUNT(E83:F83)=2,(E83+F83)/2,"")</f>
        <v/>
      </c>
      <c r="H83" s="17">
        <f>IF(AND(ISNUMBER(D83),ISNUMBER(G83)),D83+G83,"")</f>
        <v/>
      </c>
      <c r="I83" s="20">
        <f>IFERROR(D83/H83,"")</f>
        <v/>
      </c>
      <c r="J83" s="18">
        <f>IF(AND(ISNUMBER(D83),ISNUMBER(G83)),D83-G83,"")</f>
        <v/>
      </c>
      <c r="K83" s="45" t="n">
        <v>0</v>
      </c>
      <c r="L83" s="45" t="n">
        <v>270</v>
      </c>
      <c r="M83" s="26" t="inlineStr">
        <is>
          <t>23 Aug</t>
        </is>
      </c>
    </row>
    <row r="84">
      <c r="A84" s="41" t="n">
        <v>45893</v>
      </c>
      <c r="B84" s="28" t="n">
        <v>0.59</v>
      </c>
      <c r="C84" s="28" t="n">
        <v>0.66</v>
      </c>
      <c r="D84" s="29">
        <f>IF(COUNT(B84:C84)=2,(B84+C84)/2,"")</f>
        <v/>
      </c>
      <c r="E84" s="28" t="n">
        <v>0.32</v>
      </c>
      <c r="F84" s="28" t="n">
        <v>0.37</v>
      </c>
      <c r="G84" s="29">
        <f>IF(COUNT(E84:F84)=2,(E84+F84)/2,"")</f>
        <v/>
      </c>
      <c r="H84" s="29">
        <f>IF(AND(ISNUMBER(D84),ISNUMBER(G84)),D84+G84,"")</f>
        <v/>
      </c>
      <c r="I84" s="30">
        <f>IFERROR(D84/H84,"")</f>
        <v/>
      </c>
      <c r="J84" s="31">
        <f>IF(AND(ISNUMBER(D84),ISNUMBER(G84)),D84-G84,"")</f>
        <v/>
      </c>
      <c r="K84" s="46" t="n">
        <v>0</v>
      </c>
      <c r="L84" s="46" t="n">
        <v>270</v>
      </c>
      <c r="M84" s="38" t="inlineStr">
        <is>
          <t>24 Aug</t>
        </is>
      </c>
    </row>
    <row r="85">
      <c r="A85" s="39" t="n">
        <v>45894</v>
      </c>
      <c r="B85" s="16" t="n">
        <v>0.59</v>
      </c>
      <c r="C85" s="16" t="n">
        <v>0.66</v>
      </c>
      <c r="D85" s="17">
        <f>IF(COUNT(B85:C85)=2,(B85+C85)/2,"")</f>
        <v/>
      </c>
      <c r="E85" s="16" t="n">
        <v>0.32</v>
      </c>
      <c r="F85" s="16" t="n">
        <v>0.37</v>
      </c>
      <c r="G85" s="17">
        <f>IF(COUNT(E85:F85)=2,(E85+F85)/2,"")</f>
        <v/>
      </c>
      <c r="H85" s="17">
        <f>IF(AND(ISNUMBER(D85),ISNUMBER(G85)),D85+G85,"")</f>
        <v/>
      </c>
      <c r="I85" s="20">
        <f>IFERROR(D85/H85,"")</f>
        <v/>
      </c>
      <c r="J85" s="18">
        <f>IF(AND(ISNUMBER(D85),ISNUMBER(G85)),D85-G85,"")</f>
        <v/>
      </c>
      <c r="K85" s="45" t="n">
        <v>0</v>
      </c>
      <c r="L85" s="45" t="n">
        <v>270</v>
      </c>
      <c r="M85" s="26" t="inlineStr">
        <is>
          <t>25 Aug</t>
        </is>
      </c>
    </row>
    <row r="86">
      <c r="A86" s="41" t="n">
        <v>45895</v>
      </c>
      <c r="B86" s="28" t="n">
        <v>0.59</v>
      </c>
      <c r="C86" s="28" t="n">
        <v>0.66</v>
      </c>
      <c r="D86" s="29">
        <f>IF(COUNT(B86:C86)=2,(B86+C86)/2,"")</f>
        <v/>
      </c>
      <c r="E86" s="28" t="n">
        <v>0.32</v>
      </c>
      <c r="F86" s="28" t="n">
        <v>0.37</v>
      </c>
      <c r="G86" s="29">
        <f>IF(COUNT(E86:F86)=2,(E86+F86)/2,"")</f>
        <v/>
      </c>
      <c r="H86" s="29">
        <f>IF(AND(ISNUMBER(D86),ISNUMBER(G86)),D86+G86,"")</f>
        <v/>
      </c>
      <c r="I86" s="30">
        <f>IFERROR(D86/H86,"")</f>
        <v/>
      </c>
      <c r="J86" s="31">
        <f>IF(AND(ISNUMBER(D86),ISNUMBER(G86)),D86-G86,"")</f>
        <v/>
      </c>
      <c r="K86" s="46" t="n">
        <v>0</v>
      </c>
      <c r="L86" s="46" t="n">
        <v>270</v>
      </c>
      <c r="M86" s="38" t="inlineStr">
        <is>
          <t>26 Aug</t>
        </is>
      </c>
    </row>
    <row r="87">
      <c r="A87" s="39" t="n">
        <v>45896</v>
      </c>
      <c r="B87" s="16" t="n">
        <v>0.59</v>
      </c>
      <c r="C87" s="16" t="n">
        <v>0.65</v>
      </c>
      <c r="D87" s="17">
        <f>IF(COUNT(B87:C87)=2,(B87+C87)/2,"")</f>
        <v/>
      </c>
      <c r="E87" s="16" t="n">
        <v>0.36</v>
      </c>
      <c r="F87" s="16" t="n">
        <v>0.38</v>
      </c>
      <c r="G87" s="17">
        <f>IF(COUNT(E87:F87)=2,(E87+F87)/2,"")</f>
        <v/>
      </c>
      <c r="H87" s="17">
        <f>IF(AND(ISNUMBER(D87),ISNUMBER(G87)),D87+G87,"")</f>
        <v/>
      </c>
      <c r="I87" s="20">
        <f>IFERROR(D87/H87,"")</f>
        <v/>
      </c>
      <c r="J87" s="18">
        <f>IF(AND(ISNUMBER(D87),ISNUMBER(G87)),D87-G87,"")</f>
        <v/>
      </c>
      <c r="K87" s="45" t="n">
        <v>224</v>
      </c>
      <c r="L87" s="45" t="n">
        <v>494</v>
      </c>
      <c r="M87" s="26" t="inlineStr">
        <is>
          <t>27 Aug</t>
        </is>
      </c>
    </row>
    <row r="88">
      <c r="A88" s="41" t="n">
        <v>45897</v>
      </c>
      <c r="B88" s="28" t="n">
        <v>0.59</v>
      </c>
      <c r="C88" s="28" t="n">
        <v>0.65</v>
      </c>
      <c r="D88" s="29">
        <f>IF(COUNT(B88:C88)=2,(B88+C88)/2,"")</f>
        <v/>
      </c>
      <c r="E88" s="28" t="n">
        <v>0.36</v>
      </c>
      <c r="F88" s="28" t="n">
        <v>0.38</v>
      </c>
      <c r="G88" s="29">
        <f>IF(COUNT(E88:F88)=2,(E88+F88)/2,"")</f>
        <v/>
      </c>
      <c r="H88" s="29">
        <f>IF(AND(ISNUMBER(D88),ISNUMBER(G88)),D88+G88,"")</f>
        <v/>
      </c>
      <c r="I88" s="30">
        <f>IFERROR(D88/H88,"")</f>
        <v/>
      </c>
      <c r="J88" s="31">
        <f>IF(AND(ISNUMBER(D88),ISNUMBER(G88)),D88-G88,"")</f>
        <v/>
      </c>
      <c r="K88" s="46" t="n">
        <v>0</v>
      </c>
      <c r="L88" s="46" t="n">
        <v>494</v>
      </c>
      <c r="M88" s="38" t="inlineStr">
        <is>
          <t>28 Aug</t>
        </is>
      </c>
    </row>
    <row r="89">
      <c r="A89" s="39" t="n">
        <v>45898</v>
      </c>
      <c r="B89" s="16" t="n">
        <v>0.59</v>
      </c>
      <c r="C89" s="16" t="n">
        <v>0.65</v>
      </c>
      <c r="D89" s="17">
        <f>IF(COUNT(B89:C89)=2,(B89+C89)/2,"")</f>
        <v/>
      </c>
      <c r="E89" s="16" t="n">
        <v>0.36</v>
      </c>
      <c r="F89" s="16" t="n">
        <v>0.38</v>
      </c>
      <c r="G89" s="17">
        <f>IF(COUNT(E89:F89)=2,(E89+F89)/2,"")</f>
        <v/>
      </c>
      <c r="H89" s="17">
        <f>IF(AND(ISNUMBER(D89),ISNUMBER(G89)),D89+G89,"")</f>
        <v/>
      </c>
      <c r="I89" s="20">
        <f>IFERROR(D89/H89,"")</f>
        <v/>
      </c>
      <c r="J89" s="18">
        <f>IF(AND(ISNUMBER(D89),ISNUMBER(G89)),D89-G89,"")</f>
        <v/>
      </c>
      <c r="K89" s="45" t="n">
        <v>0</v>
      </c>
      <c r="L89" s="45" t="n">
        <v>494</v>
      </c>
      <c r="M89" s="26" t="inlineStr">
        <is>
          <t>29 Aug</t>
        </is>
      </c>
    </row>
    <row r="90">
      <c r="A90" s="41" t="n">
        <v>45899</v>
      </c>
      <c r="B90" s="28" t="n">
        <v>0.59</v>
      </c>
      <c r="C90" s="28" t="n">
        <v>0.65</v>
      </c>
      <c r="D90" s="29">
        <f>IF(COUNT(B90:C90)=2,(B90+C90)/2,"")</f>
        <v/>
      </c>
      <c r="E90" s="28" t="n">
        <v>0.36</v>
      </c>
      <c r="F90" s="28" t="n">
        <v>0.38</v>
      </c>
      <c r="G90" s="29">
        <f>IF(COUNT(E90:F90)=2,(E90+F90)/2,"")</f>
        <v/>
      </c>
      <c r="H90" s="29">
        <f>IF(AND(ISNUMBER(D90),ISNUMBER(G90)),D90+G90,"")</f>
        <v/>
      </c>
      <c r="I90" s="30">
        <f>IFERROR(D90/H90,"")</f>
        <v/>
      </c>
      <c r="J90" s="31">
        <f>IF(AND(ISNUMBER(D90),ISNUMBER(G90)),D90-G90,"")</f>
        <v/>
      </c>
      <c r="K90" s="46" t="n">
        <v>0</v>
      </c>
      <c r="L90" s="46" t="n">
        <v>494</v>
      </c>
      <c r="M90" s="38" t="inlineStr">
        <is>
          <t>30 Aug</t>
        </is>
      </c>
    </row>
    <row r="91">
      <c r="A91" s="39" t="n">
        <v>45900</v>
      </c>
      <c r="B91" s="16" t="n">
        <v>0.59</v>
      </c>
      <c r="C91" s="16" t="n">
        <v>0.65</v>
      </c>
      <c r="D91" s="17">
        <f>IF(COUNT(B91:C91)=2,(B91+C91)/2,"")</f>
        <v/>
      </c>
      <c r="E91" s="16" t="n">
        <v>0.32</v>
      </c>
      <c r="F91" s="16" t="n">
        <v>0.38</v>
      </c>
      <c r="G91" s="17">
        <f>IF(COUNT(E91:F91)=2,(E91+F91)/2,"")</f>
        <v/>
      </c>
      <c r="H91" s="17">
        <f>IF(AND(ISNUMBER(D91),ISNUMBER(G91)),D91+G91,"")</f>
        <v/>
      </c>
      <c r="I91" s="20">
        <f>IFERROR(D91/H91,"")</f>
        <v/>
      </c>
      <c r="J91" s="18">
        <f>IF(AND(ISNUMBER(D91),ISNUMBER(G91)),D91-G91,"")</f>
        <v/>
      </c>
      <c r="K91" s="45" t="n">
        <v>0</v>
      </c>
      <c r="L91" s="45" t="n">
        <v>494</v>
      </c>
      <c r="M91" s="26" t="inlineStr">
        <is>
          <t>31 Aug</t>
        </is>
      </c>
    </row>
    <row r="92">
      <c r="A92" s="41" t="n">
        <v>45901</v>
      </c>
      <c r="B92" s="28" t="n">
        <v>0.59</v>
      </c>
      <c r="C92" s="28" t="n">
        <v>0.65</v>
      </c>
      <c r="D92" s="29">
        <f>IF(COUNT(B92:C92)=2,(B92+C92)/2,"")</f>
        <v/>
      </c>
      <c r="E92" s="28" t="n">
        <v>0.32</v>
      </c>
      <c r="F92" s="28" t="n">
        <v>0.38</v>
      </c>
      <c r="G92" s="29">
        <f>IF(COUNT(E92:F92)=2,(E92+F92)/2,"")</f>
        <v/>
      </c>
      <c r="H92" s="29">
        <f>IF(AND(ISNUMBER(D92),ISNUMBER(G92)),D92+G92,"")</f>
        <v/>
      </c>
      <c r="I92" s="30">
        <f>IFERROR(D92/H92,"")</f>
        <v/>
      </c>
      <c r="J92" s="31">
        <f>IF(AND(ISNUMBER(D92),ISNUMBER(G92)),D92-G92,"")</f>
        <v/>
      </c>
      <c r="K92" s="46" t="n">
        <v>0</v>
      </c>
      <c r="L92" s="46" t="n">
        <v>494</v>
      </c>
      <c r="M92" s="38" t="inlineStr">
        <is>
          <t>01 Sep</t>
        </is>
      </c>
    </row>
    <row r="93">
      <c r="A93" s="39" t="n">
        <v>45902</v>
      </c>
      <c r="B93" s="16" t="n">
        <v>0.59</v>
      </c>
      <c r="C93" s="16" t="n">
        <v>0.65</v>
      </c>
      <c r="D93" s="17">
        <f>IF(COUNT(B93:C93)=2,(B93+C93)/2,"")</f>
        <v/>
      </c>
      <c r="E93" s="16" t="n">
        <v>0.32</v>
      </c>
      <c r="F93" s="16" t="n">
        <v>0.38</v>
      </c>
      <c r="G93" s="17">
        <f>IF(COUNT(E93:F93)=2,(E93+F93)/2,"")</f>
        <v/>
      </c>
      <c r="H93" s="17">
        <f>IF(AND(ISNUMBER(D93),ISNUMBER(G93)),D93+G93,"")</f>
        <v/>
      </c>
      <c r="I93" s="20">
        <f>IFERROR(D93/H93,"")</f>
        <v/>
      </c>
      <c r="J93" s="18">
        <f>IF(AND(ISNUMBER(D93),ISNUMBER(G93)),D93-G93,"")</f>
        <v/>
      </c>
      <c r="K93" s="45" t="n">
        <v>0</v>
      </c>
      <c r="L93" s="45" t="n">
        <v>494</v>
      </c>
      <c r="M93" s="26" t="inlineStr">
        <is>
          <t>02 Sep</t>
        </is>
      </c>
    </row>
    <row r="94">
      <c r="A94" s="41" t="n">
        <v>45903</v>
      </c>
      <c r="B94" s="28" t="n">
        <v>0.59</v>
      </c>
      <c r="C94" s="28" t="n">
        <v>0.65</v>
      </c>
      <c r="D94" s="29">
        <f>IF(COUNT(B94:C94)=2,(B94+C94)/2,"")</f>
        <v/>
      </c>
      <c r="E94" s="28" t="n">
        <v>0.32</v>
      </c>
      <c r="F94" s="28" t="n">
        <v>0.38</v>
      </c>
      <c r="G94" s="29">
        <f>IF(COUNT(E94:F94)=2,(E94+F94)/2,"")</f>
        <v/>
      </c>
      <c r="H94" s="29">
        <f>IF(AND(ISNUMBER(D94),ISNUMBER(G94)),D94+G94,"")</f>
        <v/>
      </c>
      <c r="I94" s="30">
        <f>IFERROR(D94/H94,"")</f>
        <v/>
      </c>
      <c r="J94" s="31">
        <f>IF(AND(ISNUMBER(D94),ISNUMBER(G94)),D94-G94,"")</f>
        <v/>
      </c>
      <c r="K94" s="46" t="n">
        <v>0</v>
      </c>
      <c r="L94" s="46" t="n">
        <v>494</v>
      </c>
      <c r="M94" s="38" t="inlineStr">
        <is>
          <t>03 Sep</t>
        </is>
      </c>
    </row>
    <row r="95">
      <c r="A95" s="39" t="n">
        <v>45904</v>
      </c>
      <c r="B95" s="16" t="n">
        <v>0.59</v>
      </c>
      <c r="C95" s="16" t="n">
        <v>0.65</v>
      </c>
      <c r="D95" s="17">
        <f>IF(COUNT(B95:C95)=2,(B95+C95)/2,"")</f>
        <v/>
      </c>
      <c r="E95" s="16" t="n">
        <v>0.32</v>
      </c>
      <c r="F95" s="16" t="n">
        <v>0.38</v>
      </c>
      <c r="G95" s="17">
        <f>IF(COUNT(E95:F95)=2,(E95+F95)/2,"")</f>
        <v/>
      </c>
      <c r="H95" s="17">
        <f>IF(AND(ISNUMBER(D95),ISNUMBER(G95)),D95+G95,"")</f>
        <v/>
      </c>
      <c r="I95" s="20">
        <f>IFERROR(D95/H95,"")</f>
        <v/>
      </c>
      <c r="J95" s="18">
        <f>IF(AND(ISNUMBER(D95),ISNUMBER(G95)),D95-G95,"")</f>
        <v/>
      </c>
      <c r="K95" s="45" t="n">
        <v>0</v>
      </c>
      <c r="L95" s="45" t="n">
        <v>494</v>
      </c>
      <c r="M95" s="26" t="inlineStr">
        <is>
          <t>04 Sep</t>
        </is>
      </c>
    </row>
    <row r="96">
      <c r="A96" s="41" t="n">
        <v>45905</v>
      </c>
      <c r="B96" s="28" t="n">
        <v>0.59</v>
      </c>
      <c r="C96" s="28" t="n">
        <v>0.65</v>
      </c>
      <c r="D96" s="29">
        <f>IF(COUNT(B96:C96)=2,(B96+C96)/2,"")</f>
        <v/>
      </c>
      <c r="E96" s="28" t="n">
        <v>0.32</v>
      </c>
      <c r="F96" s="28" t="n">
        <v>0.38</v>
      </c>
      <c r="G96" s="29">
        <f>IF(COUNT(E96:F96)=2,(E96+F96)/2,"")</f>
        <v/>
      </c>
      <c r="H96" s="29">
        <f>IF(AND(ISNUMBER(D96),ISNUMBER(G96)),D96+G96,"")</f>
        <v/>
      </c>
      <c r="I96" s="30">
        <f>IFERROR(D96/H96,"")</f>
        <v/>
      </c>
      <c r="J96" s="31">
        <f>IF(AND(ISNUMBER(D96),ISNUMBER(G96)),D96-G96,"")</f>
        <v/>
      </c>
      <c r="K96" s="46" t="n">
        <v>0</v>
      </c>
      <c r="L96" s="46" t="n">
        <v>494</v>
      </c>
      <c r="M96" s="38" t="inlineStr">
        <is>
          <t>05 Sep</t>
        </is>
      </c>
    </row>
    <row r="97">
      <c r="A97" s="39" t="n">
        <v>45906</v>
      </c>
      <c r="B97" s="16" t="n">
        <v>0.59</v>
      </c>
      <c r="C97" s="16" t="n">
        <v>0.65</v>
      </c>
      <c r="D97" s="17">
        <f>IF(COUNT(B97:C97)=2,(B97+C97)/2,"")</f>
        <v/>
      </c>
      <c r="E97" s="16" t="n">
        <v>0.32</v>
      </c>
      <c r="F97" s="16" t="n">
        <v>0.38</v>
      </c>
      <c r="G97" s="17">
        <f>IF(COUNT(E97:F97)=2,(E97+F97)/2,"")</f>
        <v/>
      </c>
      <c r="H97" s="17">
        <f>IF(AND(ISNUMBER(D97),ISNUMBER(G97)),D97+G97,"")</f>
        <v/>
      </c>
      <c r="I97" s="20">
        <f>IFERROR(D97/H97,"")</f>
        <v/>
      </c>
      <c r="J97" s="18">
        <f>IF(AND(ISNUMBER(D97),ISNUMBER(G97)),D97-G97,"")</f>
        <v/>
      </c>
      <c r="K97" s="45" t="n">
        <v>0</v>
      </c>
      <c r="L97" s="45" t="n">
        <v>494</v>
      </c>
      <c r="M97" s="26" t="inlineStr">
        <is>
          <t>06 Sep</t>
        </is>
      </c>
    </row>
    <row r="98">
      <c r="A98" s="41" t="n">
        <v>45907</v>
      </c>
      <c r="B98" s="28" t="n">
        <v>0.59</v>
      </c>
      <c r="C98" s="28" t="n">
        <v>0.65</v>
      </c>
      <c r="D98" s="29">
        <f>IF(COUNT(B98:C98)=2,(B98+C98)/2,"")</f>
        <v/>
      </c>
      <c r="E98" s="28" t="n">
        <v>0.32</v>
      </c>
      <c r="F98" s="28" t="n">
        <v>0.38</v>
      </c>
      <c r="G98" s="29">
        <f>IF(COUNT(E98:F98)=2,(E98+F98)/2,"")</f>
        <v/>
      </c>
      <c r="H98" s="29">
        <f>IF(AND(ISNUMBER(D98),ISNUMBER(G98)),D98+G98,"")</f>
        <v/>
      </c>
      <c r="I98" s="30">
        <f>IFERROR(D98/H98,"")</f>
        <v/>
      </c>
      <c r="J98" s="31">
        <f>IF(AND(ISNUMBER(D98),ISNUMBER(G98)),D98-G98,"")</f>
        <v/>
      </c>
      <c r="K98" s="46" t="n">
        <v>0</v>
      </c>
      <c r="L98" s="46" t="n">
        <v>494</v>
      </c>
      <c r="M98" s="38" t="inlineStr">
        <is>
          <t>07 Sep</t>
        </is>
      </c>
    </row>
    <row r="99">
      <c r="A99" s="39" t="n">
        <v>45908</v>
      </c>
      <c r="B99" s="16" t="n">
        <v>0.59</v>
      </c>
      <c r="C99" s="16" t="n">
        <v>0.65</v>
      </c>
      <c r="D99" s="17">
        <f>IF(COUNT(B99:C99)=2,(B99+C99)/2,"")</f>
        <v/>
      </c>
      <c r="E99" s="16" t="n">
        <v>0.32</v>
      </c>
      <c r="F99" s="16" t="n">
        <v>0.38</v>
      </c>
      <c r="G99" s="17">
        <f>IF(COUNT(E99:F99)=2,(E99+F99)/2,"")</f>
        <v/>
      </c>
      <c r="H99" s="17">
        <f>IF(AND(ISNUMBER(D99),ISNUMBER(G99)),D99+G99,"")</f>
        <v/>
      </c>
      <c r="I99" s="20">
        <f>IFERROR(D99/H99,"")</f>
        <v/>
      </c>
      <c r="J99" s="18">
        <f>IF(AND(ISNUMBER(D99),ISNUMBER(G99)),D99-G99,"")</f>
        <v/>
      </c>
      <c r="K99" s="45" t="n">
        <v>0</v>
      </c>
      <c r="L99" s="45" t="n">
        <v>494</v>
      </c>
      <c r="M99" s="26" t="inlineStr">
        <is>
          <t>08 Sep</t>
        </is>
      </c>
    </row>
    <row r="100">
      <c r="A100" s="41" t="n">
        <v>45909</v>
      </c>
      <c r="B100" s="28" t="n">
        <v>0.59</v>
      </c>
      <c r="C100" s="28" t="n">
        <v>0.65</v>
      </c>
      <c r="D100" s="29">
        <f>IF(COUNT(B100:C100)=2,(B100+C100)/2,"")</f>
        <v/>
      </c>
      <c r="E100" s="28" t="n">
        <v>0.32</v>
      </c>
      <c r="F100" s="28" t="n">
        <v>0.38</v>
      </c>
      <c r="G100" s="29">
        <f>IF(COUNT(E100:F100)=2,(E100+F100)/2,"")</f>
        <v/>
      </c>
      <c r="H100" s="29">
        <f>IF(AND(ISNUMBER(D100),ISNUMBER(G100)),D100+G100,"")</f>
        <v/>
      </c>
      <c r="I100" s="30">
        <f>IFERROR(D100/H100,"")</f>
        <v/>
      </c>
      <c r="J100" s="31">
        <f>IF(AND(ISNUMBER(D100),ISNUMBER(G100)),D100-G100,"")</f>
        <v/>
      </c>
      <c r="K100" s="46" t="n">
        <v>0</v>
      </c>
      <c r="L100" s="46" t="n">
        <v>494</v>
      </c>
      <c r="M100" s="38" t="inlineStr">
        <is>
          <t>09 Sep</t>
        </is>
      </c>
    </row>
    <row r="101">
      <c r="A101" s="39" t="n">
        <v>45910</v>
      </c>
      <c r="B101" s="16" t="n">
        <v>0.59</v>
      </c>
      <c r="C101" s="16" t="n">
        <v>0.65</v>
      </c>
      <c r="D101" s="17">
        <f>IF(COUNT(B101:C101)=2,(B101+C101)/2,"")</f>
        <v/>
      </c>
      <c r="E101" s="16" t="n">
        <v>0.32</v>
      </c>
      <c r="F101" s="16" t="n">
        <v>0.38</v>
      </c>
      <c r="G101" s="17">
        <f>IF(COUNT(E101:F101)=2,(E101+F101)/2,"")</f>
        <v/>
      </c>
      <c r="H101" s="17">
        <f>IF(AND(ISNUMBER(D101),ISNUMBER(G101)),D101+G101,"")</f>
        <v/>
      </c>
      <c r="I101" s="20">
        <f>IFERROR(D101/H101,"")</f>
        <v/>
      </c>
      <c r="J101" s="18">
        <f>IF(AND(ISNUMBER(D101),ISNUMBER(G101)),D101-G101,"")</f>
        <v/>
      </c>
      <c r="K101" s="45" t="n">
        <v>0</v>
      </c>
      <c r="L101" s="45" t="n">
        <v>494</v>
      </c>
      <c r="M101" s="26" t="inlineStr">
        <is>
          <t>10 Sep</t>
        </is>
      </c>
    </row>
    <row r="102">
      <c r="A102" s="41" t="n">
        <v>45911</v>
      </c>
      <c r="B102" s="28" t="n">
        <v>0.59</v>
      </c>
      <c r="C102" s="28" t="n">
        <v>0.65</v>
      </c>
      <c r="D102" s="29">
        <f>IF(COUNT(B102:C102)=2,(B102+C102)/2,"")</f>
        <v/>
      </c>
      <c r="E102" s="28" t="n">
        <v>0.32</v>
      </c>
      <c r="F102" s="28" t="n">
        <v>0.38</v>
      </c>
      <c r="G102" s="29">
        <f>IF(COUNT(E102:F102)=2,(E102+F102)/2,"")</f>
        <v/>
      </c>
      <c r="H102" s="29">
        <f>IF(AND(ISNUMBER(D102),ISNUMBER(G102)),D102+G102,"")</f>
        <v/>
      </c>
      <c r="I102" s="30">
        <f>IFERROR(D102/H102,"")</f>
        <v/>
      </c>
      <c r="J102" s="31">
        <f>IF(AND(ISNUMBER(D102),ISNUMBER(G102)),D102-G102,"")</f>
        <v/>
      </c>
      <c r="K102" s="46" t="n">
        <v>0</v>
      </c>
      <c r="L102" s="46" t="n">
        <v>494</v>
      </c>
      <c r="M102" s="38" t="inlineStr">
        <is>
          <t>11 Sep</t>
        </is>
      </c>
    </row>
    <row r="103">
      <c r="A103" s="39" t="n">
        <v>45912</v>
      </c>
      <c r="B103" s="16" t="n">
        <v>0.59</v>
      </c>
      <c r="C103" s="16" t="n">
        <v>0.65</v>
      </c>
      <c r="D103" s="17">
        <f>IF(COUNT(B103:C103)=2,(B103+C103)/2,"")</f>
        <v/>
      </c>
      <c r="E103" s="16" t="n">
        <v>0.32</v>
      </c>
      <c r="F103" s="16" t="n">
        <v>0.38</v>
      </c>
      <c r="G103" s="17">
        <f>IF(COUNT(E103:F103)=2,(E103+F103)/2,"")</f>
        <v/>
      </c>
      <c r="H103" s="17">
        <f>IF(AND(ISNUMBER(D103),ISNUMBER(G103)),D103+G103,"")</f>
        <v/>
      </c>
      <c r="I103" s="20">
        <f>IFERROR(D103/H103,"")</f>
        <v/>
      </c>
      <c r="J103" s="18">
        <f>IF(AND(ISNUMBER(D103),ISNUMBER(G103)),D103-G103,"")</f>
        <v/>
      </c>
      <c r="K103" s="45" t="n">
        <v>0</v>
      </c>
      <c r="L103" s="45" t="n">
        <v>494</v>
      </c>
      <c r="M103" s="26" t="inlineStr">
        <is>
          <t>12 Sep</t>
        </is>
      </c>
    </row>
    <row r="104">
      <c r="A104" s="41" t="n">
        <v>45913</v>
      </c>
      <c r="B104" s="28" t="n">
        <v>0.59</v>
      </c>
      <c r="C104" s="28" t="n">
        <v>0.65</v>
      </c>
      <c r="D104" s="29">
        <f>IF(COUNT(B104:C104)=2,(B104+C104)/2,"")</f>
        <v/>
      </c>
      <c r="E104" s="28" t="n">
        <v>0.32</v>
      </c>
      <c r="F104" s="28" t="n">
        <v>0.38</v>
      </c>
      <c r="G104" s="29">
        <f>IF(COUNT(E104:F104)=2,(E104+F104)/2,"")</f>
        <v/>
      </c>
      <c r="H104" s="29">
        <f>IF(AND(ISNUMBER(D104),ISNUMBER(G104)),D104+G104,"")</f>
        <v/>
      </c>
      <c r="I104" s="30">
        <f>IFERROR(D104/H104,"")</f>
        <v/>
      </c>
      <c r="J104" s="31">
        <f>IF(AND(ISNUMBER(D104),ISNUMBER(G104)),D104-G104,"")</f>
        <v/>
      </c>
      <c r="K104" s="46" t="n">
        <v>0</v>
      </c>
      <c r="L104" s="46" t="n">
        <v>494</v>
      </c>
      <c r="M104" s="38" t="inlineStr">
        <is>
          <t>13 Sep</t>
        </is>
      </c>
    </row>
    <row r="105">
      <c r="A105" s="39" t="n">
        <v>45914</v>
      </c>
      <c r="B105" s="16" t="n">
        <v>0.59</v>
      </c>
      <c r="C105" s="16" t="n">
        <v>0.65</v>
      </c>
      <c r="D105" s="17">
        <f>IF(COUNT(B105:C105)=2,(B105+C105)/2,"")</f>
        <v/>
      </c>
      <c r="E105" s="16" t="n">
        <v>0.32</v>
      </c>
      <c r="F105" s="16" t="n">
        <v>0.38</v>
      </c>
      <c r="G105" s="17">
        <f>IF(COUNT(E105:F105)=2,(E105+F105)/2,"")</f>
        <v/>
      </c>
      <c r="H105" s="17">
        <f>IF(AND(ISNUMBER(D105),ISNUMBER(G105)),D105+G105,"")</f>
        <v/>
      </c>
      <c r="I105" s="20">
        <f>IFERROR(D105/H105,"")</f>
        <v/>
      </c>
      <c r="J105" s="18">
        <f>IF(AND(ISNUMBER(D105),ISNUMBER(G105)),D105-G105,"")</f>
        <v/>
      </c>
      <c r="K105" s="45" t="n">
        <v>0</v>
      </c>
      <c r="L105" s="45" t="n">
        <v>494</v>
      </c>
      <c r="M105" s="26" t="inlineStr">
        <is>
          <t>14 Sep</t>
        </is>
      </c>
    </row>
    <row r="106">
      <c r="A106" s="41" t="n">
        <v>45915</v>
      </c>
      <c r="B106" s="28" t="n">
        <v>0.59</v>
      </c>
      <c r="C106" s="28" t="n">
        <v>0.65</v>
      </c>
      <c r="D106" s="29">
        <f>IF(COUNT(B106:C106)=2,(B106+C106)/2,"")</f>
        <v/>
      </c>
      <c r="E106" s="28" t="n">
        <v>0.32</v>
      </c>
      <c r="F106" s="28" t="n">
        <v>0.38</v>
      </c>
      <c r="G106" s="29">
        <f>IF(COUNT(E106:F106)=2,(E106+F106)/2,"")</f>
        <v/>
      </c>
      <c r="H106" s="29">
        <f>IF(AND(ISNUMBER(D106),ISNUMBER(G106)),D106+G106,"")</f>
        <v/>
      </c>
      <c r="I106" s="30">
        <f>IFERROR(D106/H106,"")</f>
        <v/>
      </c>
      <c r="J106" s="31">
        <f>IF(AND(ISNUMBER(D106),ISNUMBER(G106)),D106-G106,"")</f>
        <v/>
      </c>
      <c r="K106" s="46" t="n">
        <v>0</v>
      </c>
      <c r="L106" s="46" t="n">
        <v>494</v>
      </c>
      <c r="M106" s="38" t="inlineStr">
        <is>
          <t>15 Sep</t>
        </is>
      </c>
    </row>
    <row r="107">
      <c r="A107" s="39" t="n">
        <v>45916</v>
      </c>
      <c r="B107" s="16" t="n">
        <v>0.59</v>
      </c>
      <c r="C107" s="16" t="n">
        <v>0.65</v>
      </c>
      <c r="D107" s="17">
        <f>IF(COUNT(B107:C107)=2,(B107+C107)/2,"")</f>
        <v/>
      </c>
      <c r="E107" s="16" t="n">
        <v>0.32</v>
      </c>
      <c r="F107" s="16" t="n">
        <v>0.38</v>
      </c>
      <c r="G107" s="17">
        <f>IF(COUNT(E107:F107)=2,(E107+F107)/2,"")</f>
        <v/>
      </c>
      <c r="H107" s="17">
        <f>IF(AND(ISNUMBER(D107),ISNUMBER(G107)),D107+G107,"")</f>
        <v/>
      </c>
      <c r="I107" s="20">
        <f>IFERROR(D107/H107,"")</f>
        <v/>
      </c>
      <c r="J107" s="18">
        <f>IF(AND(ISNUMBER(D107),ISNUMBER(G107)),D107-G107,"")</f>
        <v/>
      </c>
      <c r="K107" s="45" t="n">
        <v>0</v>
      </c>
      <c r="L107" s="45" t="n">
        <v>494</v>
      </c>
      <c r="M107" s="26" t="inlineStr">
        <is>
          <t>16 Sep</t>
        </is>
      </c>
    </row>
    <row r="108">
      <c r="A108" s="41" t="n">
        <v>45917</v>
      </c>
      <c r="B108" s="28" t="n">
        <v>0.59</v>
      </c>
      <c r="C108" s="28" t="n">
        <v>0.65</v>
      </c>
      <c r="D108" s="29">
        <f>IF(COUNT(B108:C108)=2,(B108+C108)/2,"")</f>
        <v/>
      </c>
      <c r="E108" s="28" t="n">
        <v>0.32</v>
      </c>
      <c r="F108" s="28" t="n">
        <v>0.38</v>
      </c>
      <c r="G108" s="29">
        <f>IF(COUNT(E108:F108)=2,(E108+F108)/2,"")</f>
        <v/>
      </c>
      <c r="H108" s="29">
        <f>IF(AND(ISNUMBER(D108),ISNUMBER(G108)),D108+G108,"")</f>
        <v/>
      </c>
      <c r="I108" s="30">
        <f>IFERROR(D108/H108,"")</f>
        <v/>
      </c>
      <c r="J108" s="31">
        <f>IF(AND(ISNUMBER(D108),ISNUMBER(G108)),D108-G108,"")</f>
        <v/>
      </c>
      <c r="K108" s="46" t="n">
        <v>0</v>
      </c>
      <c r="L108" s="46" t="n">
        <v>494</v>
      </c>
      <c r="M108" s="38" t="inlineStr">
        <is>
          <t>17 Sep</t>
        </is>
      </c>
    </row>
    <row r="109">
      <c r="A109" s="39" t="n">
        <v>45918</v>
      </c>
      <c r="B109" s="16" t="n">
        <v>0.59</v>
      </c>
      <c r="C109" s="16" t="n">
        <v>0.65</v>
      </c>
      <c r="D109" s="17">
        <f>IF(COUNT(B109:C109)=2,(B109+C109)/2,"")</f>
        <v/>
      </c>
      <c r="E109" s="16" t="n">
        <v>0.32</v>
      </c>
      <c r="F109" s="16" t="n">
        <v>0.38</v>
      </c>
      <c r="G109" s="17">
        <f>IF(COUNT(E109:F109)=2,(E109+F109)/2,"")</f>
        <v/>
      </c>
      <c r="H109" s="17">
        <f>IF(AND(ISNUMBER(D109),ISNUMBER(G109)),D109+G109,"")</f>
        <v/>
      </c>
      <c r="I109" s="20">
        <f>IFERROR(D109/H109,"")</f>
        <v/>
      </c>
      <c r="J109" s="18">
        <f>IF(AND(ISNUMBER(D109),ISNUMBER(G109)),D109-G109,"")</f>
        <v/>
      </c>
      <c r="K109" s="45" t="n">
        <v>0</v>
      </c>
      <c r="L109" s="45" t="n">
        <v>494</v>
      </c>
      <c r="M109" s="26" t="inlineStr">
        <is>
          <t>18 Sep</t>
        </is>
      </c>
    </row>
    <row r="110">
      <c r="A110" s="41" t="n">
        <v>45919</v>
      </c>
      <c r="B110" s="28" t="n">
        <v>0.59</v>
      </c>
      <c r="C110" s="28" t="n">
        <v>0.65</v>
      </c>
      <c r="D110" s="29">
        <f>IF(COUNT(B110:C110)=2,(B110+C110)/2,"")</f>
        <v/>
      </c>
      <c r="E110" s="28" t="n">
        <v>0.32</v>
      </c>
      <c r="F110" s="28" t="n">
        <v>0.38</v>
      </c>
      <c r="G110" s="29">
        <f>IF(COUNT(E110:F110)=2,(E110+F110)/2,"")</f>
        <v/>
      </c>
      <c r="H110" s="29">
        <f>IF(AND(ISNUMBER(D110),ISNUMBER(G110)),D110+G110,"")</f>
        <v/>
      </c>
      <c r="I110" s="30">
        <f>IFERROR(D110/H110,"")</f>
        <v/>
      </c>
      <c r="J110" s="31">
        <f>IF(AND(ISNUMBER(D110),ISNUMBER(G110)),D110-G110,"")</f>
        <v/>
      </c>
      <c r="K110" s="46" t="n">
        <v>0</v>
      </c>
      <c r="L110" s="46" t="n">
        <v>494</v>
      </c>
      <c r="M110" s="38" t="inlineStr">
        <is>
          <t>19 Sep</t>
        </is>
      </c>
    </row>
    <row r="111">
      <c r="A111" s="39" t="n">
        <v>45920</v>
      </c>
      <c r="B111" s="16" t="n">
        <v>0.59</v>
      </c>
      <c r="C111" s="16" t="n">
        <v>0.65</v>
      </c>
      <c r="D111" s="17">
        <f>IF(COUNT(B111:C111)=2,(B111+C111)/2,"")</f>
        <v/>
      </c>
      <c r="E111" s="16" t="n">
        <v>0.32</v>
      </c>
      <c r="F111" s="16" t="n">
        <v>0.38</v>
      </c>
      <c r="G111" s="17">
        <f>IF(COUNT(E111:F111)=2,(E111+F111)/2,"")</f>
        <v/>
      </c>
      <c r="H111" s="17">
        <f>IF(AND(ISNUMBER(D111),ISNUMBER(G111)),D111+G111,"")</f>
        <v/>
      </c>
      <c r="I111" s="20">
        <f>IFERROR(D111/H111,"")</f>
        <v/>
      </c>
      <c r="J111" s="18">
        <f>IF(AND(ISNUMBER(D111),ISNUMBER(G111)),D111-G111,"")</f>
        <v/>
      </c>
      <c r="K111" s="45" t="n">
        <v>0</v>
      </c>
      <c r="L111" s="45" t="n">
        <v>494</v>
      </c>
      <c r="M111" s="26" t="inlineStr">
        <is>
          <t>20 Sep</t>
        </is>
      </c>
    </row>
    <row r="112">
      <c r="A112" s="41" t="n">
        <v>45921</v>
      </c>
      <c r="B112" s="28" t="n">
        <v>0.59</v>
      </c>
      <c r="C112" s="28" t="n">
        <v>0.65</v>
      </c>
      <c r="D112" s="29">
        <f>IF(COUNT(B112:C112)=2,(B112+C112)/2,"")</f>
        <v/>
      </c>
      <c r="E112" s="28" t="n">
        <v>0.32</v>
      </c>
      <c r="F112" s="28" t="n">
        <v>0.38</v>
      </c>
      <c r="G112" s="29">
        <f>IF(COUNT(E112:F112)=2,(E112+F112)/2,"")</f>
        <v/>
      </c>
      <c r="H112" s="29">
        <f>IF(AND(ISNUMBER(D112),ISNUMBER(G112)),D112+G112,"")</f>
        <v/>
      </c>
      <c r="I112" s="30">
        <f>IFERROR(D112/H112,"")</f>
        <v/>
      </c>
      <c r="J112" s="31">
        <f>IF(AND(ISNUMBER(D112),ISNUMBER(G112)),D112-G112,"")</f>
        <v/>
      </c>
      <c r="K112" s="46" t="n">
        <v>0</v>
      </c>
      <c r="L112" s="46" t="n">
        <v>494</v>
      </c>
      <c r="M112" s="38" t="inlineStr">
        <is>
          <t>21 Sep</t>
        </is>
      </c>
    </row>
    <row r="113">
      <c r="A113" s="39" t="n">
        <v>45922</v>
      </c>
      <c r="B113" s="16" t="n">
        <v>0.59</v>
      </c>
      <c r="C113" s="16" t="n">
        <v>0.65</v>
      </c>
      <c r="D113" s="17">
        <f>IF(COUNT(B113:C113)=2,(B113+C113)/2,"")</f>
        <v/>
      </c>
      <c r="E113" s="16" t="n">
        <v>0.32</v>
      </c>
      <c r="F113" s="16" t="n">
        <v>0.38</v>
      </c>
      <c r="G113" s="17">
        <f>IF(COUNT(E113:F113)=2,(E113+F113)/2,"")</f>
        <v/>
      </c>
      <c r="H113" s="17">
        <f>IF(AND(ISNUMBER(D113),ISNUMBER(G113)),D113+G113,"")</f>
        <v/>
      </c>
      <c r="I113" s="20">
        <f>IFERROR(D113/H113,"")</f>
        <v/>
      </c>
      <c r="J113" s="18">
        <f>IF(AND(ISNUMBER(D113),ISNUMBER(G113)),D113-G113,"")</f>
        <v/>
      </c>
      <c r="K113" s="45" t="n">
        <v>0</v>
      </c>
      <c r="L113" s="45" t="n">
        <v>494</v>
      </c>
      <c r="M113" s="26" t="inlineStr">
        <is>
          <t>22 Sep</t>
        </is>
      </c>
    </row>
    <row r="114">
      <c r="A114" s="41" t="n">
        <v>45923</v>
      </c>
      <c r="B114" s="28" t="n">
        <v>0.59</v>
      </c>
      <c r="C114" s="28" t="n">
        <v>0.65</v>
      </c>
      <c r="D114" s="29">
        <f>IF(COUNT(B114:C114)=2,(B114+C114)/2,"")</f>
        <v/>
      </c>
      <c r="E114" s="28" t="n">
        <v>0.32</v>
      </c>
      <c r="F114" s="28" t="n">
        <v>0.38</v>
      </c>
      <c r="G114" s="29">
        <f>IF(COUNT(E114:F114)=2,(E114+F114)/2,"")</f>
        <v/>
      </c>
      <c r="H114" s="29">
        <f>IF(AND(ISNUMBER(D114),ISNUMBER(G114)),D114+G114,"")</f>
        <v/>
      </c>
      <c r="I114" s="30">
        <f>IFERROR(D114/H114,"")</f>
        <v/>
      </c>
      <c r="J114" s="31">
        <f>IF(AND(ISNUMBER(D114),ISNUMBER(G114)),D114-G114,"")</f>
        <v/>
      </c>
      <c r="K114" s="46" t="n">
        <v>0</v>
      </c>
      <c r="L114" s="46" t="n">
        <v>494</v>
      </c>
      <c r="M114" s="38" t="inlineStr">
        <is>
          <t>23 Sep</t>
        </is>
      </c>
    </row>
    <row r="115">
      <c r="A115" s="39" t="n">
        <v>45924</v>
      </c>
      <c r="B115" s="16" t="n">
        <v>0.59</v>
      </c>
      <c r="C115" s="16" t="n">
        <v>0.65</v>
      </c>
      <c r="D115" s="17">
        <f>IF(COUNT(B115:C115)=2,(B115+C115)/2,"")</f>
        <v/>
      </c>
      <c r="E115" s="16" t="n">
        <v>0.32</v>
      </c>
      <c r="F115" s="16" t="n">
        <v>0.38</v>
      </c>
      <c r="G115" s="17">
        <f>IF(COUNT(E115:F115)=2,(E115+F115)/2,"")</f>
        <v/>
      </c>
      <c r="H115" s="17">
        <f>IF(AND(ISNUMBER(D115),ISNUMBER(G115)),D115+G115,"")</f>
        <v/>
      </c>
      <c r="I115" s="20">
        <f>IFERROR(D115/H115,"")</f>
        <v/>
      </c>
      <c r="J115" s="18">
        <f>IF(AND(ISNUMBER(D115),ISNUMBER(G115)),D115-G115,"")</f>
        <v/>
      </c>
      <c r="K115" s="45" t="n">
        <v>0</v>
      </c>
      <c r="L115" s="45" t="n">
        <v>494</v>
      </c>
      <c r="M115" s="26" t="inlineStr">
        <is>
          <t>24 Sep</t>
        </is>
      </c>
    </row>
    <row r="116">
      <c r="A116" s="41" t="n">
        <v>45925</v>
      </c>
      <c r="B116" s="28" t="n">
        <v>0.59</v>
      </c>
      <c r="C116" s="28" t="n">
        <v>0.65</v>
      </c>
      <c r="D116" s="29">
        <f>IF(COUNT(B116:C116)=2,(B116+C116)/2,"")</f>
        <v/>
      </c>
      <c r="E116" s="28" t="n">
        <v>0.32</v>
      </c>
      <c r="F116" s="28" t="n">
        <v>0.38</v>
      </c>
      <c r="G116" s="29">
        <f>IF(COUNT(E116:F116)=2,(E116+F116)/2,"")</f>
        <v/>
      </c>
      <c r="H116" s="29">
        <f>IF(AND(ISNUMBER(D116),ISNUMBER(G116)),D116+G116,"")</f>
        <v/>
      </c>
      <c r="I116" s="30">
        <f>IFERROR(D116/H116,"")</f>
        <v/>
      </c>
      <c r="J116" s="31">
        <f>IF(AND(ISNUMBER(D116),ISNUMBER(G116)),D116-G116,"")</f>
        <v/>
      </c>
      <c r="K116" s="46" t="n">
        <v>0</v>
      </c>
      <c r="L116" s="46" t="n">
        <v>494</v>
      </c>
      <c r="M116" s="38" t="inlineStr">
        <is>
          <t>25 Sep</t>
        </is>
      </c>
    </row>
    <row r="117">
      <c r="A117" s="39" t="n">
        <v>45926</v>
      </c>
      <c r="B117" s="16" t="n">
        <v>0.59</v>
      </c>
      <c r="C117" s="16" t="n">
        <v>0.65</v>
      </c>
      <c r="D117" s="17">
        <f>IF(COUNT(B117:C117)=2,(B117+C117)/2,"")</f>
        <v/>
      </c>
      <c r="E117" s="16" t="n">
        <v>0.32</v>
      </c>
      <c r="F117" s="16" t="n">
        <v>0.38</v>
      </c>
      <c r="G117" s="17">
        <f>IF(COUNT(E117:F117)=2,(E117+F117)/2,"")</f>
        <v/>
      </c>
      <c r="H117" s="17">
        <f>IF(AND(ISNUMBER(D117),ISNUMBER(G117)),D117+G117,"")</f>
        <v/>
      </c>
      <c r="I117" s="20">
        <f>IFERROR(D117/H117,"")</f>
        <v/>
      </c>
      <c r="J117" s="18">
        <f>IF(AND(ISNUMBER(D117),ISNUMBER(G117)),D117-G117,"")</f>
        <v/>
      </c>
      <c r="K117" s="45" t="n">
        <v>0</v>
      </c>
      <c r="L117" s="45" t="n">
        <v>494</v>
      </c>
      <c r="M117" s="26" t="inlineStr">
        <is>
          <t>26 Sep</t>
        </is>
      </c>
    </row>
    <row r="118">
      <c r="A118" s="41" t="n">
        <v>45927</v>
      </c>
      <c r="B118" s="28" t="n">
        <v>0.59</v>
      </c>
      <c r="C118" s="28" t="n">
        <v>0.65</v>
      </c>
      <c r="D118" s="29">
        <f>IF(COUNT(B118:C118)=2,(B118+C118)/2,"")</f>
        <v/>
      </c>
      <c r="E118" s="28" t="n">
        <v>0.32</v>
      </c>
      <c r="F118" s="28" t="n">
        <v>0.38</v>
      </c>
      <c r="G118" s="29">
        <f>IF(COUNT(E118:F118)=2,(E118+F118)/2,"")</f>
        <v/>
      </c>
      <c r="H118" s="29">
        <f>IF(AND(ISNUMBER(D118),ISNUMBER(G118)),D118+G118,"")</f>
        <v/>
      </c>
      <c r="I118" s="30">
        <f>IFERROR(D118/H118,"")</f>
        <v/>
      </c>
      <c r="J118" s="31">
        <f>IF(AND(ISNUMBER(D118),ISNUMBER(G118)),D118-G118,"")</f>
        <v/>
      </c>
      <c r="K118" s="46" t="n">
        <v>0</v>
      </c>
      <c r="L118" s="46" t="n">
        <v>494</v>
      </c>
      <c r="M118" s="38" t="inlineStr">
        <is>
          <t>27 Sep</t>
        </is>
      </c>
    </row>
    <row r="119">
      <c r="A119" s="39" t="n">
        <v>45928</v>
      </c>
      <c r="B119" s="16" t="n">
        <v>0.59</v>
      </c>
      <c r="C119" s="16" t="n">
        <v>0.65</v>
      </c>
      <c r="D119" s="17">
        <f>IF(COUNT(B119:C119)=2,(B119+C119)/2,"")</f>
        <v/>
      </c>
      <c r="E119" s="16" t="n">
        <v>0.32</v>
      </c>
      <c r="F119" s="16" t="n">
        <v>0.38</v>
      </c>
      <c r="G119" s="17">
        <f>IF(COUNT(E119:F119)=2,(E119+F119)/2,"")</f>
        <v/>
      </c>
      <c r="H119" s="17">
        <f>IF(AND(ISNUMBER(D119),ISNUMBER(G119)),D119+G119,"")</f>
        <v/>
      </c>
      <c r="I119" s="20">
        <f>IFERROR(D119/H119,"")</f>
        <v/>
      </c>
      <c r="J119" s="18">
        <f>IF(AND(ISNUMBER(D119),ISNUMBER(G119)),D119-G119,"")</f>
        <v/>
      </c>
      <c r="K119" s="45" t="n">
        <v>0</v>
      </c>
      <c r="L119" s="45" t="n">
        <v>494</v>
      </c>
      <c r="M119" s="26" t="inlineStr">
        <is>
          <t>28 Sep</t>
        </is>
      </c>
    </row>
    <row r="120">
      <c r="A120" s="41" t="n">
        <v>45929</v>
      </c>
      <c r="B120" s="28" t="n">
        <v>0.59</v>
      </c>
      <c r="C120" s="28" t="n">
        <v>0.65</v>
      </c>
      <c r="D120" s="29">
        <f>IF(COUNT(B120:C120)=2,(B120+C120)/2,"")</f>
        <v/>
      </c>
      <c r="E120" s="28" t="n">
        <v>0.32</v>
      </c>
      <c r="F120" s="28" t="n">
        <v>0.38</v>
      </c>
      <c r="G120" s="29">
        <f>IF(COUNT(E120:F120)=2,(E120+F120)/2,"")</f>
        <v/>
      </c>
      <c r="H120" s="29">
        <f>IF(AND(ISNUMBER(D120),ISNUMBER(G120)),D120+G120,"")</f>
        <v/>
      </c>
      <c r="I120" s="30">
        <f>IFERROR(D120/H120,"")</f>
        <v/>
      </c>
      <c r="J120" s="31">
        <f>IF(AND(ISNUMBER(D120),ISNUMBER(G120)),D120-G120,"")</f>
        <v/>
      </c>
      <c r="K120" s="46" t="n">
        <v>0</v>
      </c>
      <c r="L120" s="46" t="n">
        <v>494</v>
      </c>
      <c r="M120" s="38" t="inlineStr">
        <is>
          <t>29 Sep</t>
        </is>
      </c>
    </row>
    <row r="121">
      <c r="A121" s="39" t="n">
        <v>45930</v>
      </c>
      <c r="B121" s="16" t="n">
        <v>0.59</v>
      </c>
      <c r="C121" s="16" t="n">
        <v>0.65</v>
      </c>
      <c r="D121" s="17">
        <f>IF(COUNT(B121:C121)=2,(B121+C121)/2,"")</f>
        <v/>
      </c>
      <c r="E121" s="16" t="n">
        <v>0.32</v>
      </c>
      <c r="F121" s="16" t="n">
        <v>0.38</v>
      </c>
      <c r="G121" s="17">
        <f>IF(COUNT(E121:F121)=2,(E121+F121)/2,"")</f>
        <v/>
      </c>
      <c r="H121" s="17">
        <f>IF(AND(ISNUMBER(D121),ISNUMBER(G121)),D121+G121,"")</f>
        <v/>
      </c>
      <c r="I121" s="20">
        <f>IFERROR(D121/H121,"")</f>
        <v/>
      </c>
      <c r="J121" s="18">
        <f>IF(AND(ISNUMBER(D121),ISNUMBER(G121)),D121-G121,"")</f>
        <v/>
      </c>
      <c r="K121" s="45" t="n">
        <v>0</v>
      </c>
      <c r="L121" s="45" t="n">
        <v>494</v>
      </c>
      <c r="M121" s="26" t="inlineStr">
        <is>
          <t>30 Sep</t>
        </is>
      </c>
    </row>
    <row r="122">
      <c r="A122" s="41" t="n">
        <v>45931</v>
      </c>
      <c r="B122" s="28" t="n">
        <v>0.59</v>
      </c>
      <c r="C122" s="28" t="n">
        <v>0.65</v>
      </c>
      <c r="D122" s="29">
        <f>IF(COUNT(B122:C122)=2,(B122+C122)/2,"")</f>
        <v/>
      </c>
      <c r="E122" s="28" t="n">
        <v>0.32</v>
      </c>
      <c r="F122" s="28" t="n">
        <v>0.38</v>
      </c>
      <c r="G122" s="29">
        <f>IF(COUNT(E122:F122)=2,(E122+F122)/2,"")</f>
        <v/>
      </c>
      <c r="H122" s="29">
        <f>IF(AND(ISNUMBER(D122),ISNUMBER(G122)),D122+G122,"")</f>
        <v/>
      </c>
      <c r="I122" s="30">
        <f>IFERROR(D122/H122,"")</f>
        <v/>
      </c>
      <c r="J122" s="31">
        <f>IF(AND(ISNUMBER(D122),ISNUMBER(G122)),D122-G122,"")</f>
        <v/>
      </c>
      <c r="K122" s="46" t="n">
        <v>0</v>
      </c>
      <c r="L122" s="46" t="n">
        <v>494</v>
      </c>
      <c r="M122" s="38" t="inlineStr">
        <is>
          <t>01 Oct</t>
        </is>
      </c>
    </row>
    <row r="123">
      <c r="A123" s="39" t="n">
        <v>45932</v>
      </c>
      <c r="B123" s="16" t="n">
        <v>0.59</v>
      </c>
      <c r="C123" s="16" t="n">
        <v>0.65</v>
      </c>
      <c r="D123" s="17">
        <f>IF(COUNT(B123:C123)=2,(B123+C123)/2,"")</f>
        <v/>
      </c>
      <c r="E123" s="16" t="n">
        <v>0.32</v>
      </c>
      <c r="F123" s="16" t="n">
        <v>0.38</v>
      </c>
      <c r="G123" s="17">
        <f>IF(COUNT(E123:F123)=2,(E123+F123)/2,"")</f>
        <v/>
      </c>
      <c r="H123" s="17">
        <f>IF(AND(ISNUMBER(D123),ISNUMBER(G123)),D123+G123,"")</f>
        <v/>
      </c>
      <c r="I123" s="20">
        <f>IFERROR(D123/H123,"")</f>
        <v/>
      </c>
      <c r="J123" s="18">
        <f>IF(AND(ISNUMBER(D123),ISNUMBER(G123)),D123-G123,"")</f>
        <v/>
      </c>
      <c r="K123" s="45" t="n">
        <v>0</v>
      </c>
      <c r="L123" s="45" t="n">
        <v>494</v>
      </c>
      <c r="M123" s="26" t="inlineStr">
        <is>
          <t>02 Oct</t>
        </is>
      </c>
    </row>
    <row r="124">
      <c r="A124" s="41" t="n">
        <v>45933</v>
      </c>
      <c r="B124" s="28" t="n">
        <v>0.59</v>
      </c>
      <c r="C124" s="28" t="n">
        <v>0.65</v>
      </c>
      <c r="D124" s="29">
        <f>IF(COUNT(B124:C124)=2,(B124+C124)/2,"")</f>
        <v/>
      </c>
      <c r="E124" s="28" t="n">
        <v>0.32</v>
      </c>
      <c r="F124" s="28" t="n">
        <v>0.38</v>
      </c>
      <c r="G124" s="29">
        <f>IF(COUNT(E124:F124)=2,(E124+F124)/2,"")</f>
        <v/>
      </c>
      <c r="H124" s="29">
        <f>IF(AND(ISNUMBER(D124),ISNUMBER(G124)),D124+G124,"")</f>
        <v/>
      </c>
      <c r="I124" s="30">
        <f>IFERROR(D124/H124,"")</f>
        <v/>
      </c>
      <c r="J124" s="31">
        <f>IF(AND(ISNUMBER(D124),ISNUMBER(G124)),D124-G124,"")</f>
        <v/>
      </c>
      <c r="K124" s="46" t="n">
        <v>0</v>
      </c>
      <c r="L124" s="46" t="n">
        <v>494</v>
      </c>
      <c r="M124" s="38" t="inlineStr">
        <is>
          <t>03 Oct</t>
        </is>
      </c>
    </row>
    <row r="125">
      <c r="A125" s="39" t="n">
        <v>45934</v>
      </c>
      <c r="B125" s="16" t="n">
        <v>0.59</v>
      </c>
      <c r="C125" s="16" t="n">
        <v>0.65</v>
      </c>
      <c r="D125" s="17">
        <f>IF(COUNT(B125:C125)=2,(B125+C125)/2,"")</f>
        <v/>
      </c>
      <c r="E125" s="16" t="n">
        <v>0.32</v>
      </c>
      <c r="F125" s="16" t="n">
        <v>0.38</v>
      </c>
      <c r="G125" s="17">
        <f>IF(COUNT(E125:F125)=2,(E125+F125)/2,"")</f>
        <v/>
      </c>
      <c r="H125" s="17">
        <f>IF(AND(ISNUMBER(D125),ISNUMBER(G125)),D125+G125,"")</f>
        <v/>
      </c>
      <c r="I125" s="20">
        <f>IFERROR(D125/H125,"")</f>
        <v/>
      </c>
      <c r="J125" s="18">
        <f>IF(AND(ISNUMBER(D125),ISNUMBER(G125)),D125-G125,"")</f>
        <v/>
      </c>
      <c r="K125" s="45" t="n">
        <v>0</v>
      </c>
      <c r="L125" s="45" t="n">
        <v>494</v>
      </c>
      <c r="M125" s="26" t="inlineStr">
        <is>
          <t>04 Oct</t>
        </is>
      </c>
    </row>
    <row r="126">
      <c r="A126" s="41" t="n">
        <v>45935</v>
      </c>
      <c r="B126" s="28" t="n">
        <v>0.59</v>
      </c>
      <c r="C126" s="28" t="n">
        <v>0.65</v>
      </c>
      <c r="D126" s="29">
        <f>IF(COUNT(B126:C126)=2,(B126+C126)/2,"")</f>
        <v/>
      </c>
      <c r="E126" s="28" t="n">
        <v>0.32</v>
      </c>
      <c r="F126" s="28" t="n">
        <v>0.38</v>
      </c>
      <c r="G126" s="29">
        <f>IF(COUNT(E126:F126)=2,(E126+F126)/2,"")</f>
        <v/>
      </c>
      <c r="H126" s="29">
        <f>IF(AND(ISNUMBER(D126),ISNUMBER(G126)),D126+G126,"")</f>
        <v/>
      </c>
      <c r="I126" s="30">
        <f>IFERROR(D126/H126,"")</f>
        <v/>
      </c>
      <c r="J126" s="31">
        <f>IF(AND(ISNUMBER(D126),ISNUMBER(G126)),D126-G126,"")</f>
        <v/>
      </c>
      <c r="K126" s="46" t="n">
        <v>0</v>
      </c>
      <c r="L126" s="46" t="n">
        <v>494</v>
      </c>
      <c r="M126" s="38" t="inlineStr">
        <is>
          <t>05 Oct</t>
        </is>
      </c>
    </row>
    <row r="127">
      <c r="A127" s="39" t="n">
        <v>45936</v>
      </c>
      <c r="B127" s="16" t="n">
        <v>0.59</v>
      </c>
      <c r="C127" s="16" t="n">
        <v>0.65</v>
      </c>
      <c r="D127" s="17">
        <f>IF(COUNT(B127:C127)=2,(B127+C127)/2,"")</f>
        <v/>
      </c>
      <c r="E127" s="16" t="n">
        <v>0.32</v>
      </c>
      <c r="F127" s="16" t="n">
        <v>0.38</v>
      </c>
      <c r="G127" s="17">
        <f>IF(COUNT(E127:F127)=2,(E127+F127)/2,"")</f>
        <v/>
      </c>
      <c r="H127" s="17">
        <f>IF(AND(ISNUMBER(D127),ISNUMBER(G127)),D127+G127,"")</f>
        <v/>
      </c>
      <c r="I127" s="20">
        <f>IFERROR(D127/H127,"")</f>
        <v/>
      </c>
      <c r="J127" s="18">
        <f>IF(AND(ISNUMBER(D127),ISNUMBER(G127)),D127-G127,"")</f>
        <v/>
      </c>
      <c r="K127" s="45" t="n">
        <v>0</v>
      </c>
      <c r="L127" s="45" t="n">
        <v>494</v>
      </c>
      <c r="M127" s="26" t="inlineStr">
        <is>
          <t>06 Oct</t>
        </is>
      </c>
    </row>
    <row r="128">
      <c r="A128" s="41" t="n">
        <v>45937</v>
      </c>
      <c r="B128" s="28" t="n">
        <v>0.59</v>
      </c>
      <c r="C128" s="28" t="n">
        <v>0.65</v>
      </c>
      <c r="D128" s="29">
        <f>IF(COUNT(B128:C128)=2,(B128+C128)/2,"")</f>
        <v/>
      </c>
      <c r="E128" s="28" t="n">
        <v>0.32</v>
      </c>
      <c r="F128" s="28" t="n">
        <v>0.38</v>
      </c>
      <c r="G128" s="29">
        <f>IF(COUNT(E128:F128)=2,(E128+F128)/2,"")</f>
        <v/>
      </c>
      <c r="H128" s="29">
        <f>IF(AND(ISNUMBER(D128),ISNUMBER(G128)),D128+G128,"")</f>
        <v/>
      </c>
      <c r="I128" s="30">
        <f>IFERROR(D128/H128,"")</f>
        <v/>
      </c>
      <c r="J128" s="31">
        <f>IF(AND(ISNUMBER(D128),ISNUMBER(G128)),D128-G128,"")</f>
        <v/>
      </c>
      <c r="K128" s="46" t="n">
        <v>0</v>
      </c>
      <c r="L128" s="46" t="n">
        <v>494</v>
      </c>
      <c r="M128" s="38" t="inlineStr">
        <is>
          <t>07 Oct</t>
        </is>
      </c>
    </row>
    <row r="129">
      <c r="A129" s="39" t="n">
        <v>45938</v>
      </c>
      <c r="B129" s="16" t="n">
        <v>0.59</v>
      </c>
      <c r="C129" s="16" t="n">
        <v>0.65</v>
      </c>
      <c r="D129" s="17">
        <f>IF(COUNT(B129:C129)=2,(B129+C129)/2,"")</f>
        <v/>
      </c>
      <c r="E129" s="16" t="n">
        <v>0.32</v>
      </c>
      <c r="F129" s="16" t="n">
        <v>0.38</v>
      </c>
      <c r="G129" s="17">
        <f>IF(COUNT(E129:F129)=2,(E129+F129)/2,"")</f>
        <v/>
      </c>
      <c r="H129" s="17">
        <f>IF(AND(ISNUMBER(D129),ISNUMBER(G129)),D129+G129,"")</f>
        <v/>
      </c>
      <c r="I129" s="20">
        <f>IFERROR(D129/H129,"")</f>
        <v/>
      </c>
      <c r="J129" s="18">
        <f>IF(AND(ISNUMBER(D129),ISNUMBER(G129)),D129-G129,"")</f>
        <v/>
      </c>
      <c r="K129" s="45" t="n">
        <v>0</v>
      </c>
      <c r="L129" s="45" t="n">
        <v>494</v>
      </c>
      <c r="M129" s="26" t="inlineStr">
        <is>
          <t>08 Oct</t>
        </is>
      </c>
    </row>
    <row r="130">
      <c r="A130" s="41" t="n">
        <v>45939</v>
      </c>
      <c r="B130" s="28" t="n">
        <v>0.59</v>
      </c>
      <c r="C130" s="28" t="n">
        <v>0.65</v>
      </c>
      <c r="D130" s="29">
        <f>IF(COUNT(B130:C130)=2,(B130+C130)/2,"")</f>
        <v/>
      </c>
      <c r="E130" s="28" t="n">
        <v>0.32</v>
      </c>
      <c r="F130" s="28" t="n">
        <v>0.38</v>
      </c>
      <c r="G130" s="29">
        <f>IF(COUNT(E130:F130)=2,(E130+F130)/2,"")</f>
        <v/>
      </c>
      <c r="H130" s="29">
        <f>IF(AND(ISNUMBER(D130),ISNUMBER(G130)),D130+G130,"")</f>
        <v/>
      </c>
      <c r="I130" s="30">
        <f>IFERROR(D130/H130,"")</f>
        <v/>
      </c>
      <c r="J130" s="31">
        <f>IF(AND(ISNUMBER(D130),ISNUMBER(G130)),D130-G130,"")</f>
        <v/>
      </c>
      <c r="K130" s="46" t="n">
        <v>0</v>
      </c>
      <c r="L130" s="46" t="n">
        <v>494</v>
      </c>
      <c r="M130" s="38" t="inlineStr">
        <is>
          <t>09 Oct</t>
        </is>
      </c>
    </row>
    <row r="131">
      <c r="A131" s="39" t="n">
        <v>45940</v>
      </c>
      <c r="B131" s="16" t="n">
        <v>0.59</v>
      </c>
      <c r="C131" s="16" t="n">
        <v>0.65</v>
      </c>
      <c r="D131" s="17">
        <f>IF(COUNT(B131:C131)=2,(B131+C131)/2,"")</f>
        <v/>
      </c>
      <c r="E131" s="16" t="n">
        <v>0.32</v>
      </c>
      <c r="F131" s="16" t="n">
        <v>0.38</v>
      </c>
      <c r="G131" s="17">
        <f>IF(COUNT(E131:F131)=2,(E131+F131)/2,"")</f>
        <v/>
      </c>
      <c r="H131" s="17">
        <f>IF(AND(ISNUMBER(D131),ISNUMBER(G131)),D131+G131,"")</f>
        <v/>
      </c>
      <c r="I131" s="20">
        <f>IFERROR(D131/H131,"")</f>
        <v/>
      </c>
      <c r="J131" s="18">
        <f>IF(AND(ISNUMBER(D131),ISNUMBER(G131)),D131-G131,"")</f>
        <v/>
      </c>
      <c r="K131" s="45" t="n">
        <v>0</v>
      </c>
      <c r="L131" s="45" t="n">
        <v>494</v>
      </c>
      <c r="M131" s="26" t="inlineStr">
        <is>
          <t>10 Oct</t>
        </is>
      </c>
    </row>
    <row r="132">
      <c r="A132" s="41" t="n">
        <v>45941</v>
      </c>
      <c r="B132" s="28" t="n">
        <v>0.59</v>
      </c>
      <c r="C132" s="28" t="n">
        <v>0.65</v>
      </c>
      <c r="D132" s="29">
        <f>IF(COUNT(B132:C132)=2,(B132+C132)/2,"")</f>
        <v/>
      </c>
      <c r="E132" s="28" t="n">
        <v>0.32</v>
      </c>
      <c r="F132" s="28" t="n">
        <v>0.38</v>
      </c>
      <c r="G132" s="29">
        <f>IF(COUNT(E132:F132)=2,(E132+F132)/2,"")</f>
        <v/>
      </c>
      <c r="H132" s="29">
        <f>IF(AND(ISNUMBER(D132),ISNUMBER(G132)),D132+G132,"")</f>
        <v/>
      </c>
      <c r="I132" s="30">
        <f>IFERROR(D132/H132,"")</f>
        <v/>
      </c>
      <c r="J132" s="31">
        <f>IF(AND(ISNUMBER(D132),ISNUMBER(G132)),D132-G132,"")</f>
        <v/>
      </c>
      <c r="K132" s="46" t="n">
        <v>0</v>
      </c>
      <c r="L132" s="46" t="n">
        <v>494</v>
      </c>
      <c r="M132" s="38" t="inlineStr">
        <is>
          <t>11 Oct</t>
        </is>
      </c>
    </row>
    <row r="133">
      <c r="A133" s="39" t="n">
        <v>45942</v>
      </c>
      <c r="B133" s="16" t="n">
        <v>0.59</v>
      </c>
      <c r="C133" s="16" t="n">
        <v>0.65</v>
      </c>
      <c r="D133" s="17">
        <f>IF(COUNT(B133:C133)=2,(B133+C133)/2,"")</f>
        <v/>
      </c>
      <c r="E133" s="16" t="n">
        <v>0.32</v>
      </c>
      <c r="F133" s="16" t="n">
        <v>0.38</v>
      </c>
      <c r="G133" s="17">
        <f>IF(COUNT(E133:F133)=2,(E133+F133)/2,"")</f>
        <v/>
      </c>
      <c r="H133" s="17">
        <f>IF(AND(ISNUMBER(D133),ISNUMBER(G133)),D133+G133,"")</f>
        <v/>
      </c>
      <c r="I133" s="20">
        <f>IFERROR(D133/H133,"")</f>
        <v/>
      </c>
      <c r="J133" s="18">
        <f>IF(AND(ISNUMBER(D133),ISNUMBER(G133)),D133-G133,"")</f>
        <v/>
      </c>
      <c r="K133" s="45" t="n">
        <v>0</v>
      </c>
      <c r="L133" s="45" t="n">
        <v>494</v>
      </c>
      <c r="M133" s="26" t="inlineStr">
        <is>
          <t>12 Oct</t>
        </is>
      </c>
    </row>
    <row r="134">
      <c r="A134" s="41" t="n">
        <v>45943</v>
      </c>
      <c r="B134" s="28" t="n">
        <v>0.59</v>
      </c>
      <c r="C134" s="28" t="n">
        <v>0.65</v>
      </c>
      <c r="D134" s="29">
        <f>IF(COUNT(B134:C134)=2,(B134+C134)/2,"")</f>
        <v/>
      </c>
      <c r="E134" s="28" t="n">
        <v>0.32</v>
      </c>
      <c r="F134" s="28" t="n">
        <v>0.38</v>
      </c>
      <c r="G134" s="29">
        <f>IF(COUNT(E134:F134)=2,(E134+F134)/2,"")</f>
        <v/>
      </c>
      <c r="H134" s="29">
        <f>IF(AND(ISNUMBER(D134),ISNUMBER(G134)),D134+G134,"")</f>
        <v/>
      </c>
      <c r="I134" s="30">
        <f>IFERROR(D134/H134,"")</f>
        <v/>
      </c>
      <c r="J134" s="31">
        <f>IF(AND(ISNUMBER(D134),ISNUMBER(G134)),D134-G134,"")</f>
        <v/>
      </c>
      <c r="K134" s="46" t="n">
        <v>0</v>
      </c>
      <c r="L134" s="46" t="n">
        <v>494</v>
      </c>
      <c r="M134" s="38" t="inlineStr">
        <is>
          <t>13 Oct</t>
        </is>
      </c>
    </row>
    <row r="135">
      <c r="A135" s="39" t="n">
        <v>45944</v>
      </c>
      <c r="B135" s="16" t="n">
        <v>0.59</v>
      </c>
      <c r="C135" s="16" t="n">
        <v>0.65</v>
      </c>
      <c r="D135" s="17">
        <f>IF(COUNT(B135:C135)=2,(B135+C135)/2,"")</f>
        <v/>
      </c>
      <c r="E135" s="16" t="n">
        <v>0.32</v>
      </c>
      <c r="F135" s="16" t="n">
        <v>0.38</v>
      </c>
      <c r="G135" s="17">
        <f>IF(COUNT(E135:F135)=2,(E135+F135)/2,"")</f>
        <v/>
      </c>
      <c r="H135" s="17">
        <f>IF(AND(ISNUMBER(D135),ISNUMBER(G135)),D135+G135,"")</f>
        <v/>
      </c>
      <c r="I135" s="20">
        <f>IFERROR(D135/H135,"")</f>
        <v/>
      </c>
      <c r="J135" s="18">
        <f>IF(AND(ISNUMBER(D135),ISNUMBER(G135)),D135-G135,"")</f>
        <v/>
      </c>
      <c r="K135" s="45" t="n">
        <v>0</v>
      </c>
      <c r="L135" s="45" t="n">
        <v>494</v>
      </c>
      <c r="M135" s="26" t="inlineStr">
        <is>
          <t>14 Oct</t>
        </is>
      </c>
    </row>
    <row r="136">
      <c r="A136" s="41" t="n">
        <v>45945</v>
      </c>
      <c r="B136" s="28" t="n">
        <v>0.59</v>
      </c>
      <c r="C136" s="28" t="n">
        <v>0.65</v>
      </c>
      <c r="D136" s="29">
        <f>IF(COUNT(B136:C136)=2,(B136+C136)/2,"")</f>
        <v/>
      </c>
      <c r="E136" s="28" t="n">
        <v>0.32</v>
      </c>
      <c r="F136" s="28" t="n">
        <v>0.38</v>
      </c>
      <c r="G136" s="29">
        <f>IF(COUNT(E136:F136)=2,(E136+F136)/2,"")</f>
        <v/>
      </c>
      <c r="H136" s="29">
        <f>IF(AND(ISNUMBER(D136),ISNUMBER(G136)),D136+G136,"")</f>
        <v/>
      </c>
      <c r="I136" s="30">
        <f>IFERROR(D136/H136,"")</f>
        <v/>
      </c>
      <c r="J136" s="31">
        <f>IF(AND(ISNUMBER(D136),ISNUMBER(G136)),D136-G136,"")</f>
        <v/>
      </c>
      <c r="K136" s="46" t="n">
        <v>0</v>
      </c>
      <c r="L136" s="46" t="n">
        <v>494</v>
      </c>
      <c r="M136" s="38" t="inlineStr">
        <is>
          <t>15 Oct</t>
        </is>
      </c>
    </row>
    <row r="137">
      <c r="A137" s="39" t="n">
        <v>45946</v>
      </c>
      <c r="B137" s="16" t="n">
        <v>0.59</v>
      </c>
      <c r="C137" s="16" t="n">
        <v>0.65</v>
      </c>
      <c r="D137" s="17">
        <f>IF(COUNT(B137:C137)=2,(B137+C137)/2,"")</f>
        <v/>
      </c>
      <c r="E137" s="16" t="n">
        <v>0.32</v>
      </c>
      <c r="F137" s="16" t="n">
        <v>0.38</v>
      </c>
      <c r="G137" s="17">
        <f>IF(COUNT(E137:F137)=2,(E137+F137)/2,"")</f>
        <v/>
      </c>
      <c r="H137" s="17">
        <f>IF(AND(ISNUMBER(D137),ISNUMBER(G137)),D137+G137,"")</f>
        <v/>
      </c>
      <c r="I137" s="20">
        <f>IFERROR(D137/H137,"")</f>
        <v/>
      </c>
      <c r="J137" s="18">
        <f>IF(AND(ISNUMBER(D137),ISNUMBER(G137)),D137-G137,"")</f>
        <v/>
      </c>
      <c r="K137" s="45" t="n">
        <v>0</v>
      </c>
      <c r="L137" s="45" t="n">
        <v>494</v>
      </c>
      <c r="M137" s="26" t="inlineStr">
        <is>
          <t>16 Oct</t>
        </is>
      </c>
    </row>
    <row r="138">
      <c r="A138" s="41" t="n">
        <v>45947</v>
      </c>
      <c r="B138" s="28" t="n">
        <v>0.59</v>
      </c>
      <c r="C138" s="28" t="n">
        <v>0.65</v>
      </c>
      <c r="D138" s="29">
        <f>IF(COUNT(B138:C138)=2,(B138+C138)/2,"")</f>
        <v/>
      </c>
      <c r="E138" s="28" t="n">
        <v>0.32</v>
      </c>
      <c r="F138" s="28" t="n">
        <v>0.38</v>
      </c>
      <c r="G138" s="29">
        <f>IF(COUNT(E138:F138)=2,(E138+F138)/2,"")</f>
        <v/>
      </c>
      <c r="H138" s="29">
        <f>IF(AND(ISNUMBER(D138),ISNUMBER(G138)),D138+G138,"")</f>
        <v/>
      </c>
      <c r="I138" s="30">
        <f>IFERROR(D138/H138,"")</f>
        <v/>
      </c>
      <c r="J138" s="31">
        <f>IF(AND(ISNUMBER(D138),ISNUMBER(G138)),D138-G138,"")</f>
        <v/>
      </c>
      <c r="K138" s="46" t="n">
        <v>0</v>
      </c>
      <c r="L138" s="46" t="n">
        <v>494</v>
      </c>
      <c r="M138" s="38" t="inlineStr">
        <is>
          <t>17 Oct</t>
        </is>
      </c>
    </row>
    <row r="139">
      <c r="A139" s="39" t="n">
        <v>45948</v>
      </c>
      <c r="B139" s="16" t="n">
        <v>0.59</v>
      </c>
      <c r="C139" s="16" t="n">
        <v>0.65</v>
      </c>
      <c r="D139" s="17">
        <f>IF(COUNT(B139:C139)=2,(B139+C139)/2,"")</f>
        <v/>
      </c>
      <c r="E139" s="16" t="n">
        <v>0.32</v>
      </c>
      <c r="F139" s="16" t="n">
        <v>0.38</v>
      </c>
      <c r="G139" s="17">
        <f>IF(COUNT(E139:F139)=2,(E139+F139)/2,"")</f>
        <v/>
      </c>
      <c r="H139" s="17">
        <f>IF(AND(ISNUMBER(D139),ISNUMBER(G139)),D139+G139,"")</f>
        <v/>
      </c>
      <c r="I139" s="20">
        <f>IFERROR(D139/H139,"")</f>
        <v/>
      </c>
      <c r="J139" s="18">
        <f>IF(AND(ISNUMBER(D139),ISNUMBER(G139)),D139-G139,"")</f>
        <v/>
      </c>
      <c r="K139" s="45" t="n">
        <v>0</v>
      </c>
      <c r="L139" s="45" t="n">
        <v>494</v>
      </c>
      <c r="M139" s="26" t="inlineStr">
        <is>
          <t>18 Oct</t>
        </is>
      </c>
    </row>
    <row r="140">
      <c r="A140" s="41" t="n">
        <v>45949</v>
      </c>
      <c r="B140" s="28" t="n">
        <v>0.59</v>
      </c>
      <c r="C140" s="28" t="n">
        <v>0.65</v>
      </c>
      <c r="D140" s="29">
        <f>IF(COUNT(B140:C140)=2,(B140+C140)/2,"")</f>
        <v/>
      </c>
      <c r="E140" s="28" t="n">
        <v>0.32</v>
      </c>
      <c r="F140" s="28" t="n">
        <v>0.38</v>
      </c>
      <c r="G140" s="29">
        <f>IF(COUNT(E140:F140)=2,(E140+F140)/2,"")</f>
        <v/>
      </c>
      <c r="H140" s="29">
        <f>IF(AND(ISNUMBER(D140),ISNUMBER(G140)),D140+G140,"")</f>
        <v/>
      </c>
      <c r="I140" s="30">
        <f>IFERROR(D140/H140,"")</f>
        <v/>
      </c>
      <c r="J140" s="31">
        <f>IF(AND(ISNUMBER(D140),ISNUMBER(G140)),D140-G140,"")</f>
        <v/>
      </c>
      <c r="K140" s="46" t="n">
        <v>0</v>
      </c>
      <c r="L140" s="46" t="n">
        <v>494</v>
      </c>
      <c r="M140" s="38" t="inlineStr">
        <is>
          <t>19 Oct</t>
        </is>
      </c>
    </row>
    <row r="141">
      <c r="A141" s="39" t="n">
        <v>45950</v>
      </c>
      <c r="B141" s="16" t="n">
        <v>0.59</v>
      </c>
      <c r="C141" s="16" t="n">
        <v>0.65</v>
      </c>
      <c r="D141" s="17">
        <f>IF(COUNT(B141:C141)=2,(B141+C141)/2,"")</f>
        <v/>
      </c>
      <c r="E141" s="16" t="n">
        <v>0.32</v>
      </c>
      <c r="F141" s="16" t="n">
        <v>0.38</v>
      </c>
      <c r="G141" s="17">
        <f>IF(COUNT(E141:F141)=2,(E141+F141)/2,"")</f>
        <v/>
      </c>
      <c r="H141" s="17">
        <f>IF(AND(ISNUMBER(D141),ISNUMBER(G141)),D141+G141,"")</f>
        <v/>
      </c>
      <c r="I141" s="20">
        <f>IFERROR(D141/H141,"")</f>
        <v/>
      </c>
      <c r="J141" s="18">
        <f>IF(AND(ISNUMBER(D141),ISNUMBER(G141)),D141-G141,"")</f>
        <v/>
      </c>
      <c r="K141" s="45" t="n">
        <v>0</v>
      </c>
      <c r="L141" s="45" t="n">
        <v>494</v>
      </c>
      <c r="M141" s="26" t="inlineStr">
        <is>
          <t>20 Oct</t>
        </is>
      </c>
    </row>
    <row r="142">
      <c r="A142" s="41" t="n">
        <v>45951</v>
      </c>
      <c r="B142" s="28" t="n">
        <v>0.59</v>
      </c>
      <c r="C142" s="28" t="n">
        <v>0.65</v>
      </c>
      <c r="D142" s="29">
        <f>IF(COUNT(B142:C142)=2,(B142+C142)/2,"")</f>
        <v/>
      </c>
      <c r="E142" s="28" t="n">
        <v>0.32</v>
      </c>
      <c r="F142" s="28" t="n">
        <v>0.38</v>
      </c>
      <c r="G142" s="29">
        <f>IF(COUNT(E142:F142)=2,(E142+F142)/2,"")</f>
        <v/>
      </c>
      <c r="H142" s="29">
        <f>IF(AND(ISNUMBER(D142),ISNUMBER(G142)),D142+G142,"")</f>
        <v/>
      </c>
      <c r="I142" s="30">
        <f>IFERROR(D142/H142,"")</f>
        <v/>
      </c>
      <c r="J142" s="31">
        <f>IF(AND(ISNUMBER(D142),ISNUMBER(G142)),D142-G142,"")</f>
        <v/>
      </c>
      <c r="K142" s="46" t="n">
        <v>0</v>
      </c>
      <c r="L142" s="46" t="n">
        <v>494</v>
      </c>
      <c r="M142" s="38" t="inlineStr">
        <is>
          <t>21 Oct</t>
        </is>
      </c>
    </row>
    <row r="143">
      <c r="A143" s="39" t="n">
        <v>45952</v>
      </c>
      <c r="B143" s="16" t="n">
        <v>0.59</v>
      </c>
      <c r="C143" s="16" t="n">
        <v>0.65</v>
      </c>
      <c r="D143" s="17">
        <f>IF(COUNT(B143:C143)=2,(B143+C143)/2,"")</f>
        <v/>
      </c>
      <c r="E143" s="16" t="n">
        <v>0.32</v>
      </c>
      <c r="F143" s="16" t="n">
        <v>0.38</v>
      </c>
      <c r="G143" s="17">
        <f>IF(COUNT(E143:F143)=2,(E143+F143)/2,"")</f>
        <v/>
      </c>
      <c r="H143" s="17">
        <f>IF(AND(ISNUMBER(D143),ISNUMBER(G143)),D143+G143,"")</f>
        <v/>
      </c>
      <c r="I143" s="20">
        <f>IFERROR(D143/H143,"")</f>
        <v/>
      </c>
      <c r="J143" s="18">
        <f>IF(AND(ISNUMBER(D143),ISNUMBER(G143)),D143-G143,"")</f>
        <v/>
      </c>
      <c r="K143" s="45" t="n">
        <v>0</v>
      </c>
      <c r="L143" s="45" t="n">
        <v>494</v>
      </c>
      <c r="M143" s="26" t="inlineStr">
        <is>
          <t>22 Oct</t>
        </is>
      </c>
    </row>
    <row r="144">
      <c r="A144" s="41" t="n">
        <v>45953</v>
      </c>
      <c r="B144" s="28" t="n">
        <v>0.59</v>
      </c>
      <c r="C144" s="28" t="n">
        <v>0.65</v>
      </c>
      <c r="D144" s="29">
        <f>IF(COUNT(B144:C144)=2,(B144+C144)/2,"")</f>
        <v/>
      </c>
      <c r="E144" s="28" t="n">
        <v>0.32</v>
      </c>
      <c r="F144" s="28" t="n">
        <v>0.38</v>
      </c>
      <c r="G144" s="29">
        <f>IF(COUNT(E144:F144)=2,(E144+F144)/2,"")</f>
        <v/>
      </c>
      <c r="H144" s="29">
        <f>IF(AND(ISNUMBER(D144),ISNUMBER(G144)),D144+G144,"")</f>
        <v/>
      </c>
      <c r="I144" s="30">
        <f>IFERROR(D144/H144,"")</f>
        <v/>
      </c>
      <c r="J144" s="31">
        <f>IF(AND(ISNUMBER(D144),ISNUMBER(G144)),D144-G144,"")</f>
        <v/>
      </c>
      <c r="K144" s="46" t="n">
        <v>0</v>
      </c>
      <c r="L144" s="46" t="n">
        <v>494</v>
      </c>
      <c r="M144" s="38" t="inlineStr">
        <is>
          <t>23 Oct</t>
        </is>
      </c>
    </row>
    <row r="145">
      <c r="A145" s="39" t="n">
        <v>45954</v>
      </c>
      <c r="B145" s="16" t="n">
        <v>0.59</v>
      </c>
      <c r="C145" s="16" t="n">
        <v>0.65</v>
      </c>
      <c r="D145" s="17">
        <f>IF(COUNT(B145:C145)=2,(B145+C145)/2,"")</f>
        <v/>
      </c>
      <c r="E145" s="16" t="n">
        <v>0.32</v>
      </c>
      <c r="F145" s="16" t="n">
        <v>0.38</v>
      </c>
      <c r="G145" s="17">
        <f>IF(COUNT(E145:F145)=2,(E145+F145)/2,"")</f>
        <v/>
      </c>
      <c r="H145" s="17">
        <f>IF(AND(ISNUMBER(D145),ISNUMBER(G145)),D145+G145,"")</f>
        <v/>
      </c>
      <c r="I145" s="20">
        <f>IFERROR(D145/H145,"")</f>
        <v/>
      </c>
      <c r="J145" s="18">
        <f>IF(AND(ISNUMBER(D145),ISNUMBER(G145)),D145-G145,"")</f>
        <v/>
      </c>
      <c r="K145" s="45" t="n">
        <v>0</v>
      </c>
      <c r="L145" s="45" t="n">
        <v>494</v>
      </c>
      <c r="M145" s="26" t="inlineStr">
        <is>
          <t>24 Oct</t>
        </is>
      </c>
    </row>
    <row r="146">
      <c r="A146" s="41" t="n">
        <v>45955</v>
      </c>
      <c r="B146" s="28" t="n">
        <v>0.59</v>
      </c>
      <c r="C146" s="28" t="n">
        <v>0.65</v>
      </c>
      <c r="D146" s="29">
        <f>IF(COUNT(B146:C146)=2,(B146+C146)/2,"")</f>
        <v/>
      </c>
      <c r="E146" s="28" t="n">
        <v>0.32</v>
      </c>
      <c r="F146" s="28" t="n">
        <v>0.38</v>
      </c>
      <c r="G146" s="29">
        <f>IF(COUNT(E146:F146)=2,(E146+F146)/2,"")</f>
        <v/>
      </c>
      <c r="H146" s="29">
        <f>IF(AND(ISNUMBER(D146),ISNUMBER(G146)),D146+G146,"")</f>
        <v/>
      </c>
      <c r="I146" s="30">
        <f>IFERROR(D146/H146,"")</f>
        <v/>
      </c>
      <c r="J146" s="31">
        <f>IF(AND(ISNUMBER(D146),ISNUMBER(G146)),D146-G146,"")</f>
        <v/>
      </c>
      <c r="K146" s="46" t="n">
        <v>0</v>
      </c>
      <c r="L146" s="46" t="n">
        <v>494</v>
      </c>
      <c r="M146" s="38" t="inlineStr">
        <is>
          <t>25 Oct</t>
        </is>
      </c>
    </row>
    <row r="147">
      <c r="A147" s="39" t="n">
        <v>45956</v>
      </c>
      <c r="B147" s="16" t="n">
        <v>0.59</v>
      </c>
      <c r="C147" s="16" t="n">
        <v>0.65</v>
      </c>
      <c r="D147" s="17">
        <f>IF(COUNT(B147:C147)=2,(B147+C147)/2,"")</f>
        <v/>
      </c>
      <c r="E147" s="16" t="n">
        <v>0.32</v>
      </c>
      <c r="F147" s="16" t="n">
        <v>0.38</v>
      </c>
      <c r="G147" s="17">
        <f>IF(COUNT(E147:F147)=2,(E147+F147)/2,"")</f>
        <v/>
      </c>
      <c r="H147" s="17">
        <f>IF(AND(ISNUMBER(D147),ISNUMBER(G147)),D147+G147,"")</f>
        <v/>
      </c>
      <c r="I147" s="20">
        <f>IFERROR(D147/H147,"")</f>
        <v/>
      </c>
      <c r="J147" s="18">
        <f>IF(AND(ISNUMBER(D147),ISNUMBER(G147)),D147-G147,"")</f>
        <v/>
      </c>
      <c r="K147" s="45" t="n">
        <v>0</v>
      </c>
      <c r="L147" s="45" t="n">
        <v>494</v>
      </c>
      <c r="M147" s="26" t="inlineStr">
        <is>
          <t>26 Oct</t>
        </is>
      </c>
    </row>
    <row r="148">
      <c r="A148" s="41" t="n">
        <v>45957</v>
      </c>
      <c r="B148" s="28" t="n">
        <v>0.59</v>
      </c>
      <c r="C148" s="28" t="n">
        <v>0.65</v>
      </c>
      <c r="D148" s="29">
        <f>IF(COUNT(B148:C148)=2,(B148+C148)/2,"")</f>
        <v/>
      </c>
      <c r="E148" s="28" t="n">
        <v>0.32</v>
      </c>
      <c r="F148" s="28" t="n">
        <v>0.38</v>
      </c>
      <c r="G148" s="29">
        <f>IF(COUNT(E148:F148)=2,(E148+F148)/2,"")</f>
        <v/>
      </c>
      <c r="H148" s="29">
        <f>IF(AND(ISNUMBER(D148),ISNUMBER(G148)),D148+G148,"")</f>
        <v/>
      </c>
      <c r="I148" s="30">
        <f>IFERROR(D148/H148,"")</f>
        <v/>
      </c>
      <c r="J148" s="31">
        <f>IF(AND(ISNUMBER(D148),ISNUMBER(G148)),D148-G148,"")</f>
        <v/>
      </c>
      <c r="K148" s="46" t="n">
        <v>0</v>
      </c>
      <c r="L148" s="46" t="n">
        <v>494</v>
      </c>
      <c r="M148" s="38" t="inlineStr">
        <is>
          <t>27 Oct</t>
        </is>
      </c>
    </row>
    <row r="149">
      <c r="A149" s="39" t="n">
        <v>45958</v>
      </c>
      <c r="B149" s="16" t="n">
        <v>0.59</v>
      </c>
      <c r="C149" s="16" t="n">
        <v>0.65</v>
      </c>
      <c r="D149" s="17">
        <f>IF(COUNT(B149:C149)=2,(B149+C149)/2,"")</f>
        <v/>
      </c>
      <c r="E149" s="16" t="n">
        <v>0.32</v>
      </c>
      <c r="F149" s="16" t="n">
        <v>0.38</v>
      </c>
      <c r="G149" s="17">
        <f>IF(COUNT(E149:F149)=2,(E149+F149)/2,"")</f>
        <v/>
      </c>
      <c r="H149" s="17">
        <f>IF(AND(ISNUMBER(D149),ISNUMBER(G149)),D149+G149,"")</f>
        <v/>
      </c>
      <c r="I149" s="20">
        <f>IFERROR(D149/H149,"")</f>
        <v/>
      </c>
      <c r="J149" s="18">
        <f>IF(AND(ISNUMBER(D149),ISNUMBER(G149)),D149-G149,"")</f>
        <v/>
      </c>
      <c r="K149" s="45" t="n">
        <v>0</v>
      </c>
      <c r="L149" s="45" t="n">
        <v>494</v>
      </c>
      <c r="M149" s="26" t="inlineStr">
        <is>
          <t>28 Oct</t>
        </is>
      </c>
    </row>
    <row r="150">
      <c r="A150" s="41" t="n">
        <v>45959</v>
      </c>
      <c r="B150" s="28" t="n">
        <v>0.59</v>
      </c>
      <c r="C150" s="28" t="n">
        <v>0.65</v>
      </c>
      <c r="D150" s="29">
        <f>IF(COUNT(B150:C150)=2,(B150+C150)/2,"")</f>
        <v/>
      </c>
      <c r="E150" s="28" t="n">
        <v>0.32</v>
      </c>
      <c r="F150" s="28" t="n">
        <v>0.38</v>
      </c>
      <c r="G150" s="29">
        <f>IF(COUNT(E150:F150)=2,(E150+F150)/2,"")</f>
        <v/>
      </c>
      <c r="H150" s="29">
        <f>IF(AND(ISNUMBER(D150),ISNUMBER(G150)),D150+G150,"")</f>
        <v/>
      </c>
      <c r="I150" s="30">
        <f>IFERROR(D150/H150,"")</f>
        <v/>
      </c>
      <c r="J150" s="31">
        <f>IF(AND(ISNUMBER(D150),ISNUMBER(G150)),D150-G150,"")</f>
        <v/>
      </c>
      <c r="K150" s="46" t="n">
        <v>0</v>
      </c>
      <c r="L150" s="46" t="n">
        <v>494</v>
      </c>
      <c r="M150" s="38" t="inlineStr">
        <is>
          <t>29 Oct</t>
        </is>
      </c>
    </row>
    <row r="151">
      <c r="A151" s="39" t="n">
        <v>45960</v>
      </c>
      <c r="B151" s="16" t="n">
        <v>0.59</v>
      </c>
      <c r="C151" s="16" t="n">
        <v>0.65</v>
      </c>
      <c r="D151" s="17">
        <f>IF(COUNT(B151:C151)=2,(B151+C151)/2,"")</f>
        <v/>
      </c>
      <c r="E151" s="16" t="n">
        <v>0.32</v>
      </c>
      <c r="F151" s="16" t="n">
        <v>0.38</v>
      </c>
      <c r="G151" s="17">
        <f>IF(COUNT(E151:F151)=2,(E151+F151)/2,"")</f>
        <v/>
      </c>
      <c r="H151" s="17">
        <f>IF(AND(ISNUMBER(D151),ISNUMBER(G151)),D151+G151,"")</f>
        <v/>
      </c>
      <c r="I151" s="20">
        <f>IFERROR(D151/H151,"")</f>
        <v/>
      </c>
      <c r="J151" s="18">
        <f>IF(AND(ISNUMBER(D151),ISNUMBER(G151)),D151-G151,"")</f>
        <v/>
      </c>
      <c r="K151" s="45" t="n">
        <v>0</v>
      </c>
      <c r="L151" s="45" t="n">
        <v>494</v>
      </c>
      <c r="M151" s="26" t="inlineStr">
        <is>
          <t>30 Oct</t>
        </is>
      </c>
    </row>
    <row r="152">
      <c r="A152" s="41" t="n">
        <v>45961</v>
      </c>
      <c r="B152" s="28" t="n">
        <v>0.59</v>
      </c>
      <c r="C152" s="28" t="n">
        <v>0.65</v>
      </c>
      <c r="D152" s="29">
        <f>IF(COUNT(B152:C152)=2,(B152+C152)/2,"")</f>
        <v/>
      </c>
      <c r="E152" s="28" t="n">
        <v>0.32</v>
      </c>
      <c r="F152" s="28" t="n">
        <v>0.38</v>
      </c>
      <c r="G152" s="29">
        <f>IF(COUNT(E152:F152)=2,(E152+F152)/2,"")</f>
        <v/>
      </c>
      <c r="H152" s="29">
        <f>IF(AND(ISNUMBER(D152),ISNUMBER(G152)),D152+G152,"")</f>
        <v/>
      </c>
      <c r="I152" s="30">
        <f>IFERROR(D152/H152,"")</f>
        <v/>
      </c>
      <c r="J152" s="31">
        <f>IF(AND(ISNUMBER(D152),ISNUMBER(G152)),D152-G152,"")</f>
        <v/>
      </c>
      <c r="K152" s="46" t="n">
        <v>0</v>
      </c>
      <c r="L152" s="46" t="n">
        <v>494</v>
      </c>
      <c r="M152" s="38" t="inlineStr">
        <is>
          <t>31 Oct</t>
        </is>
      </c>
    </row>
    <row r="153">
      <c r="A153" s="39" t="n">
        <v>45962</v>
      </c>
      <c r="B153" s="16" t="n">
        <v>0.59</v>
      </c>
      <c r="C153" s="16" t="n">
        <v>0.65</v>
      </c>
      <c r="D153" s="17">
        <f>IF(COUNT(B153:C153)=2,(B153+C153)/2,"")</f>
        <v/>
      </c>
      <c r="E153" s="16" t="n">
        <v>0.32</v>
      </c>
      <c r="F153" s="16" t="n">
        <v>0.38</v>
      </c>
      <c r="G153" s="17">
        <f>IF(COUNT(E153:F153)=2,(E153+F153)/2,"")</f>
        <v/>
      </c>
      <c r="H153" s="17">
        <f>IF(AND(ISNUMBER(D153),ISNUMBER(G153)),D153+G153,"")</f>
        <v/>
      </c>
      <c r="I153" s="20">
        <f>IFERROR(D153/H153,"")</f>
        <v/>
      </c>
      <c r="J153" s="18">
        <f>IF(AND(ISNUMBER(D153),ISNUMBER(G153)),D153-G153,"")</f>
        <v/>
      </c>
      <c r="K153" s="45" t="n">
        <v>0</v>
      </c>
      <c r="L153" s="45" t="n">
        <v>494</v>
      </c>
      <c r="M153" s="26" t="inlineStr">
        <is>
          <t>01 Nov</t>
        </is>
      </c>
    </row>
    <row r="154">
      <c r="A154" s="41" t="n">
        <v>45963</v>
      </c>
      <c r="B154" s="28" t="n">
        <v>0.59</v>
      </c>
      <c r="C154" s="28" t="n">
        <v>0.65</v>
      </c>
      <c r="D154" s="29">
        <f>IF(COUNT(B154:C154)=2,(B154+C154)/2,"")</f>
        <v/>
      </c>
      <c r="E154" s="28" t="n">
        <v>0.32</v>
      </c>
      <c r="F154" s="28" t="n">
        <v>0.38</v>
      </c>
      <c r="G154" s="29">
        <f>IF(COUNT(E154:F154)=2,(E154+F154)/2,"")</f>
        <v/>
      </c>
      <c r="H154" s="29">
        <f>IF(AND(ISNUMBER(D154),ISNUMBER(G154)),D154+G154,"")</f>
        <v/>
      </c>
      <c r="I154" s="30">
        <f>IFERROR(D154/H154,"")</f>
        <v/>
      </c>
      <c r="J154" s="31">
        <f>IF(AND(ISNUMBER(D154),ISNUMBER(G154)),D154-G154,"")</f>
        <v/>
      </c>
      <c r="K154" s="46" t="n">
        <v>0</v>
      </c>
      <c r="L154" s="46" t="n">
        <v>494</v>
      </c>
      <c r="M154" s="38" t="inlineStr">
        <is>
          <t>02 Nov</t>
        </is>
      </c>
    </row>
    <row r="155">
      <c r="A155" s="39" t="n">
        <v>45964</v>
      </c>
      <c r="B155" s="16" t="n">
        <v>0.59</v>
      </c>
      <c r="C155" s="16" t="n">
        <v>0.65</v>
      </c>
      <c r="D155" s="17">
        <f>IF(COUNT(B155:C155)=2,(B155+C155)/2,"")</f>
        <v/>
      </c>
      <c r="E155" s="16" t="n">
        <v>0.32</v>
      </c>
      <c r="F155" s="16" t="n">
        <v>0.38</v>
      </c>
      <c r="G155" s="17">
        <f>IF(COUNT(E155:F155)=2,(E155+F155)/2,"")</f>
        <v/>
      </c>
      <c r="H155" s="17">
        <f>IF(AND(ISNUMBER(D155),ISNUMBER(G155)),D155+G155,"")</f>
        <v/>
      </c>
      <c r="I155" s="20">
        <f>IFERROR(D155/H155,"")</f>
        <v/>
      </c>
      <c r="J155" s="18">
        <f>IF(AND(ISNUMBER(D155),ISNUMBER(G155)),D155-G155,"")</f>
        <v/>
      </c>
      <c r="K155" s="45" t="n">
        <v>0</v>
      </c>
      <c r="L155" s="45" t="n">
        <v>494</v>
      </c>
      <c r="M155" s="26" t="inlineStr">
        <is>
          <t>03 Nov</t>
        </is>
      </c>
    </row>
    <row r="156">
      <c r="A156" s="41" t="n">
        <v>45965</v>
      </c>
      <c r="B156" s="28" t="n">
        <v>0.59</v>
      </c>
      <c r="C156" s="28" t="n">
        <v>0.65</v>
      </c>
      <c r="D156" s="29">
        <f>IF(COUNT(B156:C156)=2,(B156+C156)/2,"")</f>
        <v/>
      </c>
      <c r="E156" s="28" t="n">
        <v>0.32</v>
      </c>
      <c r="F156" s="28" t="n">
        <v>0.38</v>
      </c>
      <c r="G156" s="29">
        <f>IF(COUNT(E156:F156)=2,(E156+F156)/2,"")</f>
        <v/>
      </c>
      <c r="H156" s="29">
        <f>IF(AND(ISNUMBER(D156),ISNUMBER(G156)),D156+G156,"")</f>
        <v/>
      </c>
      <c r="I156" s="30">
        <f>IFERROR(D156/H156,"")</f>
        <v/>
      </c>
      <c r="J156" s="31">
        <f>IF(AND(ISNUMBER(D156),ISNUMBER(G156)),D156-G156,"")</f>
        <v/>
      </c>
      <c r="K156" s="46" t="n">
        <v>0</v>
      </c>
      <c r="L156" s="46" t="n">
        <v>494</v>
      </c>
      <c r="M156" s="38" t="inlineStr">
        <is>
          <t>04 Nov</t>
        </is>
      </c>
    </row>
    <row r="157">
      <c r="A157" s="39" t="n">
        <v>45966</v>
      </c>
      <c r="B157" s="16" t="n">
        <v>0.59</v>
      </c>
      <c r="C157" s="16" t="n">
        <v>0.65</v>
      </c>
      <c r="D157" s="17">
        <f>IF(COUNT(B157:C157)=2,(B157+C157)/2,"")</f>
        <v/>
      </c>
      <c r="E157" s="16" t="n">
        <v>0.32</v>
      </c>
      <c r="F157" s="16" t="n">
        <v>0.38</v>
      </c>
      <c r="G157" s="17">
        <f>IF(COUNT(E157:F157)=2,(E157+F157)/2,"")</f>
        <v/>
      </c>
      <c r="H157" s="17">
        <f>IF(AND(ISNUMBER(D157),ISNUMBER(G157)),D157+G157,"")</f>
        <v/>
      </c>
      <c r="I157" s="20">
        <f>IFERROR(D157/H157,"")</f>
        <v/>
      </c>
      <c r="J157" s="18">
        <f>IF(AND(ISNUMBER(D157),ISNUMBER(G157)),D157-G157,"")</f>
        <v/>
      </c>
      <c r="K157" s="45" t="n">
        <v>1</v>
      </c>
      <c r="L157" s="45" t="n">
        <v>494</v>
      </c>
      <c r="M157" s="26" t="inlineStr">
        <is>
          <t>05 Nov</t>
        </is>
      </c>
    </row>
    <row r="158">
      <c r="A158" s="41" t="n">
        <v>45967</v>
      </c>
      <c r="B158" s="28" t="n">
        <v>0.5600000000000001</v>
      </c>
      <c r="C158" s="28" t="n">
        <v>0.63</v>
      </c>
      <c r="D158" s="29">
        <f>IF(COUNT(B158:C158)=2,(B158+C158)/2,"")</f>
        <v/>
      </c>
      <c r="E158" s="28" t="n">
        <v>0.32</v>
      </c>
      <c r="F158" s="28" t="n">
        <v>0.42</v>
      </c>
      <c r="G158" s="29">
        <f>IF(COUNT(E158:F158)=2,(E158+F158)/2,"")</f>
        <v/>
      </c>
      <c r="H158" s="29">
        <f>IF(AND(ISNUMBER(D158),ISNUMBER(G158)),D158+G158,"")</f>
        <v/>
      </c>
      <c r="I158" s="30">
        <f>IFERROR(D158/H158,"")</f>
        <v/>
      </c>
      <c r="J158" s="31">
        <f>IF(AND(ISNUMBER(D158),ISNUMBER(G158)),D158-G158,"")</f>
        <v/>
      </c>
      <c r="K158" s="46" t="n">
        <v>639</v>
      </c>
      <c r="L158" s="46" t="n">
        <v>1133</v>
      </c>
      <c r="M158" s="38" t="inlineStr">
        <is>
          <t>06 Nov</t>
        </is>
      </c>
    </row>
    <row r="159">
      <c r="A159" s="39" t="n">
        <v>45968</v>
      </c>
      <c r="B159" s="16" t="n">
        <v>0.57</v>
      </c>
      <c r="C159" s="16" t="n">
        <v>0.63</v>
      </c>
      <c r="D159" s="17">
        <f>IF(COUNT(B159:C159)=2,(B159+C159)/2,"")</f>
        <v/>
      </c>
      <c r="E159" s="16" t="n">
        <v>0.32</v>
      </c>
      <c r="F159" s="16" t="n">
        <v>0.42</v>
      </c>
      <c r="G159" s="17">
        <f>IF(COUNT(E159:F159)=2,(E159+F159)/2,"")</f>
        <v/>
      </c>
      <c r="H159" s="17">
        <f>IF(AND(ISNUMBER(D159),ISNUMBER(G159)),D159+G159,"")</f>
        <v/>
      </c>
      <c r="I159" s="20">
        <f>IFERROR(D159/H159,"")</f>
        <v/>
      </c>
      <c r="J159" s="18">
        <f>IF(AND(ISNUMBER(D159),ISNUMBER(G159)),D159-G159,"")</f>
        <v/>
      </c>
      <c r="K159" s="45" t="n">
        <v>0</v>
      </c>
      <c r="L159" s="45" t="n">
        <v>1133</v>
      </c>
      <c r="M159" s="26" t="inlineStr">
        <is>
          <t>07 Nov</t>
        </is>
      </c>
    </row>
    <row r="160">
      <c r="A160" s="41" t="n">
        <v>45969</v>
      </c>
      <c r="B160" s="28" t="n">
        <v>0.5600000000000001</v>
      </c>
      <c r="C160" s="28" t="n">
        <v>0.63</v>
      </c>
      <c r="D160" s="29">
        <f>IF(COUNT(B160:C160)=2,(B160+C160)/2,"")</f>
        <v/>
      </c>
      <c r="E160" s="28" t="n">
        <v>0.32</v>
      </c>
      <c r="F160" s="28" t="n">
        <v>0.42</v>
      </c>
      <c r="G160" s="29">
        <f>IF(COUNT(E160:F160)=2,(E160+F160)/2,"")</f>
        <v/>
      </c>
      <c r="H160" s="29">
        <f>IF(AND(ISNUMBER(D160),ISNUMBER(G160)),D160+G160,"")</f>
        <v/>
      </c>
      <c r="I160" s="30">
        <f>IFERROR(D160/H160,"")</f>
        <v/>
      </c>
      <c r="J160" s="31">
        <f>IF(AND(ISNUMBER(D160),ISNUMBER(G160)),D160-G160,"")</f>
        <v/>
      </c>
      <c r="K160" s="46" t="n">
        <v>0</v>
      </c>
      <c r="L160" s="46" t="n">
        <v>1133</v>
      </c>
      <c r="M160" s="38" t="inlineStr">
        <is>
          <t>08 Nov</t>
        </is>
      </c>
    </row>
    <row r="161">
      <c r="A161" s="39" t="n">
        <v>45970</v>
      </c>
      <c r="B161" s="16" t="n">
        <v>0.5600000000000001</v>
      </c>
      <c r="C161" s="16" t="n">
        <v>0.63</v>
      </c>
      <c r="D161" s="17">
        <f>IF(COUNT(B161:C161)=2,(B161+C161)/2,"")</f>
        <v/>
      </c>
      <c r="E161" s="16" t="n">
        <v>0.32</v>
      </c>
      <c r="F161" s="16" t="n">
        <v>0.42</v>
      </c>
      <c r="G161" s="17">
        <f>IF(COUNT(E161:F161)=2,(E161+F161)/2,"")</f>
        <v/>
      </c>
      <c r="H161" s="17">
        <f>IF(AND(ISNUMBER(D161),ISNUMBER(G161)),D161+G161,"")</f>
        <v/>
      </c>
      <c r="I161" s="20">
        <f>IFERROR(D161/H161,"")</f>
        <v/>
      </c>
      <c r="J161" s="18">
        <f>IF(AND(ISNUMBER(D161),ISNUMBER(G161)),D161-G161,"")</f>
        <v/>
      </c>
      <c r="K161" s="45" t="n">
        <v>0</v>
      </c>
      <c r="L161" s="45" t="n">
        <v>1133</v>
      </c>
      <c r="M161" s="26" t="inlineStr">
        <is>
          <t>09 Nov</t>
        </is>
      </c>
    </row>
    <row r="162">
      <c r="A162" s="41" t="n">
        <v>45971</v>
      </c>
      <c r="B162" s="28" t="n">
        <v>0.5600000000000001</v>
      </c>
      <c r="C162" s="28" t="n">
        <v>0.63</v>
      </c>
      <c r="D162" s="29">
        <f>IF(COUNT(B162:C162)=2,(B162+C162)/2,"")</f>
        <v/>
      </c>
      <c r="E162" s="28" t="n">
        <v>0.32</v>
      </c>
      <c r="F162" s="28" t="n">
        <v>0.42</v>
      </c>
      <c r="G162" s="29">
        <f>IF(COUNT(E162:F162)=2,(E162+F162)/2,"")</f>
        <v/>
      </c>
      <c r="H162" s="29">
        <f>IF(AND(ISNUMBER(D162),ISNUMBER(G162)),D162+G162,"")</f>
        <v/>
      </c>
      <c r="I162" s="30">
        <f>IFERROR(D162/H162,"")</f>
        <v/>
      </c>
      <c r="J162" s="31">
        <f>IF(AND(ISNUMBER(D162),ISNUMBER(G162)),D162-G162,"")</f>
        <v/>
      </c>
      <c r="K162" s="46" t="n">
        <v>0</v>
      </c>
      <c r="L162" s="46" t="n">
        <v>1133</v>
      </c>
      <c r="M162" s="38" t="inlineStr">
        <is>
          <t>10 Nov</t>
        </is>
      </c>
    </row>
    <row r="163">
      <c r="A163" s="39" t="n">
        <v>45972</v>
      </c>
      <c r="B163" s="16" t="n">
        <v>0.5600000000000001</v>
      </c>
      <c r="C163" s="16" t="n">
        <v>0.63</v>
      </c>
      <c r="D163" s="17">
        <f>IF(COUNT(B163:C163)=2,(B163+C163)/2,"")</f>
        <v/>
      </c>
      <c r="E163" s="16" t="n">
        <v>0.32</v>
      </c>
      <c r="F163" s="16" t="n">
        <v>0.42</v>
      </c>
      <c r="G163" s="17">
        <f>IF(COUNT(E163:F163)=2,(E163+F163)/2,"")</f>
        <v/>
      </c>
      <c r="H163" s="17">
        <f>IF(AND(ISNUMBER(D163),ISNUMBER(G163)),D163+G163,"")</f>
        <v/>
      </c>
      <c r="I163" s="20">
        <f>IFERROR(D163/H163,"")</f>
        <v/>
      </c>
      <c r="J163" s="18">
        <f>IF(AND(ISNUMBER(D163),ISNUMBER(G163)),D163-G163,"")</f>
        <v/>
      </c>
      <c r="K163" s="45" t="n">
        <v>3</v>
      </c>
      <c r="L163" s="45" t="n">
        <v>1133</v>
      </c>
      <c r="M163" s="26" t="inlineStr">
        <is>
          <t>11 Nov</t>
        </is>
      </c>
    </row>
    <row r="164">
      <c r="A164" s="41" t="n">
        <v>45973</v>
      </c>
      <c r="B164" s="28" t="n">
        <v>0.57</v>
      </c>
      <c r="C164" s="28" t="n">
        <v>0.63</v>
      </c>
      <c r="D164" s="29">
        <f>IF(COUNT(B164:C164)=2,(B164+C164)/2,"")</f>
        <v/>
      </c>
      <c r="E164" s="28" t="n">
        <v>0.32</v>
      </c>
      <c r="F164" s="28" t="n">
        <v>0.42</v>
      </c>
      <c r="G164" s="29">
        <f>IF(COUNT(E164:F164)=2,(E164+F164)/2,"")</f>
        <v/>
      </c>
      <c r="H164" s="29">
        <f>IF(AND(ISNUMBER(D164),ISNUMBER(G164)),D164+G164,"")</f>
        <v/>
      </c>
      <c r="I164" s="30">
        <f>IFERROR(D164/H164,"")</f>
        <v/>
      </c>
      <c r="J164" s="31">
        <f>IF(AND(ISNUMBER(D164),ISNUMBER(G164)),D164-G164,"")</f>
        <v/>
      </c>
      <c r="K164" s="46" t="n">
        <v>0</v>
      </c>
      <c r="L164" s="46" t="n">
        <v>1133</v>
      </c>
      <c r="M164" s="38" t="inlineStr">
        <is>
          <t>12 Nov</t>
        </is>
      </c>
    </row>
    <row r="165">
      <c r="A165" s="39" t="n">
        <v>45974</v>
      </c>
      <c r="B165" s="16" t="n">
        <v>0.5600000000000001</v>
      </c>
      <c r="C165" s="16" t="n">
        <v>0.63</v>
      </c>
      <c r="D165" s="17">
        <f>IF(COUNT(B165:C165)=2,(B165+C165)/2,"")</f>
        <v/>
      </c>
      <c r="E165" s="16" t="n">
        <v>0.32</v>
      </c>
      <c r="F165" s="16" t="n">
        <v>0.42</v>
      </c>
      <c r="G165" s="17">
        <f>IF(COUNT(E165:F165)=2,(E165+F165)/2,"")</f>
        <v/>
      </c>
      <c r="H165" s="17">
        <f>IF(AND(ISNUMBER(D165),ISNUMBER(G165)),D165+G165,"")</f>
        <v/>
      </c>
      <c r="I165" s="20">
        <f>IFERROR(D165/H165,"")</f>
        <v/>
      </c>
      <c r="J165" s="18">
        <f>IF(AND(ISNUMBER(D165),ISNUMBER(G165)),D165-G165,"")</f>
        <v/>
      </c>
      <c r="K165" s="45" t="n">
        <v>0</v>
      </c>
      <c r="L165" s="45" t="n">
        <v>1133</v>
      </c>
      <c r="M165" s="26" t="inlineStr">
        <is>
          <t>13 Nov</t>
        </is>
      </c>
    </row>
    <row r="166">
      <c r="A166" s="41" t="n">
        <v>45975</v>
      </c>
      <c r="B166" s="28" t="n">
        <v>0.5600000000000001</v>
      </c>
      <c r="C166" s="28" t="n">
        <v>0.63</v>
      </c>
      <c r="D166" s="29">
        <f>IF(COUNT(B166:C166)=2,(B166+C166)/2,"")</f>
        <v/>
      </c>
      <c r="E166" s="28" t="n">
        <v>0.34</v>
      </c>
      <c r="F166" s="28" t="n">
        <v>0.4</v>
      </c>
      <c r="G166" s="29">
        <f>IF(COUNT(E166:F166)=2,(E166+F166)/2,"")</f>
        <v/>
      </c>
      <c r="H166" s="29">
        <f>IF(AND(ISNUMBER(D166),ISNUMBER(G166)),D166+G166,"")</f>
        <v/>
      </c>
      <c r="I166" s="30">
        <f>IFERROR(D166/H166,"")</f>
        <v/>
      </c>
      <c r="J166" s="31">
        <f>IF(AND(ISNUMBER(D166),ISNUMBER(G166)),D166-G166,"")</f>
        <v/>
      </c>
      <c r="K166" s="46" t="n">
        <v>11</v>
      </c>
      <c r="L166" s="46" t="n">
        <v>1144</v>
      </c>
      <c r="M166" s="38" t="inlineStr">
        <is>
          <t>14 Nov</t>
        </is>
      </c>
    </row>
    <row r="167">
      <c r="A167" s="39" t="n">
        <v>45976</v>
      </c>
      <c r="B167" s="16" t="n">
        <v>0.5600000000000001</v>
      </c>
      <c r="C167" s="16" t="n">
        <v>0.63</v>
      </c>
      <c r="D167" s="17">
        <f>IF(COUNT(B167:C167)=2,(B167+C167)/2,"")</f>
        <v/>
      </c>
      <c r="E167" s="16" t="n">
        <v>0.34</v>
      </c>
      <c r="F167" s="16" t="n">
        <v>0.4</v>
      </c>
      <c r="G167" s="17">
        <f>IF(COUNT(E167:F167)=2,(E167+F167)/2,"")</f>
        <v/>
      </c>
      <c r="H167" s="17">
        <f>IF(AND(ISNUMBER(D167),ISNUMBER(G167)),D167+G167,"")</f>
        <v/>
      </c>
      <c r="I167" s="20">
        <f>IFERROR(D167/H167,"")</f>
        <v/>
      </c>
      <c r="J167" s="18">
        <f>IF(AND(ISNUMBER(D167),ISNUMBER(G167)),D167-G167,"")</f>
        <v/>
      </c>
      <c r="K167" s="45" t="n">
        <v>0</v>
      </c>
      <c r="L167" s="45" t="n">
        <v>1144</v>
      </c>
      <c r="M167" s="26" t="inlineStr">
        <is>
          <t>15 Nov</t>
        </is>
      </c>
    </row>
    <row r="168">
      <c r="A168" s="41" t="n">
        <v>45977</v>
      </c>
      <c r="B168" s="28" t="n">
        <v>0.5600000000000001</v>
      </c>
      <c r="C168" s="28" t="n">
        <v>0.63</v>
      </c>
      <c r="D168" s="29">
        <f>IF(COUNT(B168:C168)=2,(B168+C168)/2,"")</f>
        <v/>
      </c>
      <c r="E168" s="28" t="n">
        <v>0.34</v>
      </c>
      <c r="F168" s="28" t="n">
        <v>0.4</v>
      </c>
      <c r="G168" s="29">
        <f>IF(COUNT(E168:F168)=2,(E168+F168)/2,"")</f>
        <v/>
      </c>
      <c r="H168" s="29">
        <f>IF(AND(ISNUMBER(D168),ISNUMBER(G168)),D168+G168,"")</f>
        <v/>
      </c>
      <c r="I168" s="30">
        <f>IFERROR(D168/H168,"")</f>
        <v/>
      </c>
      <c r="J168" s="31">
        <f>IF(AND(ISNUMBER(D168),ISNUMBER(G168)),D168-G168,"")</f>
        <v/>
      </c>
      <c r="K168" s="46" t="n">
        <v>0</v>
      </c>
      <c r="L168" s="46" t="n">
        <v>1144</v>
      </c>
      <c r="M168" s="38" t="inlineStr">
        <is>
          <t>16 Nov</t>
        </is>
      </c>
    </row>
    <row r="169">
      <c r="A169" s="39" t="n">
        <v>45978</v>
      </c>
      <c r="B169" s="16" t="n">
        <v>0.5600000000000001</v>
      </c>
      <c r="C169" s="16" t="n">
        <v>0.63</v>
      </c>
      <c r="D169" s="17">
        <f>IF(COUNT(B169:C169)=2,(B169+C169)/2,"")</f>
        <v/>
      </c>
      <c r="E169" s="16" t="n">
        <v>0.34</v>
      </c>
      <c r="F169" s="16" t="n">
        <v>0.4</v>
      </c>
      <c r="G169" s="17">
        <f>IF(COUNT(E169:F169)=2,(E169+F169)/2,"")</f>
        <v/>
      </c>
      <c r="H169" s="17">
        <f>IF(AND(ISNUMBER(D169),ISNUMBER(G169)),D169+G169,"")</f>
        <v/>
      </c>
      <c r="I169" s="20">
        <f>IFERROR(D169/H169,"")</f>
        <v/>
      </c>
      <c r="J169" s="18">
        <f>IF(AND(ISNUMBER(D169),ISNUMBER(G169)),D169-G169,"")</f>
        <v/>
      </c>
      <c r="K169" s="45" t="n">
        <v>0</v>
      </c>
      <c r="L169" s="45" t="n">
        <v>1144</v>
      </c>
      <c r="M169" s="26" t="inlineStr">
        <is>
          <t>17 Nov</t>
        </is>
      </c>
    </row>
    <row r="170">
      <c r="A170" s="41" t="n">
        <v>45979</v>
      </c>
      <c r="B170" s="28" t="n">
        <v>0.5600000000000001</v>
      </c>
      <c r="C170" s="28" t="n">
        <v>0.63</v>
      </c>
      <c r="D170" s="29">
        <f>IF(COUNT(B170:C170)=2,(B170+C170)/2,"")</f>
        <v/>
      </c>
      <c r="E170" s="28" t="n">
        <v>0.34</v>
      </c>
      <c r="F170" s="28" t="n">
        <v>0.4</v>
      </c>
      <c r="G170" s="29">
        <f>IF(COUNT(E170:F170)=2,(E170+F170)/2,"")</f>
        <v/>
      </c>
      <c r="H170" s="29">
        <f>IF(AND(ISNUMBER(D170),ISNUMBER(G170)),D170+G170,"")</f>
        <v/>
      </c>
      <c r="I170" s="30">
        <f>IFERROR(D170/H170,"")</f>
        <v/>
      </c>
      <c r="J170" s="31">
        <f>IF(AND(ISNUMBER(D170),ISNUMBER(G170)),D170-G170,"")</f>
        <v/>
      </c>
      <c r="K170" s="46" t="n">
        <v>0</v>
      </c>
      <c r="L170" s="46" t="n">
        <v>1144</v>
      </c>
      <c r="M170" s="38" t="inlineStr">
        <is>
          <t>18 Nov</t>
        </is>
      </c>
    </row>
    <row r="171">
      <c r="A171" s="39" t="n">
        <v>45980</v>
      </c>
      <c r="B171" s="16" t="n">
        <v>0.5600000000000001</v>
      </c>
      <c r="C171" s="16" t="n">
        <v>0.63</v>
      </c>
      <c r="D171" s="17">
        <f>IF(COUNT(B171:C171)=2,(B171+C171)/2,"")</f>
        <v/>
      </c>
      <c r="E171" s="16" t="n">
        <v>0.34</v>
      </c>
      <c r="F171" s="16" t="n">
        <v>0.4</v>
      </c>
      <c r="G171" s="17">
        <f>IF(COUNT(E171:F171)=2,(E171+F171)/2,"")</f>
        <v/>
      </c>
      <c r="H171" s="17">
        <f>IF(AND(ISNUMBER(D171),ISNUMBER(G171)),D171+G171,"")</f>
        <v/>
      </c>
      <c r="I171" s="20">
        <f>IFERROR(D171/H171,"")</f>
        <v/>
      </c>
      <c r="J171" s="18">
        <f>IF(AND(ISNUMBER(D171),ISNUMBER(G171)),D171-G171,"")</f>
        <v/>
      </c>
      <c r="K171" s="45" t="n">
        <v>0</v>
      </c>
      <c r="L171" s="45" t="n">
        <v>1144</v>
      </c>
      <c r="M171" s="26" t="inlineStr">
        <is>
          <t>19 Nov</t>
        </is>
      </c>
    </row>
    <row r="172">
      <c r="A172" s="41" t="n">
        <v>45981</v>
      </c>
      <c r="B172" s="28" t="n">
        <v>0.5600000000000001</v>
      </c>
      <c r="C172" s="28" t="n">
        <v>0.63</v>
      </c>
      <c r="D172" s="29">
        <f>IF(COUNT(B172:C172)=2,(B172+C172)/2,"")</f>
        <v/>
      </c>
      <c r="E172" s="28" t="n">
        <v>0.34</v>
      </c>
      <c r="F172" s="28" t="n">
        <v>0.4</v>
      </c>
      <c r="G172" s="29">
        <f>IF(COUNT(E172:F172)=2,(E172+F172)/2,"")</f>
        <v/>
      </c>
      <c r="H172" s="29">
        <f>IF(AND(ISNUMBER(D172),ISNUMBER(G172)),D172+G172,"")</f>
        <v/>
      </c>
      <c r="I172" s="30">
        <f>IFERROR(D172/H172,"")</f>
        <v/>
      </c>
      <c r="J172" s="31">
        <f>IF(AND(ISNUMBER(D172),ISNUMBER(G172)),D172-G172,"")</f>
        <v/>
      </c>
      <c r="K172" s="46" t="n">
        <v>0</v>
      </c>
      <c r="L172" s="46" t="n">
        <v>1144</v>
      </c>
      <c r="M172" s="38" t="inlineStr">
        <is>
          <t>20 Nov</t>
        </is>
      </c>
    </row>
    <row r="173">
      <c r="A173" s="39" t="n">
        <v>45982</v>
      </c>
      <c r="B173" s="16" t="n">
        <v>0.5600000000000001</v>
      </c>
      <c r="C173" s="16" t="n">
        <v>0.63</v>
      </c>
      <c r="D173" s="17">
        <f>IF(COUNT(B173:C173)=2,(B173+C173)/2,"")</f>
        <v/>
      </c>
      <c r="E173" s="16" t="n">
        <v>0.34</v>
      </c>
      <c r="F173" s="16" t="n">
        <v>0.4</v>
      </c>
      <c r="G173" s="17">
        <f>IF(COUNT(E173:F173)=2,(E173+F173)/2,"")</f>
        <v/>
      </c>
      <c r="H173" s="17">
        <f>IF(AND(ISNUMBER(D173),ISNUMBER(G173)),D173+G173,"")</f>
        <v/>
      </c>
      <c r="I173" s="20">
        <f>IFERROR(D173/H173,"")</f>
        <v/>
      </c>
      <c r="J173" s="18">
        <f>IF(AND(ISNUMBER(D173),ISNUMBER(G173)),D173-G173,"")</f>
        <v/>
      </c>
      <c r="K173" s="45" t="n">
        <v>30</v>
      </c>
      <c r="L173" s="45" t="n">
        <v>1144</v>
      </c>
      <c r="M173" s="26" t="inlineStr">
        <is>
          <t>21 Nov</t>
        </is>
      </c>
    </row>
    <row r="174">
      <c r="A174" s="41" t="n">
        <v>45983</v>
      </c>
      <c r="B174" s="28" t="n">
        <v>0.5600000000000001</v>
      </c>
      <c r="C174" s="28" t="n">
        <v>0.63</v>
      </c>
      <c r="D174" s="29">
        <f>IF(COUNT(B174:C174)=2,(B174+C174)/2,"")</f>
        <v/>
      </c>
      <c r="E174" s="28" t="n">
        <v>0.34</v>
      </c>
      <c r="F174" s="28" t="n">
        <v>0.4</v>
      </c>
      <c r="G174" s="29">
        <f>IF(COUNT(E174:F174)=2,(E174+F174)/2,"")</f>
        <v/>
      </c>
      <c r="H174" s="29">
        <f>IF(AND(ISNUMBER(D174),ISNUMBER(G174)),D174+G174,"")</f>
        <v/>
      </c>
      <c r="I174" s="30">
        <f>IFERROR(D174/H174,"")</f>
        <v/>
      </c>
      <c r="J174" s="31">
        <f>IF(AND(ISNUMBER(D174),ISNUMBER(G174)),D174-G174,"")</f>
        <v/>
      </c>
      <c r="K174" s="46" t="n">
        <v>0</v>
      </c>
      <c r="L174" s="46" t="n">
        <v>1144</v>
      </c>
      <c r="M174" s="38" t="inlineStr">
        <is>
          <t>22 Nov</t>
        </is>
      </c>
    </row>
    <row r="175">
      <c r="A175" s="39" t="n">
        <v>45984</v>
      </c>
      <c r="B175" s="16" t="n">
        <v>0.5600000000000001</v>
      </c>
      <c r="C175" s="16" t="n">
        <v>0.63</v>
      </c>
      <c r="D175" s="17">
        <f>IF(COUNT(B175:C175)=2,(B175+C175)/2,"")</f>
        <v/>
      </c>
      <c r="E175" s="16" t="n">
        <v>0.34</v>
      </c>
      <c r="F175" s="16" t="n">
        <v>0.4</v>
      </c>
      <c r="G175" s="17">
        <f>IF(COUNT(E175:F175)=2,(E175+F175)/2,"")</f>
        <v/>
      </c>
      <c r="H175" s="17">
        <f>IF(AND(ISNUMBER(D175),ISNUMBER(G175)),D175+G175,"")</f>
        <v/>
      </c>
      <c r="I175" s="20">
        <f>IFERROR(D175/H175,"")</f>
        <v/>
      </c>
      <c r="J175" s="18">
        <f>IF(AND(ISNUMBER(D175),ISNUMBER(G175)),D175-G175,"")</f>
        <v/>
      </c>
      <c r="K175" s="45" t="n">
        <v>0</v>
      </c>
      <c r="L175" s="45" t="n">
        <v>1144</v>
      </c>
      <c r="M175" s="26" t="inlineStr">
        <is>
          <t>23 Nov</t>
        </is>
      </c>
    </row>
    <row r="176">
      <c r="A176" s="41" t="n">
        <v>45985</v>
      </c>
      <c r="B176" s="28" t="n">
        <v>0.5600000000000001</v>
      </c>
      <c r="C176" s="28" t="n">
        <v>0.63</v>
      </c>
      <c r="D176" s="29">
        <f>IF(COUNT(B176:C176)=2,(B176+C176)/2,"")</f>
        <v/>
      </c>
      <c r="E176" s="28" t="n">
        <v>0.34</v>
      </c>
      <c r="F176" s="28" t="n">
        <v>0.4</v>
      </c>
      <c r="G176" s="29">
        <f>IF(COUNT(E176:F176)=2,(E176+F176)/2,"")</f>
        <v/>
      </c>
      <c r="H176" s="29">
        <f>IF(AND(ISNUMBER(D176),ISNUMBER(G176)),D176+G176,"")</f>
        <v/>
      </c>
      <c r="I176" s="30">
        <f>IFERROR(D176/H176,"")</f>
        <v/>
      </c>
      <c r="J176" s="31">
        <f>IF(AND(ISNUMBER(D176),ISNUMBER(G176)),D176-G176,"")</f>
        <v/>
      </c>
      <c r="K176" s="46" t="n">
        <v>0</v>
      </c>
      <c r="L176" s="46" t="n">
        <v>1144</v>
      </c>
      <c r="M176" s="38" t="inlineStr">
        <is>
          <t>24 Nov</t>
        </is>
      </c>
    </row>
    <row r="177">
      <c r="A177" s="39" t="n">
        <v>45986</v>
      </c>
      <c r="B177" s="16" t="n">
        <v>0.5600000000000001</v>
      </c>
      <c r="C177" s="16" t="n">
        <v>0.63</v>
      </c>
      <c r="D177" s="17">
        <f>IF(COUNT(B177:C177)=2,(B177+C177)/2,"")</f>
        <v/>
      </c>
      <c r="E177" s="16" t="n">
        <v>0.34</v>
      </c>
      <c r="F177" s="16" t="n">
        <v>0.4</v>
      </c>
      <c r="G177" s="17">
        <f>IF(COUNT(E177:F177)=2,(E177+F177)/2,"")</f>
        <v/>
      </c>
      <c r="H177" s="17">
        <f>IF(AND(ISNUMBER(D177),ISNUMBER(G177)),D177+G177,"")</f>
        <v/>
      </c>
      <c r="I177" s="20">
        <f>IFERROR(D177/H177,"")</f>
        <v/>
      </c>
      <c r="J177" s="18">
        <f>IF(AND(ISNUMBER(D177),ISNUMBER(G177)),D177-G177,"")</f>
        <v/>
      </c>
      <c r="K177" s="45" t="n">
        <v>0</v>
      </c>
      <c r="L177" s="45" t="n">
        <v>1144</v>
      </c>
      <c r="M177" s="26" t="inlineStr">
        <is>
          <t>25 Nov</t>
        </is>
      </c>
    </row>
    <row r="178">
      <c r="A178" s="41" t="n">
        <v>45987</v>
      </c>
      <c r="B178" s="28" t="n">
        <v>0.5600000000000001</v>
      </c>
      <c r="C178" s="28" t="n">
        <v>0.63</v>
      </c>
      <c r="D178" s="29">
        <f>IF(COUNT(B178:C178)=2,(B178+C178)/2,"")</f>
        <v/>
      </c>
      <c r="E178" s="28" t="n">
        <v>0.34</v>
      </c>
      <c r="F178" s="28" t="n">
        <v>0.4</v>
      </c>
      <c r="G178" s="29">
        <f>IF(COUNT(E178:F178)=2,(E178+F178)/2,"")</f>
        <v/>
      </c>
      <c r="H178" s="29">
        <f>IF(AND(ISNUMBER(D178),ISNUMBER(G178)),D178+G178,"")</f>
        <v/>
      </c>
      <c r="I178" s="30">
        <f>IFERROR(D178/H178,"")</f>
        <v/>
      </c>
      <c r="J178" s="31">
        <f>IF(AND(ISNUMBER(D178),ISNUMBER(G178)),D178-G178,"")</f>
        <v/>
      </c>
      <c r="K178" s="46" t="n">
        <v>0</v>
      </c>
      <c r="L178" s="46" t="n">
        <v>1144</v>
      </c>
      <c r="M178" s="38" t="inlineStr">
        <is>
          <t>26 Nov</t>
        </is>
      </c>
    </row>
    <row r="179">
      <c r="A179" s="39" t="n">
        <v>45988</v>
      </c>
      <c r="B179" s="16" t="n">
        <v>0.6</v>
      </c>
      <c r="C179" s="16" t="n">
        <v>0.63</v>
      </c>
      <c r="D179" s="17">
        <f>IF(COUNT(B179:C179)=2,(B179+C179)/2,"")</f>
        <v/>
      </c>
      <c r="E179" s="16" t="n">
        <v>0.34</v>
      </c>
      <c r="F179" s="16" t="n">
        <v>0.4</v>
      </c>
      <c r="G179" s="17">
        <f>IF(COUNT(E179:F179)=2,(E179+F179)/2,"")</f>
        <v/>
      </c>
      <c r="H179" s="17">
        <f>IF(AND(ISNUMBER(D179),ISNUMBER(G179)),D179+G179,"")</f>
        <v/>
      </c>
      <c r="I179" s="20">
        <f>IFERROR(D179/H179,"")</f>
        <v/>
      </c>
      <c r="J179" s="18">
        <f>IF(AND(ISNUMBER(D179),ISNUMBER(G179)),D179-G179,"")</f>
        <v/>
      </c>
      <c r="K179" s="45" t="n">
        <v>63</v>
      </c>
      <c r="L179" s="45" t="n">
        <v>1144</v>
      </c>
      <c r="M179" s="26" t="inlineStr">
        <is>
          <t>27 Nov</t>
        </is>
      </c>
    </row>
    <row r="180">
      <c r="A180" s="41" t="n">
        <v>45989</v>
      </c>
      <c r="B180" s="28" t="n">
        <v>0.5600000000000001</v>
      </c>
      <c r="C180" s="28" t="n">
        <v>0.63</v>
      </c>
      <c r="D180" s="29">
        <f>IF(COUNT(B180:C180)=2,(B180+C180)/2,"")</f>
        <v/>
      </c>
      <c r="E180" s="28" t="n">
        <v>0.34</v>
      </c>
      <c r="F180" s="28" t="n">
        <v>0.4</v>
      </c>
      <c r="G180" s="29">
        <f>IF(COUNT(E180:F180)=2,(E180+F180)/2,"")</f>
        <v/>
      </c>
      <c r="H180" s="29">
        <f>IF(AND(ISNUMBER(D180),ISNUMBER(G180)),D180+G180,"")</f>
        <v/>
      </c>
      <c r="I180" s="30">
        <f>IFERROR(D180/H180,"")</f>
        <v/>
      </c>
      <c r="J180" s="31">
        <f>IF(AND(ISNUMBER(D180),ISNUMBER(G180)),D180-G180,"")</f>
        <v/>
      </c>
      <c r="K180" s="46" t="n">
        <v>0</v>
      </c>
      <c r="L180" s="46" t="n">
        <v>1144</v>
      </c>
      <c r="M180" s="38" t="inlineStr">
        <is>
          <t>28 Nov</t>
        </is>
      </c>
    </row>
    <row r="181">
      <c r="A181" s="39" t="n">
        <v>45990</v>
      </c>
      <c r="B181" s="16" t="n">
        <v>0.5600000000000001</v>
      </c>
      <c r="C181" s="16" t="n">
        <v>0.63</v>
      </c>
      <c r="D181" s="17">
        <f>IF(COUNT(B181:C181)=2,(B181+C181)/2,"")</f>
        <v/>
      </c>
      <c r="E181" s="16" t="n">
        <v>0.33</v>
      </c>
      <c r="F181" s="16" t="n">
        <v>0.4</v>
      </c>
      <c r="G181" s="17">
        <f>IF(COUNT(E181:F181)=2,(E181+F181)/2,"")</f>
        <v/>
      </c>
      <c r="H181" s="17">
        <f>IF(AND(ISNUMBER(D181),ISNUMBER(G181)),D181+G181,"")</f>
        <v/>
      </c>
      <c r="I181" s="20">
        <f>IFERROR(D181/H181,"")</f>
        <v/>
      </c>
      <c r="J181" s="18">
        <f>IF(AND(ISNUMBER(D181),ISNUMBER(G181)),D181-G181,"")</f>
        <v/>
      </c>
      <c r="K181" s="45" t="n">
        <v>12</v>
      </c>
      <c r="L181" s="45" t="n">
        <v>1144</v>
      </c>
      <c r="M181" s="26" t="inlineStr">
        <is>
          <t>29 Nov</t>
        </is>
      </c>
    </row>
    <row r="182">
      <c r="A182" s="41" t="n">
        <v>45991</v>
      </c>
      <c r="B182" s="28" t="n">
        <v>0.5600000000000001</v>
      </c>
      <c r="C182" s="28" t="n">
        <v>0.63</v>
      </c>
      <c r="D182" s="29">
        <f>IF(COUNT(B182:C182)=2,(B182+C182)/2,"")</f>
        <v/>
      </c>
      <c r="E182" s="28" t="n">
        <v>0.33</v>
      </c>
      <c r="F182" s="28" t="n">
        <v>0.4</v>
      </c>
      <c r="G182" s="29">
        <f>IF(COUNT(E182:F182)=2,(E182+F182)/2,"")</f>
        <v/>
      </c>
      <c r="H182" s="29">
        <f>IF(AND(ISNUMBER(D182),ISNUMBER(G182)),D182+G182,"")</f>
        <v/>
      </c>
      <c r="I182" s="30">
        <f>IFERROR(D182/H182,"")</f>
        <v/>
      </c>
      <c r="J182" s="31">
        <f>IF(AND(ISNUMBER(D182),ISNUMBER(G182)),D182-G182,"")</f>
        <v/>
      </c>
      <c r="K182" s="46" t="n">
        <v>0</v>
      </c>
      <c r="L182" s="46" t="n">
        <v>1144</v>
      </c>
      <c r="M182" s="38" t="inlineStr">
        <is>
          <t>30 Nov</t>
        </is>
      </c>
    </row>
    <row r="183">
      <c r="A183" s="39" t="n">
        <v>45992</v>
      </c>
      <c r="B183" s="16" t="n">
        <v>0.5600000000000001</v>
      </c>
      <c r="C183" s="16" t="n">
        <v>0.63</v>
      </c>
      <c r="D183" s="17">
        <f>IF(COUNT(B183:C183)=2,(B183+C183)/2,"")</f>
        <v/>
      </c>
      <c r="E183" s="16" t="n">
        <v>0.33</v>
      </c>
      <c r="F183" s="16" t="n">
        <v>0.4</v>
      </c>
      <c r="G183" s="17">
        <f>IF(COUNT(E183:F183)=2,(E183+F183)/2,"")</f>
        <v/>
      </c>
      <c r="H183" s="17">
        <f>IF(AND(ISNUMBER(D183),ISNUMBER(G183)),D183+G183,"")</f>
        <v/>
      </c>
      <c r="I183" s="20">
        <f>IFERROR(D183/H183,"")</f>
        <v/>
      </c>
      <c r="J183" s="18">
        <f>IF(AND(ISNUMBER(D183),ISNUMBER(G183)),D183-G183,"")</f>
        <v/>
      </c>
      <c r="K183" s="45" t="n">
        <v>0</v>
      </c>
      <c r="L183" s="45" t="n">
        <v>1144</v>
      </c>
      <c r="M183" s="26" t="inlineStr">
        <is>
          <t>01 Dec</t>
        </is>
      </c>
    </row>
    <row r="184">
      <c r="A184" s="41" t="n">
        <v>45993</v>
      </c>
      <c r="B184" s="28" t="n">
        <v>0.5600000000000001</v>
      </c>
      <c r="C184" s="28" t="n">
        <v>0.63</v>
      </c>
      <c r="D184" s="29">
        <f>IF(COUNT(B184:C184)=2,(B184+C184)/2,"")</f>
        <v/>
      </c>
      <c r="E184" s="28" t="n">
        <v>0.33</v>
      </c>
      <c r="F184" s="28" t="n">
        <v>0.4</v>
      </c>
      <c r="G184" s="29">
        <f>IF(COUNT(E184:F184)=2,(E184+F184)/2,"")</f>
        <v/>
      </c>
      <c r="H184" s="29">
        <f>IF(AND(ISNUMBER(D184),ISNUMBER(G184)),D184+G184,"")</f>
        <v/>
      </c>
      <c r="I184" s="30">
        <f>IFERROR(D184/H184,"")</f>
        <v/>
      </c>
      <c r="J184" s="31">
        <f>IF(AND(ISNUMBER(D184),ISNUMBER(G184)),D184-G184,"")</f>
        <v/>
      </c>
      <c r="K184" s="46" t="n">
        <v>0</v>
      </c>
      <c r="L184" s="46" t="n">
        <v>1144</v>
      </c>
      <c r="M184" s="38" t="inlineStr">
        <is>
          <t>02 Dec</t>
        </is>
      </c>
    </row>
    <row r="185">
      <c r="A185" s="39" t="n">
        <v>45994</v>
      </c>
      <c r="B185" s="16" t="n">
        <v>0.57</v>
      </c>
      <c r="C185" s="16" t="n">
        <v>0.64</v>
      </c>
      <c r="D185" s="17">
        <f>IF(COUNT(B185:C185)=2,(B185+C185)/2,"")</f>
        <v/>
      </c>
      <c r="E185" s="16" t="n">
        <v>0.33</v>
      </c>
      <c r="F185" s="16" t="n">
        <v>0.39</v>
      </c>
      <c r="G185" s="17">
        <f>IF(COUNT(E185:F185)=2,(E185+F185)/2,"")</f>
        <v/>
      </c>
      <c r="H185" s="17">
        <f>IF(AND(ISNUMBER(D185),ISNUMBER(G185)),D185+G185,"")</f>
        <v/>
      </c>
      <c r="I185" s="20">
        <f>IFERROR(D185/H185,"")</f>
        <v/>
      </c>
      <c r="J185" s="18">
        <f>IF(AND(ISNUMBER(D185),ISNUMBER(G185)),D185-G185,"")</f>
        <v/>
      </c>
      <c r="K185" s="45" t="n">
        <v>102</v>
      </c>
      <c r="L185" s="45" t="n">
        <v>1144</v>
      </c>
      <c r="M185" s="26" t="inlineStr">
        <is>
          <t>03 Dec</t>
        </is>
      </c>
    </row>
    <row r="186">
      <c r="A186" s="41" t="n">
        <v>45995</v>
      </c>
      <c r="B186" s="28" t="n">
        <v>0.58</v>
      </c>
      <c r="C186" s="28" t="n">
        <v>0.64</v>
      </c>
      <c r="D186" s="29">
        <f>IF(COUNT(B186:C186)=2,(B186+C186)/2,"")</f>
        <v/>
      </c>
      <c r="E186" s="28" t="n">
        <v>0.33</v>
      </c>
      <c r="F186" s="28" t="n">
        <v>0.39</v>
      </c>
      <c r="G186" s="29">
        <f>IF(COUNT(E186:F186)=2,(E186+F186)/2,"")</f>
        <v/>
      </c>
      <c r="H186" s="29">
        <f>IF(AND(ISNUMBER(D186),ISNUMBER(G186)),D186+G186,"")</f>
        <v/>
      </c>
      <c r="I186" s="30">
        <f>IFERROR(D186/H186,"")</f>
        <v/>
      </c>
      <c r="J186" s="31">
        <f>IF(AND(ISNUMBER(D186),ISNUMBER(G186)),D186-G186,"")</f>
        <v/>
      </c>
      <c r="K186" s="46" t="n">
        <v>0</v>
      </c>
      <c r="L186" s="46" t="n">
        <v>1144</v>
      </c>
      <c r="M186" s="38" t="inlineStr">
        <is>
          <t>04 Dec</t>
        </is>
      </c>
    </row>
    <row r="187">
      <c r="A187" s="39" t="n">
        <v>45996</v>
      </c>
      <c r="B187" s="16" t="n">
        <v>0.57</v>
      </c>
      <c r="C187" s="16" t="n">
        <v>0.64</v>
      </c>
      <c r="D187" s="17">
        <f>IF(COUNT(B187:C187)=2,(B187+C187)/2,"")</f>
        <v/>
      </c>
      <c r="E187" s="16" t="n">
        <v>0.33</v>
      </c>
      <c r="F187" s="16" t="n">
        <v>0.39</v>
      </c>
      <c r="G187" s="17">
        <f>IF(COUNT(E187:F187)=2,(E187+F187)/2,"")</f>
        <v/>
      </c>
      <c r="H187" s="17">
        <f>IF(AND(ISNUMBER(D187),ISNUMBER(G187)),D187+G187,"")</f>
        <v/>
      </c>
      <c r="I187" s="20">
        <f>IFERROR(D187/H187,"")</f>
        <v/>
      </c>
      <c r="J187" s="18">
        <f>IF(AND(ISNUMBER(D187),ISNUMBER(G187)),D187-G187,"")</f>
        <v/>
      </c>
      <c r="K187" s="45" t="n">
        <v>0</v>
      </c>
      <c r="L187" s="45" t="n">
        <v>1144</v>
      </c>
      <c r="M187" s="26" t="inlineStr">
        <is>
          <t>05 Dec</t>
        </is>
      </c>
    </row>
    <row r="188">
      <c r="A188" s="41" t="n">
        <v>45997</v>
      </c>
      <c r="B188" s="28" t="n">
        <v>0.57</v>
      </c>
      <c r="C188" s="28" t="n">
        <v>0.64</v>
      </c>
      <c r="D188" s="29">
        <f>IF(COUNT(B188:C188)=2,(B188+C188)/2,"")</f>
        <v/>
      </c>
      <c r="E188" s="28" t="n">
        <v>0.33</v>
      </c>
      <c r="F188" s="28" t="n">
        <v>0.39</v>
      </c>
      <c r="G188" s="29">
        <f>IF(COUNT(E188:F188)=2,(E188+F188)/2,"")</f>
        <v/>
      </c>
      <c r="H188" s="29">
        <f>IF(AND(ISNUMBER(D188),ISNUMBER(G188)),D188+G188,"")</f>
        <v/>
      </c>
      <c r="I188" s="30">
        <f>IFERROR(D188/H188,"")</f>
        <v/>
      </c>
      <c r="J188" s="31">
        <f>IF(AND(ISNUMBER(D188),ISNUMBER(G188)),D188-G188,"")</f>
        <v/>
      </c>
      <c r="K188" s="46" t="n">
        <v>0</v>
      </c>
      <c r="L188" s="46" t="n">
        <v>1144</v>
      </c>
      <c r="M188" s="38" t="inlineStr">
        <is>
          <t>06 Dec</t>
        </is>
      </c>
    </row>
    <row r="189">
      <c r="A189" s="39" t="n">
        <v>45998</v>
      </c>
      <c r="B189" s="16" t="n">
        <v>0.57</v>
      </c>
      <c r="C189" s="16" t="n">
        <v>0.64</v>
      </c>
      <c r="D189" s="17">
        <f>IF(COUNT(B189:C189)=2,(B189+C189)/2,"")</f>
        <v/>
      </c>
      <c r="E189" s="16" t="n">
        <v>0.33</v>
      </c>
      <c r="F189" s="16" t="n">
        <v>0.39</v>
      </c>
      <c r="G189" s="17">
        <f>IF(COUNT(E189:F189)=2,(E189+F189)/2,"")</f>
        <v/>
      </c>
      <c r="H189" s="17">
        <f>IF(AND(ISNUMBER(D189),ISNUMBER(G189)),D189+G189,"")</f>
        <v/>
      </c>
      <c r="I189" s="20">
        <f>IFERROR(D189/H189,"")</f>
        <v/>
      </c>
      <c r="J189" s="18">
        <f>IF(AND(ISNUMBER(D189),ISNUMBER(G189)),D189-G189,"")</f>
        <v/>
      </c>
      <c r="K189" s="45" t="n">
        <v>0</v>
      </c>
      <c r="L189" s="45" t="n">
        <v>1144</v>
      </c>
      <c r="M189" s="26" t="inlineStr">
        <is>
          <t>07 Dec</t>
        </is>
      </c>
    </row>
    <row r="190">
      <c r="A190" s="41" t="n">
        <v>45999</v>
      </c>
      <c r="B190" s="28" t="n">
        <v>0.57</v>
      </c>
      <c r="C190" s="28" t="n">
        <v>0.64</v>
      </c>
      <c r="D190" s="29">
        <f>IF(COUNT(B190:C190)=2,(B190+C190)/2,"")</f>
        <v/>
      </c>
      <c r="E190" s="28" t="n">
        <v>0.33</v>
      </c>
      <c r="F190" s="28" t="n">
        <v>0.39</v>
      </c>
      <c r="G190" s="29">
        <f>IF(COUNT(E190:F190)=2,(E190+F190)/2,"")</f>
        <v/>
      </c>
      <c r="H190" s="29">
        <f>IF(AND(ISNUMBER(D190),ISNUMBER(G190)),D190+G190,"")</f>
        <v/>
      </c>
      <c r="I190" s="30">
        <f>IFERROR(D190/H190,"")</f>
        <v/>
      </c>
      <c r="J190" s="31">
        <f>IF(AND(ISNUMBER(D190),ISNUMBER(G190)),D190-G190,"")</f>
        <v/>
      </c>
      <c r="K190" s="46" t="n">
        <v>4</v>
      </c>
      <c r="L190" s="46" t="n">
        <v>1148</v>
      </c>
      <c r="M190" s="38" t="inlineStr">
        <is>
          <t>08 Dec</t>
        </is>
      </c>
    </row>
    <row r="191">
      <c r="A191" s="39" t="n">
        <v>46000</v>
      </c>
      <c r="B191" s="16" t="n">
        <v>0.57</v>
      </c>
      <c r="C191" s="16" t="n">
        <v>0.64</v>
      </c>
      <c r="D191" s="17">
        <f>IF(COUNT(B191:C191)=2,(B191+C191)/2,"")</f>
        <v/>
      </c>
      <c r="E191" s="16" t="n">
        <v>0.33</v>
      </c>
      <c r="F191" s="16" t="n">
        <v>0.39</v>
      </c>
      <c r="G191" s="17">
        <f>IF(COUNT(E191:F191)=2,(E191+F191)/2,"")</f>
        <v/>
      </c>
      <c r="H191" s="17">
        <f>IF(AND(ISNUMBER(D191),ISNUMBER(G191)),D191+G191,"")</f>
        <v/>
      </c>
      <c r="I191" s="20">
        <f>IFERROR(D191/H191,"")</f>
        <v/>
      </c>
      <c r="J191" s="18">
        <f>IF(AND(ISNUMBER(D191),ISNUMBER(G191)),D191-G191,"")</f>
        <v/>
      </c>
      <c r="K191" s="45" t="n">
        <v>14</v>
      </c>
      <c r="L191" s="45" t="n">
        <v>1148</v>
      </c>
      <c r="M191" s="26" t="inlineStr">
        <is>
          <t>09 Dec</t>
        </is>
      </c>
    </row>
    <row r="192">
      <c r="A192" s="41" t="n">
        <v>46001</v>
      </c>
      <c r="B192" s="28" t="n">
        <v>0.57</v>
      </c>
      <c r="C192" s="28" t="n">
        <v>0.64</v>
      </c>
      <c r="D192" s="29">
        <f>IF(COUNT(B192:C192)=2,(B192+C192)/2,"")</f>
        <v/>
      </c>
      <c r="E192" s="28" t="n">
        <v>0.33</v>
      </c>
      <c r="F192" s="28" t="n">
        <v>0.39</v>
      </c>
      <c r="G192" s="29">
        <f>IF(COUNT(E192:F192)=2,(E192+F192)/2,"")</f>
        <v/>
      </c>
      <c r="H192" s="29">
        <f>IF(AND(ISNUMBER(D192),ISNUMBER(G192)),D192+G192,"")</f>
        <v/>
      </c>
      <c r="I192" s="30">
        <f>IFERROR(D192/H192,"")</f>
        <v/>
      </c>
      <c r="J192" s="31">
        <f>IF(AND(ISNUMBER(D192),ISNUMBER(G192)),D192-G192,"")</f>
        <v/>
      </c>
      <c r="K192" s="46" t="n">
        <v>0</v>
      </c>
      <c r="L192" s="46" t="n">
        <v>1148</v>
      </c>
      <c r="M192" s="38" t="inlineStr">
        <is>
          <t>10 Dec</t>
        </is>
      </c>
    </row>
    <row r="193">
      <c r="A193" s="39" t="n">
        <v>46002</v>
      </c>
      <c r="B193" s="16" t="n">
        <v>0.57</v>
      </c>
      <c r="C193" s="16" t="n">
        <v>0.64</v>
      </c>
      <c r="D193" s="17">
        <f>IF(COUNT(B193:C193)=2,(B193+C193)/2,"")</f>
        <v/>
      </c>
      <c r="E193" s="16" t="n">
        <v>0.33</v>
      </c>
      <c r="F193" s="16" t="n">
        <v>0.39</v>
      </c>
      <c r="G193" s="17">
        <f>IF(COUNT(E193:F193)=2,(E193+F193)/2,"")</f>
        <v/>
      </c>
      <c r="H193" s="17">
        <f>IF(AND(ISNUMBER(D193),ISNUMBER(G193)),D193+G193,"")</f>
        <v/>
      </c>
      <c r="I193" s="20">
        <f>IFERROR(D193/H193,"")</f>
        <v/>
      </c>
      <c r="J193" s="18">
        <f>IF(AND(ISNUMBER(D193),ISNUMBER(G193)),D193-G193,"")</f>
        <v/>
      </c>
      <c r="K193" s="45" t="n">
        <v>0</v>
      </c>
      <c r="L193" s="45" t="n">
        <v>1148</v>
      </c>
      <c r="M193" s="26" t="inlineStr">
        <is>
          <t>11 Dec</t>
        </is>
      </c>
    </row>
    <row r="194">
      <c r="A194" s="41" t="n">
        <v>46003</v>
      </c>
      <c r="B194" s="28" t="n">
        <v>0.57</v>
      </c>
      <c r="C194" s="28" t="n">
        <v>0.63</v>
      </c>
      <c r="D194" s="29">
        <f>IF(COUNT(B194:C194)=2,(B194+C194)/2,"")</f>
        <v/>
      </c>
      <c r="E194" s="28" t="n">
        <v>0.33</v>
      </c>
      <c r="F194" s="28" t="n">
        <v>0.39</v>
      </c>
      <c r="G194" s="29">
        <f>IF(COUNT(E194:F194)=2,(E194+F194)/2,"")</f>
        <v/>
      </c>
      <c r="H194" s="29">
        <f>IF(AND(ISNUMBER(D194),ISNUMBER(G194)),D194+G194,"")</f>
        <v/>
      </c>
      <c r="I194" s="30">
        <f>IFERROR(D194/H194,"")</f>
        <v/>
      </c>
      <c r="J194" s="31">
        <f>IF(AND(ISNUMBER(D194),ISNUMBER(G194)),D194-G194,"")</f>
        <v/>
      </c>
      <c r="K194" s="46" t="n">
        <v>114</v>
      </c>
      <c r="L194" s="46" t="n">
        <v>1148</v>
      </c>
      <c r="M194" s="38" t="inlineStr">
        <is>
          <t>12 Dec</t>
        </is>
      </c>
    </row>
    <row r="195">
      <c r="A195" s="39" t="n">
        <v>46004</v>
      </c>
      <c r="B195" s="16" t="n">
        <v>0.6</v>
      </c>
      <c r="C195" s="16" t="n">
        <v>0.64</v>
      </c>
      <c r="D195" s="17">
        <f>IF(COUNT(B195:C195)=2,(B195+C195)/2,"")</f>
        <v/>
      </c>
      <c r="E195" s="16" t="n">
        <v>0.33</v>
      </c>
      <c r="F195" s="16" t="n">
        <v>0.39</v>
      </c>
      <c r="G195" s="17">
        <f>IF(COUNT(E195:F195)=2,(E195+F195)/2,"")</f>
        <v/>
      </c>
      <c r="H195" s="17">
        <f>IF(AND(ISNUMBER(D195),ISNUMBER(G195)),D195+G195,"")</f>
        <v/>
      </c>
      <c r="I195" s="20">
        <f>IFERROR(D195/H195,"")</f>
        <v/>
      </c>
      <c r="J195" s="18">
        <f>IF(AND(ISNUMBER(D195),ISNUMBER(G195)),D195-G195,"")</f>
        <v/>
      </c>
      <c r="K195" s="45" t="n">
        <v>0</v>
      </c>
      <c r="L195" s="45" t="n">
        <v>1148</v>
      </c>
      <c r="M195" s="26" t="inlineStr">
        <is>
          <t>13 Dec</t>
        </is>
      </c>
    </row>
    <row r="196">
      <c r="A196" s="41" t="n">
        <v>46005</v>
      </c>
      <c r="B196" s="28" t="n">
        <v>0.6</v>
      </c>
      <c r="C196" s="28" t="n">
        <v>0.64</v>
      </c>
      <c r="D196" s="29">
        <f>IF(COUNT(B196:C196)=2,(B196+C196)/2,"")</f>
        <v/>
      </c>
      <c r="E196" s="28" t="n">
        <v>0.33</v>
      </c>
      <c r="F196" s="28" t="n">
        <v>0.39</v>
      </c>
      <c r="G196" s="29">
        <f>IF(COUNT(E196:F196)=2,(E196+F196)/2,"")</f>
        <v/>
      </c>
      <c r="H196" s="29">
        <f>IF(AND(ISNUMBER(D196),ISNUMBER(G196)),D196+G196,"")</f>
        <v/>
      </c>
      <c r="I196" s="30">
        <f>IFERROR(D196/H196,"")</f>
        <v/>
      </c>
      <c r="J196" s="31">
        <f>IF(AND(ISNUMBER(D196),ISNUMBER(G196)),D196-G196,"")</f>
        <v/>
      </c>
      <c r="K196" s="46" t="n">
        <v>0</v>
      </c>
      <c r="L196" s="46" t="n">
        <v>1148</v>
      </c>
      <c r="M196" s="38" t="inlineStr">
        <is>
          <t>14 Dec</t>
        </is>
      </c>
    </row>
    <row r="197">
      <c r="A197" s="39" t="n">
        <v>46006</v>
      </c>
      <c r="B197" s="16" t="n">
        <v>0.6</v>
      </c>
      <c r="C197" s="16" t="n">
        <v>0.64</v>
      </c>
      <c r="D197" s="17">
        <f>IF(COUNT(B197:C197)=2,(B197+C197)/2,"")</f>
        <v/>
      </c>
      <c r="E197" s="16" t="n">
        <v>0.33</v>
      </c>
      <c r="F197" s="16" t="n">
        <v>0.39</v>
      </c>
      <c r="G197" s="17">
        <f>IF(COUNT(E197:F197)=2,(E197+F197)/2,"")</f>
        <v/>
      </c>
      <c r="H197" s="17">
        <f>IF(AND(ISNUMBER(D197),ISNUMBER(G197)),D197+G197,"")</f>
        <v/>
      </c>
      <c r="I197" s="20">
        <f>IFERROR(D197/H197,"")</f>
        <v/>
      </c>
      <c r="J197" s="18">
        <f>IF(AND(ISNUMBER(D197),ISNUMBER(G197)),D197-G197,"")</f>
        <v/>
      </c>
      <c r="K197" s="45" t="n">
        <v>20</v>
      </c>
      <c r="L197" s="45" t="n">
        <v>1148</v>
      </c>
      <c r="M197" s="26" t="inlineStr">
        <is>
          <t>15 Dec</t>
        </is>
      </c>
    </row>
    <row r="198">
      <c r="A198" s="41" t="n">
        <v>46007</v>
      </c>
      <c r="B198" s="28" t="n">
        <v>0.6</v>
      </c>
      <c r="C198" s="28" t="n">
        <v>0.64</v>
      </c>
      <c r="D198" s="29">
        <f>IF(COUNT(B198:C198)=2,(B198+C198)/2,"")</f>
        <v/>
      </c>
      <c r="E198" s="28" t="n">
        <v>0.32</v>
      </c>
      <c r="F198" s="28" t="n">
        <v>0.39</v>
      </c>
      <c r="G198" s="29">
        <f>IF(COUNT(E198:F198)=2,(E198+F198)/2,"")</f>
        <v/>
      </c>
      <c r="H198" s="29">
        <f>IF(AND(ISNUMBER(D198),ISNUMBER(G198)),D198+G198,"")</f>
        <v/>
      </c>
      <c r="I198" s="30">
        <f>IFERROR(D198/H198,"")</f>
        <v/>
      </c>
      <c r="J198" s="31">
        <f>IF(AND(ISNUMBER(D198),ISNUMBER(G198)),D198-G198,"")</f>
        <v/>
      </c>
      <c r="K198" s="46" t="n">
        <v>3</v>
      </c>
      <c r="L198" s="46" t="n">
        <v>1148</v>
      </c>
      <c r="M198" s="38" t="inlineStr">
        <is>
          <t>16 Dec</t>
        </is>
      </c>
    </row>
    <row r="199">
      <c r="A199" s="39" t="n">
        <v>46008</v>
      </c>
      <c r="B199" s="16" t="n">
        <v>0.6</v>
      </c>
      <c r="C199" s="16" t="n">
        <v>0.64</v>
      </c>
      <c r="D199" s="17">
        <f>IF(COUNT(B199:C199)=2,(B199+C199)/2,"")</f>
        <v/>
      </c>
      <c r="E199" s="16" t="n">
        <v>0.32</v>
      </c>
      <c r="F199" s="16" t="n">
        <v>0.39</v>
      </c>
      <c r="G199" s="17">
        <f>IF(COUNT(E199:F199)=2,(E199+F199)/2,"")</f>
        <v/>
      </c>
      <c r="H199" s="17">
        <f>IF(AND(ISNUMBER(D199),ISNUMBER(G199)),D199+G199,"")</f>
        <v/>
      </c>
      <c r="I199" s="20">
        <f>IFERROR(D199/H199,"")</f>
        <v/>
      </c>
      <c r="J199" s="18">
        <f>IF(AND(ISNUMBER(D199),ISNUMBER(G199)),D199-G199,"")</f>
        <v/>
      </c>
      <c r="K199" s="45" t="n">
        <v>0</v>
      </c>
      <c r="L199" s="45" t="n">
        <v>1148</v>
      </c>
      <c r="M199" s="26" t="inlineStr">
        <is>
          <t>17 Dec</t>
        </is>
      </c>
    </row>
    <row r="200">
      <c r="A200" s="41" t="n">
        <v>46009</v>
      </c>
      <c r="B200" s="28" t="n">
        <v>0.6</v>
      </c>
      <c r="C200" s="28" t="n">
        <v>0.64</v>
      </c>
      <c r="D200" s="29">
        <f>IF(COUNT(B200:C200)=2,(B200+C200)/2,"")</f>
        <v/>
      </c>
      <c r="E200" s="28" t="n">
        <v>0.32</v>
      </c>
      <c r="F200" s="28" t="n">
        <v>0.39</v>
      </c>
      <c r="G200" s="29">
        <f>IF(COUNT(E200:F200)=2,(E200+F200)/2,"")</f>
        <v/>
      </c>
      <c r="H200" s="29">
        <f>IF(AND(ISNUMBER(D200),ISNUMBER(G200)),D200+G200,"")</f>
        <v/>
      </c>
      <c r="I200" s="30">
        <f>IFERROR(D200/H200,"")</f>
        <v/>
      </c>
      <c r="J200" s="31">
        <f>IF(AND(ISNUMBER(D200),ISNUMBER(G200)),D200-G200,"")</f>
        <v/>
      </c>
      <c r="K200" s="46" t="n">
        <v>0</v>
      </c>
      <c r="L200" s="46" t="n">
        <v>1148</v>
      </c>
      <c r="M200" s="38" t="inlineStr">
        <is>
          <t>18 Dec</t>
        </is>
      </c>
    </row>
    <row r="201">
      <c r="A201" s="39" t="n">
        <v>46010</v>
      </c>
      <c r="B201" s="16" t="n">
        <v>0.6</v>
      </c>
      <c r="C201" s="16" t="n">
        <v>0.64</v>
      </c>
      <c r="D201" s="17">
        <f>IF(COUNT(B201:C201)=2,(B201+C201)/2,"")</f>
        <v/>
      </c>
      <c r="E201" s="16" t="n">
        <v>0.32</v>
      </c>
      <c r="F201" s="16" t="n">
        <v>0.39</v>
      </c>
      <c r="G201" s="17">
        <f>IF(COUNT(E201:F201)=2,(E201+F201)/2,"")</f>
        <v/>
      </c>
      <c r="H201" s="17">
        <f>IF(AND(ISNUMBER(D201),ISNUMBER(G201)),D201+G201,"")</f>
        <v/>
      </c>
      <c r="I201" s="20">
        <f>IFERROR(D201/H201,"")</f>
        <v/>
      </c>
      <c r="J201" s="18">
        <f>IF(AND(ISNUMBER(D201),ISNUMBER(G201)),D201-G201,"")</f>
        <v/>
      </c>
      <c r="K201" s="45" t="n">
        <v>0</v>
      </c>
      <c r="L201" s="45" t="n">
        <v>1148</v>
      </c>
      <c r="M201" s="26" t="inlineStr">
        <is>
          <t>19 Dec</t>
        </is>
      </c>
    </row>
    <row r="202">
      <c r="A202" s="41" t="n">
        <v>46011</v>
      </c>
      <c r="B202" s="28" t="n">
        <v>0.65</v>
      </c>
      <c r="C202" s="28" t="n">
        <v>0.66</v>
      </c>
      <c r="D202" s="29">
        <f>IF(COUNT(B202:C202)=2,(B202+C202)/2,"")</f>
        <v/>
      </c>
      <c r="E202" s="28" t="n">
        <v>0.32</v>
      </c>
      <c r="F202" s="28" t="n">
        <v>0.38</v>
      </c>
      <c r="G202" s="29">
        <f>IF(COUNT(E202:F202)=2,(E202+F202)/2,"")</f>
        <v/>
      </c>
      <c r="H202" s="29">
        <f>IF(AND(ISNUMBER(D202),ISNUMBER(G202)),D202+G202,"")</f>
        <v/>
      </c>
      <c r="I202" s="30">
        <f>IFERROR(D202/H202,"")</f>
        <v/>
      </c>
      <c r="J202" s="31">
        <f>IF(AND(ISNUMBER(D202),ISNUMBER(G202)),D202-G202,"")</f>
        <v/>
      </c>
      <c r="K202" s="46" t="n">
        <v>73</v>
      </c>
      <c r="L202" s="46" t="n">
        <v>1148</v>
      </c>
      <c r="M202" s="38" t="inlineStr">
        <is>
          <t>20 Dec</t>
        </is>
      </c>
    </row>
    <row r="203">
      <c r="A203" s="39" t="n">
        <v>46012</v>
      </c>
      <c r="B203" s="16" t="n">
        <v>0.65</v>
      </c>
      <c r="C203" s="16" t="n">
        <v>0.66</v>
      </c>
      <c r="D203" s="17">
        <f>IF(COUNT(B203:C203)=2,(B203+C203)/2,"")</f>
        <v/>
      </c>
      <c r="E203" s="16" t="n">
        <v>0.32</v>
      </c>
      <c r="F203" s="16" t="n">
        <v>0.38</v>
      </c>
      <c r="G203" s="17">
        <f>IF(COUNT(E203:F203)=2,(E203+F203)/2,"")</f>
        <v/>
      </c>
      <c r="H203" s="17">
        <f>IF(AND(ISNUMBER(D203),ISNUMBER(G203)),D203+G203,"")</f>
        <v/>
      </c>
      <c r="I203" s="20">
        <f>IFERROR(D203/H203,"")</f>
        <v/>
      </c>
      <c r="J203" s="18">
        <f>IF(AND(ISNUMBER(D203),ISNUMBER(G203)),D203-G203,"")</f>
        <v/>
      </c>
      <c r="K203" s="45" t="n">
        <v>0</v>
      </c>
      <c r="L203" s="45" t="n">
        <v>1148</v>
      </c>
      <c r="M203" s="26" t="inlineStr">
        <is>
          <t>21 Dec</t>
        </is>
      </c>
    </row>
    <row r="204">
      <c r="A204" s="41" t="n">
        <v>46013</v>
      </c>
      <c r="B204" s="28" t="n">
        <v>0.65</v>
      </c>
      <c r="C204" s="28" t="n">
        <v>0.66</v>
      </c>
      <c r="D204" s="29">
        <f>IF(COUNT(B204:C204)=2,(B204+C204)/2,"")</f>
        <v/>
      </c>
      <c r="E204" s="28" t="n">
        <v>0.32</v>
      </c>
      <c r="F204" s="28" t="n">
        <v>0.38</v>
      </c>
      <c r="G204" s="29">
        <f>IF(COUNT(E204:F204)=2,(E204+F204)/2,"")</f>
        <v/>
      </c>
      <c r="H204" s="29">
        <f>IF(AND(ISNUMBER(D204),ISNUMBER(G204)),D204+G204,"")</f>
        <v/>
      </c>
      <c r="I204" s="30">
        <f>IFERROR(D204/H204,"")</f>
        <v/>
      </c>
      <c r="J204" s="31">
        <f>IF(AND(ISNUMBER(D204),ISNUMBER(G204)),D204-G204,"")</f>
        <v/>
      </c>
      <c r="K204" s="46" t="n">
        <v>0</v>
      </c>
      <c r="L204" s="46" t="n">
        <v>1148</v>
      </c>
      <c r="M204" s="38" t="inlineStr">
        <is>
          <t>22 Dec</t>
        </is>
      </c>
    </row>
    <row r="205">
      <c r="A205" s="39" t="n">
        <v>46014</v>
      </c>
      <c r="B205" s="16" t="n">
        <v>0.65</v>
      </c>
      <c r="C205" s="16" t="n">
        <v>0.67</v>
      </c>
      <c r="D205" s="17">
        <f>IF(COUNT(B205:C205)=2,(B205+C205)/2,"")</f>
        <v/>
      </c>
      <c r="E205" s="16" t="n">
        <v>0.32</v>
      </c>
      <c r="F205" s="16" t="n">
        <v>0.37</v>
      </c>
      <c r="G205" s="17">
        <f>IF(COUNT(E205:F205)=2,(E205+F205)/2,"")</f>
        <v/>
      </c>
      <c r="H205" s="17">
        <f>IF(AND(ISNUMBER(D205),ISNUMBER(G205)),D205+G205,"")</f>
        <v/>
      </c>
      <c r="I205" s="20">
        <f>IFERROR(D205/H205,"")</f>
        <v/>
      </c>
      <c r="J205" s="18">
        <f>IF(AND(ISNUMBER(D205),ISNUMBER(G205)),D205-G205,"")</f>
        <v/>
      </c>
      <c r="K205" s="45" t="n">
        <v>250</v>
      </c>
      <c r="L205" s="45" t="n">
        <v>1148</v>
      </c>
      <c r="M205" s="26" t="inlineStr">
        <is>
          <t>23 Dec</t>
        </is>
      </c>
    </row>
    <row r="206">
      <c r="A206" s="41" t="n">
        <v>46015</v>
      </c>
      <c r="B206" s="28" t="n">
        <v>0.65</v>
      </c>
      <c r="C206" s="28" t="n">
        <v>0.66</v>
      </c>
      <c r="D206" s="29">
        <f>IF(COUNT(B206:C206)=2,(B206+C206)/2,"")</f>
        <v/>
      </c>
      <c r="E206" s="28" t="n">
        <v>0.32</v>
      </c>
      <c r="F206" s="28" t="n">
        <v>0.37</v>
      </c>
      <c r="G206" s="29">
        <f>IF(COUNT(E206:F206)=2,(E206+F206)/2,"")</f>
        <v/>
      </c>
      <c r="H206" s="29">
        <f>IF(AND(ISNUMBER(D206),ISNUMBER(G206)),D206+G206,"")</f>
        <v/>
      </c>
      <c r="I206" s="30">
        <f>IFERROR(D206/H206,"")</f>
        <v/>
      </c>
      <c r="J206" s="31">
        <f>IF(AND(ISNUMBER(D206),ISNUMBER(G206)),D206-G206,"")</f>
        <v/>
      </c>
      <c r="K206" s="46" t="n">
        <v>98</v>
      </c>
      <c r="L206" s="46" t="n">
        <v>1148</v>
      </c>
      <c r="M206" s="38" t="inlineStr">
        <is>
          <t>24 Dec</t>
        </is>
      </c>
    </row>
    <row r="207">
      <c r="A207" s="39" t="n">
        <v>46016</v>
      </c>
      <c r="B207" s="16" t="n">
        <v>0.65</v>
      </c>
      <c r="C207" s="16" t="n">
        <v>0.66</v>
      </c>
      <c r="D207" s="17">
        <f>IF(COUNT(B207:C207)=2,(B207+C207)/2,"")</f>
        <v/>
      </c>
      <c r="E207" s="16" t="n">
        <v>0.32</v>
      </c>
      <c r="F207" s="16" t="n">
        <v>0.37</v>
      </c>
      <c r="G207" s="17">
        <f>IF(COUNT(E207:F207)=2,(E207+F207)/2,"")</f>
        <v/>
      </c>
      <c r="H207" s="17">
        <f>IF(AND(ISNUMBER(D207),ISNUMBER(G207)),D207+G207,"")</f>
        <v/>
      </c>
      <c r="I207" s="20">
        <f>IFERROR(D207/H207,"")</f>
        <v/>
      </c>
      <c r="J207" s="18">
        <f>IF(AND(ISNUMBER(D207),ISNUMBER(G207)),D207-G207,"")</f>
        <v/>
      </c>
      <c r="K207" s="45" t="n">
        <v>0</v>
      </c>
      <c r="L207" s="45" t="n">
        <v>1148</v>
      </c>
      <c r="M207" s="26" t="inlineStr">
        <is>
          <t>25 Dec</t>
        </is>
      </c>
    </row>
    <row r="208">
      <c r="A208" s="41" t="n">
        <v>46017</v>
      </c>
      <c r="B208" s="28" t="n">
        <v>0.65</v>
      </c>
      <c r="C208" s="28" t="n">
        <v>0.66</v>
      </c>
      <c r="D208" s="29">
        <f>IF(COUNT(B208:C208)=2,(B208+C208)/2,"")</f>
        <v/>
      </c>
      <c r="E208" s="28" t="n">
        <v>0.32</v>
      </c>
      <c r="F208" s="28" t="n">
        <v>0.37</v>
      </c>
      <c r="G208" s="29">
        <f>IF(COUNT(E208:F208)=2,(E208+F208)/2,"")</f>
        <v/>
      </c>
      <c r="H208" s="29">
        <f>IF(AND(ISNUMBER(D208),ISNUMBER(G208)),D208+G208,"")</f>
        <v/>
      </c>
      <c r="I208" s="30">
        <f>IFERROR(D208/H208,"")</f>
        <v/>
      </c>
      <c r="J208" s="31">
        <f>IF(AND(ISNUMBER(D208),ISNUMBER(G208)),D208-G208,"")</f>
        <v/>
      </c>
      <c r="K208" s="46" t="n">
        <v>0</v>
      </c>
      <c r="L208" s="46" t="n">
        <v>1148</v>
      </c>
      <c r="M208" s="38" t="inlineStr">
        <is>
          <t>26 Dec</t>
        </is>
      </c>
    </row>
    <row r="209">
      <c r="A209" s="39" t="n">
        <v>46018</v>
      </c>
      <c r="B209" s="16" t="n">
        <v>0.65</v>
      </c>
      <c r="C209" s="16" t="n">
        <v>0.66</v>
      </c>
      <c r="D209" s="17">
        <f>IF(COUNT(B209:C209)=2,(B209+C209)/2,"")</f>
        <v/>
      </c>
      <c r="E209" s="16" t="n">
        <v>0.32</v>
      </c>
      <c r="F209" s="16" t="n">
        <v>0.37</v>
      </c>
      <c r="G209" s="17">
        <f>IF(COUNT(E209:F209)=2,(E209+F209)/2,"")</f>
        <v/>
      </c>
      <c r="H209" s="17">
        <f>IF(AND(ISNUMBER(D209),ISNUMBER(G209)),D209+G209,"")</f>
        <v/>
      </c>
      <c r="I209" s="20">
        <f>IFERROR(D209/H209,"")</f>
        <v/>
      </c>
      <c r="J209" s="18">
        <f>IF(AND(ISNUMBER(D209),ISNUMBER(G209)),D209-G209,"")</f>
        <v/>
      </c>
      <c r="K209" s="45" t="n">
        <v>0</v>
      </c>
      <c r="L209" s="45" t="n">
        <v>1148</v>
      </c>
      <c r="M209" s="26" t="inlineStr">
        <is>
          <t>27 Dec</t>
        </is>
      </c>
    </row>
    <row r="210">
      <c r="A210" s="41" t="n">
        <v>46019</v>
      </c>
      <c r="B210" s="28" t="n">
        <v>0.65</v>
      </c>
      <c r="C210" s="28" t="n">
        <v>0.66</v>
      </c>
      <c r="D210" s="29">
        <f>IF(COUNT(B210:C210)=2,(B210+C210)/2,"")</f>
        <v/>
      </c>
      <c r="E210" s="28" t="n">
        <v>0.32</v>
      </c>
      <c r="F210" s="28" t="n">
        <v>0.37</v>
      </c>
      <c r="G210" s="29">
        <f>IF(COUNT(E210:F210)=2,(E210+F210)/2,"")</f>
        <v/>
      </c>
      <c r="H210" s="29">
        <f>IF(AND(ISNUMBER(D210),ISNUMBER(G210)),D210+G210,"")</f>
        <v/>
      </c>
      <c r="I210" s="30">
        <f>IFERROR(D210/H210,"")</f>
        <v/>
      </c>
      <c r="J210" s="31">
        <f>IF(AND(ISNUMBER(D210),ISNUMBER(G210)),D210-G210,"")</f>
        <v/>
      </c>
      <c r="K210" s="46" t="n">
        <v>63</v>
      </c>
      <c r="L210" s="46" t="n">
        <v>1148</v>
      </c>
      <c r="M210" s="38" t="inlineStr">
        <is>
          <t>28 Dec</t>
        </is>
      </c>
    </row>
    <row r="211">
      <c r="A211" s="39" t="n">
        <v>46020</v>
      </c>
      <c r="B211" s="16" t="n">
        <v>0.65</v>
      </c>
      <c r="C211" s="16" t="n">
        <v>0.66</v>
      </c>
      <c r="D211" s="17">
        <f>IF(COUNT(B211:C211)=2,(B211+C211)/2,"")</f>
        <v/>
      </c>
      <c r="E211" s="16" t="n">
        <v>0.32</v>
      </c>
      <c r="F211" s="16" t="n">
        <v>0.37</v>
      </c>
      <c r="G211" s="17">
        <f>IF(COUNT(E211:F211)=2,(E211+F211)/2,"")</f>
        <v/>
      </c>
      <c r="H211" s="17">
        <f>IF(AND(ISNUMBER(D211),ISNUMBER(G211)),D211+G211,"")</f>
        <v/>
      </c>
      <c r="I211" s="20">
        <f>IFERROR(D211/H211,"")</f>
        <v/>
      </c>
      <c r="J211" s="18">
        <f>IF(AND(ISNUMBER(D211),ISNUMBER(G211)),D211-G211,"")</f>
        <v/>
      </c>
      <c r="K211" s="45" t="n">
        <v>0</v>
      </c>
      <c r="L211" s="45" t="n">
        <v>1148</v>
      </c>
      <c r="M211" s="26" t="inlineStr">
        <is>
          <t>29 Dec</t>
        </is>
      </c>
    </row>
    <row r="212">
      <c r="A212" s="41" t="n">
        <v>46021</v>
      </c>
      <c r="B212" s="28" t="n">
        <v>0.65</v>
      </c>
      <c r="C212" s="28" t="n">
        <v>0.66</v>
      </c>
      <c r="D212" s="29">
        <f>IF(COUNT(B212:C212)=2,(B212+C212)/2,"")</f>
        <v/>
      </c>
      <c r="E212" s="28" t="n">
        <v>0.32</v>
      </c>
      <c r="F212" s="28" t="n">
        <v>0.37</v>
      </c>
      <c r="G212" s="29">
        <f>IF(COUNT(E212:F212)=2,(E212+F212)/2,"")</f>
        <v/>
      </c>
      <c r="H212" s="29">
        <f>IF(AND(ISNUMBER(D212),ISNUMBER(G212)),D212+G212,"")</f>
        <v/>
      </c>
      <c r="I212" s="30">
        <f>IFERROR(D212/H212,"")</f>
        <v/>
      </c>
      <c r="J212" s="31">
        <f>IF(AND(ISNUMBER(D212),ISNUMBER(G212)),D212-G212,"")</f>
        <v/>
      </c>
      <c r="K212" s="46" t="n">
        <v>0</v>
      </c>
      <c r="L212" s="46" t="n">
        <v>1148</v>
      </c>
      <c r="M212" s="38" t="inlineStr">
        <is>
          <t>30 Dec</t>
        </is>
      </c>
    </row>
    <row r="213">
      <c r="A213" s="39" t="n">
        <v>46022</v>
      </c>
      <c r="B213" s="16" t="n">
        <v>0.65</v>
      </c>
      <c r="C213" s="16" t="n">
        <v>0.66</v>
      </c>
      <c r="D213" s="17">
        <f>IF(COUNT(B213:C213)=2,(B213+C213)/2,"")</f>
        <v/>
      </c>
      <c r="E213" s="16" t="n">
        <v>0.32</v>
      </c>
      <c r="F213" s="16" t="n">
        <v>0.37</v>
      </c>
      <c r="G213" s="17">
        <f>IF(COUNT(E213:F213)=2,(E213+F213)/2,"")</f>
        <v/>
      </c>
      <c r="H213" s="17">
        <f>IF(AND(ISNUMBER(D213),ISNUMBER(G213)),D213+G213,"")</f>
        <v/>
      </c>
      <c r="I213" s="20">
        <f>IFERROR(D213/H213,"")</f>
        <v/>
      </c>
      <c r="J213" s="18">
        <f>IF(AND(ISNUMBER(D213),ISNUMBER(G213)),D213-G213,"")</f>
        <v/>
      </c>
      <c r="K213" s="45" t="n">
        <v>0</v>
      </c>
      <c r="L213" s="45" t="n">
        <v>1148</v>
      </c>
      <c r="M213" s="26" t="inlineStr">
        <is>
          <t>31 Dec</t>
        </is>
      </c>
    </row>
    <row r="214">
      <c r="A214" s="41" t="n">
        <v>46023</v>
      </c>
      <c r="B214" s="28" t="n">
        <v>0.66</v>
      </c>
      <c r="C214" s="28" t="n">
        <v>0.67</v>
      </c>
      <c r="D214" s="29">
        <f>IF(COUNT(B214:C214)=2,(B214+C214)/2,"")</f>
        <v/>
      </c>
      <c r="E214" s="28" t="n">
        <v>0.32</v>
      </c>
      <c r="F214" s="28" t="n">
        <v>0.36</v>
      </c>
      <c r="G214" s="29">
        <f>IF(COUNT(E214:F214)=2,(E214+F214)/2,"")</f>
        <v/>
      </c>
      <c r="H214" s="29">
        <f>IF(AND(ISNUMBER(D214),ISNUMBER(G214)),D214+G214,"")</f>
        <v/>
      </c>
      <c r="I214" s="30">
        <f>IFERROR(D214/H214,"")</f>
        <v/>
      </c>
      <c r="J214" s="31">
        <f>IF(AND(ISNUMBER(D214),ISNUMBER(G214)),D214-G214,"")</f>
        <v/>
      </c>
      <c r="K214" s="46" t="n">
        <v>71</v>
      </c>
      <c r="L214" s="46" t="n">
        <v>1148</v>
      </c>
      <c r="M214" s="38" t="inlineStr">
        <is>
          <t>01 Jan</t>
        </is>
      </c>
    </row>
    <row r="215">
      <c r="A215" s="39" t="n">
        <v>46024</v>
      </c>
      <c r="B215" s="16" t="n">
        <v>0.66</v>
      </c>
      <c r="C215" s="16" t="n">
        <v>0.67</v>
      </c>
      <c r="D215" s="17">
        <f>IF(COUNT(B215:C215)=2,(B215+C215)/2,"")</f>
        <v/>
      </c>
      <c r="E215" s="16" t="n">
        <v>0.32</v>
      </c>
      <c r="F215" s="16" t="n">
        <v>0.36</v>
      </c>
      <c r="G215" s="17">
        <f>IF(COUNT(E215:F215)=2,(E215+F215)/2,"")</f>
        <v/>
      </c>
      <c r="H215" s="17">
        <f>IF(AND(ISNUMBER(D215),ISNUMBER(G215)),D215+G215,"")</f>
        <v/>
      </c>
      <c r="I215" s="20">
        <f>IFERROR(D215/H215,"")</f>
        <v/>
      </c>
      <c r="J215" s="18">
        <f>IF(AND(ISNUMBER(D215),ISNUMBER(G215)),D215-G215,"")</f>
        <v/>
      </c>
      <c r="K215" s="45" t="n">
        <v>22</v>
      </c>
      <c r="L215" s="45" t="n">
        <v>1148</v>
      </c>
      <c r="M215" s="26" t="inlineStr">
        <is>
          <t>02 Jan</t>
        </is>
      </c>
    </row>
    <row r="216">
      <c r="A216" s="41" t="n">
        <v>46025</v>
      </c>
      <c r="B216" s="28" t="n">
        <v>0.66</v>
      </c>
      <c r="C216" s="28" t="n">
        <v>0.67</v>
      </c>
      <c r="D216" s="29">
        <f>IF(COUNT(B216:C216)=2,(B216+C216)/2,"")</f>
        <v/>
      </c>
      <c r="E216" s="28" t="n">
        <v>0.32</v>
      </c>
      <c r="F216" s="28" t="n">
        <v>0.36</v>
      </c>
      <c r="G216" s="29">
        <f>IF(COUNT(E216:F216)=2,(E216+F216)/2,"")</f>
        <v/>
      </c>
      <c r="H216" s="29">
        <f>IF(AND(ISNUMBER(D216),ISNUMBER(G216)),D216+G216,"")</f>
        <v/>
      </c>
      <c r="I216" s="30">
        <f>IFERROR(D216/H216,"")</f>
        <v/>
      </c>
      <c r="J216" s="31">
        <f>IF(AND(ISNUMBER(D216),ISNUMBER(G216)),D216-G216,"")</f>
        <v/>
      </c>
      <c r="K216" s="46" t="n">
        <v>0</v>
      </c>
      <c r="L216" s="46" t="n">
        <v>1148</v>
      </c>
      <c r="M216" s="38" t="inlineStr">
        <is>
          <t>03 Jan</t>
        </is>
      </c>
    </row>
    <row r="217">
      <c r="A217" s="39" t="n">
        <v>46026</v>
      </c>
      <c r="B217" s="16" t="n">
        <v>0.66</v>
      </c>
      <c r="C217" s="16" t="n">
        <v>0.67</v>
      </c>
      <c r="D217" s="17">
        <f>IF(COUNT(B217:C217)=2,(B217+C217)/2,"")</f>
        <v/>
      </c>
      <c r="E217" s="16" t="n">
        <v>0.32</v>
      </c>
      <c r="F217" s="16" t="n">
        <v>0.36</v>
      </c>
      <c r="G217" s="17">
        <f>IF(COUNT(E217:F217)=2,(E217+F217)/2,"")</f>
        <v/>
      </c>
      <c r="H217" s="17">
        <f>IF(AND(ISNUMBER(D217),ISNUMBER(G217)),D217+G217,"")</f>
        <v/>
      </c>
      <c r="I217" s="20">
        <f>IFERROR(D217/H217,"")</f>
        <v/>
      </c>
      <c r="J217" s="18">
        <f>IF(AND(ISNUMBER(D217),ISNUMBER(G217)),D217-G217,"")</f>
        <v/>
      </c>
      <c r="K217" s="45" t="n">
        <v>0</v>
      </c>
      <c r="L217" s="45" t="n">
        <v>1148</v>
      </c>
      <c r="M217" s="26" t="inlineStr">
        <is>
          <t>04 Jan</t>
        </is>
      </c>
    </row>
    <row r="218">
      <c r="A218" s="41" t="n">
        <v>46027</v>
      </c>
      <c r="B218" s="28" t="n">
        <v>0.66</v>
      </c>
      <c r="C218" s="28" t="n">
        <v>0.67</v>
      </c>
      <c r="D218" s="29">
        <f>IF(COUNT(B218:C218)=2,(B218+C218)/2,"")</f>
        <v/>
      </c>
      <c r="E218" s="28" t="n">
        <v>0.32</v>
      </c>
      <c r="F218" s="28" t="n">
        <v>0.36</v>
      </c>
      <c r="G218" s="29">
        <f>IF(COUNT(E218:F218)=2,(E218+F218)/2,"")</f>
        <v/>
      </c>
      <c r="H218" s="29">
        <f>IF(AND(ISNUMBER(D218),ISNUMBER(G218)),D218+G218,"")</f>
        <v/>
      </c>
      <c r="I218" s="30">
        <f>IFERROR(D218/H218,"")</f>
        <v/>
      </c>
      <c r="J218" s="31">
        <f>IF(AND(ISNUMBER(D218),ISNUMBER(G218)),D218-G218,"")</f>
        <v/>
      </c>
      <c r="K218" s="46" t="n">
        <v>0</v>
      </c>
      <c r="L218" s="46" t="n">
        <v>1148</v>
      </c>
      <c r="M218" s="38" t="inlineStr">
        <is>
          <t>05 Jan</t>
        </is>
      </c>
    </row>
    <row r="219">
      <c r="A219" s="39" t="n">
        <v>46028</v>
      </c>
      <c r="B219" s="16" t="n">
        <v>0.66</v>
      </c>
      <c r="C219" s="16" t="n">
        <v>0.67</v>
      </c>
      <c r="D219" s="17">
        <f>IF(COUNT(B219:C219)=2,(B219+C219)/2,"")</f>
        <v/>
      </c>
      <c r="E219" s="16" t="n">
        <v>0.32</v>
      </c>
      <c r="F219" s="16" t="n">
        <v>0.36</v>
      </c>
      <c r="G219" s="17">
        <f>IF(COUNT(E219:F219)=2,(E219+F219)/2,"")</f>
        <v/>
      </c>
      <c r="H219" s="17">
        <f>IF(AND(ISNUMBER(D219),ISNUMBER(G219)),D219+G219,"")</f>
        <v/>
      </c>
      <c r="I219" s="20">
        <f>IFERROR(D219/H219,"")</f>
        <v/>
      </c>
      <c r="J219" s="18">
        <f>IF(AND(ISNUMBER(D219),ISNUMBER(G219)),D219-G219,"")</f>
        <v/>
      </c>
      <c r="K219" s="45" t="n">
        <v>0</v>
      </c>
      <c r="L219" s="45" t="n">
        <v>1148</v>
      </c>
      <c r="M219" s="26" t="inlineStr">
        <is>
          <t>06 Jan</t>
        </is>
      </c>
    </row>
    <row r="220">
      <c r="A220" s="41" t="n">
        <v>46029</v>
      </c>
      <c r="B220" s="28" t="n">
        <v>0.66</v>
      </c>
      <c r="C220" s="28" t="n">
        <v>0.67</v>
      </c>
      <c r="D220" s="29">
        <f>IF(COUNT(B220:C220)=2,(B220+C220)/2,"")</f>
        <v/>
      </c>
      <c r="E220" s="28" t="n">
        <v>0.32</v>
      </c>
      <c r="F220" s="28" t="n">
        <v>0.36</v>
      </c>
      <c r="G220" s="29">
        <f>IF(COUNT(E220:F220)=2,(E220+F220)/2,"")</f>
        <v/>
      </c>
      <c r="H220" s="29">
        <f>IF(AND(ISNUMBER(D220),ISNUMBER(G220)),D220+G220,"")</f>
        <v/>
      </c>
      <c r="I220" s="30">
        <f>IFERROR(D220/H220,"")</f>
        <v/>
      </c>
      <c r="J220" s="31">
        <f>IF(AND(ISNUMBER(D220),ISNUMBER(G220)),D220-G220,"")</f>
        <v/>
      </c>
      <c r="K220" s="46" t="n">
        <v>0</v>
      </c>
      <c r="L220" s="46" t="n">
        <v>1148</v>
      </c>
      <c r="M220" s="38" t="inlineStr">
        <is>
          <t>07 Jan</t>
        </is>
      </c>
    </row>
    <row r="221">
      <c r="A221" s="39" t="n">
        <v>46030</v>
      </c>
      <c r="B221" s="16" t="n">
        <v>0.66</v>
      </c>
      <c r="C221" s="16" t="n">
        <v>0.67</v>
      </c>
      <c r="D221" s="17">
        <f>IF(COUNT(B221:C221)=2,(B221+C221)/2,"")</f>
        <v/>
      </c>
      <c r="E221" s="16" t="n">
        <v>0.32</v>
      </c>
      <c r="F221" s="16" t="n">
        <v>0.36</v>
      </c>
      <c r="G221" s="17">
        <f>IF(COUNT(E221:F221)=2,(E221+F221)/2,"")</f>
        <v/>
      </c>
      <c r="H221" s="17">
        <f>IF(AND(ISNUMBER(D221),ISNUMBER(G221)),D221+G221,"")</f>
        <v/>
      </c>
      <c r="I221" s="20">
        <f>IFERROR(D221/H221,"")</f>
        <v/>
      </c>
      <c r="J221" s="18">
        <f>IF(AND(ISNUMBER(D221),ISNUMBER(G221)),D221-G221,"")</f>
        <v/>
      </c>
      <c r="K221" s="45" t="n">
        <v>0</v>
      </c>
      <c r="L221" s="45" t="n">
        <v>1148</v>
      </c>
      <c r="M221" s="26" t="inlineStr">
        <is>
          <t>08 Jan</t>
        </is>
      </c>
    </row>
    <row r="222">
      <c r="A222" s="41" t="n">
        <v>46031</v>
      </c>
      <c r="B222" s="28" t="n">
        <v>0.66</v>
      </c>
      <c r="C222" s="28" t="n">
        <v>0.67</v>
      </c>
      <c r="D222" s="29">
        <f>IF(COUNT(B222:C222)=2,(B222+C222)/2,"")</f>
        <v/>
      </c>
      <c r="E222" s="28" t="n">
        <v>0.32</v>
      </c>
      <c r="F222" s="28" t="n">
        <v>0.36</v>
      </c>
      <c r="G222" s="29">
        <f>IF(COUNT(E222:F222)=2,(E222+F222)/2,"")</f>
        <v/>
      </c>
      <c r="H222" s="29">
        <f>IF(AND(ISNUMBER(D222),ISNUMBER(G222)),D222+G222,"")</f>
        <v/>
      </c>
      <c r="I222" s="30">
        <f>IFERROR(D222/H222,"")</f>
        <v/>
      </c>
      <c r="J222" s="31">
        <f>IF(AND(ISNUMBER(D222),ISNUMBER(G222)),D222-G222,"")</f>
        <v/>
      </c>
      <c r="K222" s="46" t="n">
        <v>0</v>
      </c>
      <c r="L222" s="46" t="n">
        <v>1148</v>
      </c>
      <c r="M222" s="38" t="inlineStr">
        <is>
          <t>09 Jan</t>
        </is>
      </c>
    </row>
    <row r="223">
      <c r="A223" s="39" t="n">
        <v>46032</v>
      </c>
      <c r="B223" s="16" t="n">
        <v>0.66</v>
      </c>
      <c r="C223" s="16" t="n">
        <v>0.67</v>
      </c>
      <c r="D223" s="17">
        <f>IF(COUNT(B223:C223)=2,(B223+C223)/2,"")</f>
        <v/>
      </c>
      <c r="E223" s="16" t="n">
        <v>0.32</v>
      </c>
      <c r="F223" s="16" t="n">
        <v>0.36</v>
      </c>
      <c r="G223" s="17">
        <f>IF(COUNT(E223:F223)=2,(E223+F223)/2,"")</f>
        <v/>
      </c>
      <c r="H223" s="17">
        <f>IF(AND(ISNUMBER(D223),ISNUMBER(G223)),D223+G223,"")</f>
        <v/>
      </c>
      <c r="I223" s="20">
        <f>IFERROR(D223/H223,"")</f>
        <v/>
      </c>
      <c r="J223" s="18">
        <f>IF(AND(ISNUMBER(D223),ISNUMBER(G223)),D223-G223,"")</f>
        <v/>
      </c>
      <c r="K223" s="45" t="n">
        <v>4</v>
      </c>
      <c r="L223" s="45" t="n">
        <v>1144</v>
      </c>
      <c r="M223" s="26" t="inlineStr">
        <is>
          <t>10 Jan</t>
        </is>
      </c>
    </row>
    <row r="224">
      <c r="A224" s="41" t="n">
        <v>46033</v>
      </c>
      <c r="B224" s="28" t="n">
        <v>0.66</v>
      </c>
      <c r="C224" s="28" t="n">
        <v>0.67</v>
      </c>
      <c r="D224" s="29">
        <f>IF(COUNT(B224:C224)=2,(B224+C224)/2,"")</f>
        <v/>
      </c>
      <c r="E224" s="28" t="n">
        <v>0.32</v>
      </c>
      <c r="F224" s="28" t="n">
        <v>0.36</v>
      </c>
      <c r="G224" s="29">
        <f>IF(COUNT(E224:F224)=2,(E224+F224)/2,"")</f>
        <v/>
      </c>
      <c r="H224" s="29">
        <f>IF(AND(ISNUMBER(D224),ISNUMBER(G224)),D224+G224,"")</f>
        <v/>
      </c>
      <c r="I224" s="30">
        <f>IFERROR(D224/H224,"")</f>
        <v/>
      </c>
      <c r="J224" s="31">
        <f>IF(AND(ISNUMBER(D224),ISNUMBER(G224)),D224-G224,"")</f>
        <v/>
      </c>
      <c r="K224" s="46" t="n">
        <v>0</v>
      </c>
      <c r="L224" s="46" t="n">
        <v>1144</v>
      </c>
      <c r="M224" s="38" t="inlineStr">
        <is>
          <t>11 Jan</t>
        </is>
      </c>
    </row>
    <row r="225">
      <c r="A225" s="39" t="n">
        <v>46034</v>
      </c>
      <c r="B225" s="16" t="n">
        <v>0.66</v>
      </c>
      <c r="C225" s="16" t="n">
        <v>0.67</v>
      </c>
      <c r="D225" s="17">
        <f>IF(COUNT(B225:C225)=2,(B225+C225)/2,"")</f>
        <v/>
      </c>
      <c r="E225" s="16" t="n">
        <v>0.32</v>
      </c>
      <c r="F225" s="16" t="n">
        <v>0.36</v>
      </c>
      <c r="G225" s="17">
        <f>IF(COUNT(E225:F225)=2,(E225+F225)/2,"")</f>
        <v/>
      </c>
      <c r="H225" s="17">
        <f>IF(AND(ISNUMBER(D225),ISNUMBER(G225)),D225+G225,"")</f>
        <v/>
      </c>
      <c r="I225" s="20">
        <f>IFERROR(D225/H225,"")</f>
        <v/>
      </c>
      <c r="J225" s="18">
        <f>IF(AND(ISNUMBER(D225),ISNUMBER(G225)),D225-G225,"")</f>
        <v/>
      </c>
      <c r="K225" s="45" t="n">
        <v>0</v>
      </c>
      <c r="L225" s="45" t="n">
        <v>1144</v>
      </c>
      <c r="M225" s="26" t="inlineStr">
        <is>
          <t>12 Jan</t>
        </is>
      </c>
    </row>
    <row r="226">
      <c r="A226" s="41" t="n">
        <v>46035</v>
      </c>
      <c r="B226" s="28" t="n">
        <v>0.66</v>
      </c>
      <c r="C226" s="28" t="n">
        <v>0.67</v>
      </c>
      <c r="D226" s="29">
        <f>IF(COUNT(B226:C226)=2,(B226+C226)/2,"")</f>
        <v/>
      </c>
      <c r="E226" s="28" t="n">
        <v>0.32</v>
      </c>
      <c r="F226" s="28" t="n">
        <v>0.36</v>
      </c>
      <c r="G226" s="29">
        <f>IF(COUNT(E226:F226)=2,(E226+F226)/2,"")</f>
        <v/>
      </c>
      <c r="H226" s="29">
        <f>IF(AND(ISNUMBER(D226),ISNUMBER(G226)),D226+G226,"")</f>
        <v/>
      </c>
      <c r="I226" s="30">
        <f>IFERROR(D226/H226,"")</f>
        <v/>
      </c>
      <c r="J226" s="31">
        <f>IF(AND(ISNUMBER(D226),ISNUMBER(G226)),D226-G226,"")</f>
        <v/>
      </c>
      <c r="K226" s="46" t="n">
        <v>0</v>
      </c>
      <c r="L226" s="46" t="n">
        <v>1144</v>
      </c>
      <c r="M226" s="38" t="inlineStr">
        <is>
          <t>13 Jan</t>
        </is>
      </c>
    </row>
    <row r="227">
      <c r="A227" s="39" t="n">
        <v>46036</v>
      </c>
      <c r="B227" s="16" t="n">
        <v>0.6</v>
      </c>
      <c r="C227" s="16" t="n">
        <v>0.67</v>
      </c>
      <c r="D227" s="17">
        <f>IF(COUNT(B227:C227)=2,(B227+C227)/2,"")</f>
        <v/>
      </c>
      <c r="E227" s="16" t="n">
        <v>0.32</v>
      </c>
      <c r="F227" s="16" t="n">
        <v>0.36</v>
      </c>
      <c r="G227" s="17">
        <f>IF(COUNT(E227:F227)=2,(E227+F227)/2,"")</f>
        <v/>
      </c>
      <c r="H227" s="17">
        <f>IF(AND(ISNUMBER(D227),ISNUMBER(G227)),D227+G227,"")</f>
        <v/>
      </c>
      <c r="I227" s="20">
        <f>IFERROR(D227/H227,"")</f>
        <v/>
      </c>
      <c r="J227" s="18">
        <f>IF(AND(ISNUMBER(D227),ISNUMBER(G227)),D227-G227,"")</f>
        <v/>
      </c>
      <c r="K227" s="45" t="n">
        <v>0</v>
      </c>
      <c r="L227" s="45" t="n">
        <v>1144</v>
      </c>
      <c r="M227" s="26" t="inlineStr">
        <is>
          <t>14 Jan</t>
        </is>
      </c>
    </row>
    <row r="228">
      <c r="A228" s="41" t="n">
        <v>46037</v>
      </c>
      <c r="B228" s="28" t="n">
        <v>0.6</v>
      </c>
      <c r="C228" s="28" t="n">
        <v>0.67</v>
      </c>
      <c r="D228" s="29">
        <f>IF(COUNT(B228:C228)=2,(B228+C228)/2,"")</f>
        <v/>
      </c>
      <c r="E228" s="28" t="n">
        <v>0.32</v>
      </c>
      <c r="F228" s="28" t="n">
        <v>0.36</v>
      </c>
      <c r="G228" s="29">
        <f>IF(COUNT(E228:F228)=2,(E228+F228)/2,"")</f>
        <v/>
      </c>
      <c r="H228" s="29">
        <f>IF(AND(ISNUMBER(D228),ISNUMBER(G228)),D228+G228,"")</f>
        <v/>
      </c>
      <c r="I228" s="30">
        <f>IFERROR(D228/H228,"")</f>
        <v/>
      </c>
      <c r="J228" s="31">
        <f>IF(AND(ISNUMBER(D228),ISNUMBER(G228)),D228-G228,"")</f>
        <v/>
      </c>
      <c r="K228" s="46" t="n">
        <v>1</v>
      </c>
      <c r="L228" s="46" t="n">
        <v>1144</v>
      </c>
      <c r="M228" s="38" t="inlineStr">
        <is>
          <t>15 Jan</t>
        </is>
      </c>
    </row>
    <row r="229">
      <c r="A229" s="39" t="n">
        <v>46038</v>
      </c>
      <c r="B229" s="16" t="n">
        <v>0.6</v>
      </c>
      <c r="C229" s="16" t="n">
        <v>0.67</v>
      </c>
      <c r="D229" s="17">
        <f>IF(COUNT(B229:C229)=2,(B229+C229)/2,"")</f>
        <v/>
      </c>
      <c r="E229" s="16" t="n">
        <v>0.32</v>
      </c>
      <c r="F229" s="16" t="n">
        <v>0.36</v>
      </c>
      <c r="G229" s="17">
        <f>IF(COUNT(E229:F229)=2,(E229+F229)/2,"")</f>
        <v/>
      </c>
      <c r="H229" s="17">
        <f>IF(AND(ISNUMBER(D229),ISNUMBER(G229)),D229+G229,"")</f>
        <v/>
      </c>
      <c r="I229" s="20">
        <f>IFERROR(D229/H229,"")</f>
        <v/>
      </c>
      <c r="J229" s="18">
        <f>IF(AND(ISNUMBER(D229),ISNUMBER(G229)),D229-G229,"")</f>
        <v/>
      </c>
      <c r="K229" s="45" t="n">
        <v>0</v>
      </c>
      <c r="L229" s="45" t="n">
        <v>1144</v>
      </c>
      <c r="M229" s="26" t="inlineStr">
        <is>
          <t>16 Jan</t>
        </is>
      </c>
    </row>
    <row r="230">
      <c r="A230" s="41" t="n">
        <v>46039</v>
      </c>
      <c r="B230" s="28" t="n">
        <v>0.6</v>
      </c>
      <c r="C230" s="28" t="n">
        <v>0.67</v>
      </c>
      <c r="D230" s="29">
        <f>IF(COUNT(B230:C230)=2,(B230+C230)/2,"")</f>
        <v/>
      </c>
      <c r="E230" s="28" t="n">
        <v>0.32</v>
      </c>
      <c r="F230" s="28" t="n">
        <v>0.36</v>
      </c>
      <c r="G230" s="29">
        <f>IF(COUNT(E230:F230)=2,(E230+F230)/2,"")</f>
        <v/>
      </c>
      <c r="H230" s="29">
        <f>IF(AND(ISNUMBER(D230),ISNUMBER(G230)),D230+G230,"")</f>
        <v/>
      </c>
      <c r="I230" s="30">
        <f>IFERROR(D230/H230,"")</f>
        <v/>
      </c>
      <c r="J230" s="31">
        <f>IF(AND(ISNUMBER(D230),ISNUMBER(G230)),D230-G230,"")</f>
        <v/>
      </c>
      <c r="K230" s="46" t="n">
        <v>0</v>
      </c>
      <c r="L230" s="46" t="n">
        <v>1144</v>
      </c>
      <c r="M230" s="38" t="inlineStr">
        <is>
          <t>17 Jan</t>
        </is>
      </c>
    </row>
    <row r="231">
      <c r="A231" s="39" t="n">
        <v>46040</v>
      </c>
      <c r="B231" s="16" t="n">
        <v>0.6</v>
      </c>
      <c r="C231" s="16" t="n">
        <v>0.62</v>
      </c>
      <c r="D231" s="17">
        <f>IF(COUNT(B231:C231)=2,(B231+C231)/2,"")</f>
        <v/>
      </c>
      <c r="E231" s="16" t="n">
        <v>0.32</v>
      </c>
      <c r="F231" s="16" t="n">
        <v>0.36</v>
      </c>
      <c r="G231" s="17">
        <f>IF(COUNT(E231:F231)=2,(E231+F231)/2,"")</f>
        <v/>
      </c>
      <c r="H231" s="17">
        <f>IF(AND(ISNUMBER(D231),ISNUMBER(G231)),D231+G231,"")</f>
        <v/>
      </c>
      <c r="I231" s="20">
        <f>IFERROR(D231/H231,"")</f>
        <v/>
      </c>
      <c r="J231" s="18">
        <f>IF(AND(ISNUMBER(D231),ISNUMBER(G231)),D231-G231,"")</f>
        <v/>
      </c>
      <c r="K231" s="45" t="n">
        <v>0</v>
      </c>
      <c r="L231" s="45" t="n">
        <v>1144</v>
      </c>
      <c r="M231" s="26" t="inlineStr">
        <is>
          <t>18 Jan</t>
        </is>
      </c>
    </row>
    <row r="232">
      <c r="A232" s="41" t="n">
        <v>46041</v>
      </c>
      <c r="B232" s="28" t="n">
        <v>0.6</v>
      </c>
      <c r="C232" s="28" t="n">
        <v>0.62</v>
      </c>
      <c r="D232" s="29">
        <f>IF(COUNT(B232:C232)=2,(B232+C232)/2,"")</f>
        <v/>
      </c>
      <c r="E232" s="28" t="n">
        <v>0.32</v>
      </c>
      <c r="F232" s="28" t="n">
        <v>0.36</v>
      </c>
      <c r="G232" s="29">
        <f>IF(COUNT(E232:F232)=2,(E232+F232)/2,"")</f>
        <v/>
      </c>
      <c r="H232" s="29">
        <f>IF(AND(ISNUMBER(D232),ISNUMBER(G232)),D232+G232,"")</f>
        <v/>
      </c>
      <c r="I232" s="30">
        <f>IFERROR(D232/H232,"")</f>
        <v/>
      </c>
      <c r="J232" s="31">
        <f>IF(AND(ISNUMBER(D232),ISNUMBER(G232)),D232-G232,"")</f>
        <v/>
      </c>
      <c r="K232" s="46" t="n">
        <v>0</v>
      </c>
      <c r="L232" s="46" t="n">
        <v>1144</v>
      </c>
      <c r="M232" s="38" t="inlineStr">
        <is>
          <t>19 Jan</t>
        </is>
      </c>
    </row>
    <row r="233">
      <c r="A233" s="39" t="n">
        <v>46042</v>
      </c>
      <c r="B233" s="16" t="n">
        <v>0.6</v>
      </c>
      <c r="C233" s="16" t="n">
        <v>0.62</v>
      </c>
      <c r="D233" s="17">
        <f>IF(COUNT(B233:C233)=2,(B233+C233)/2,"")</f>
        <v/>
      </c>
      <c r="E233" s="16" t="n">
        <v>0.32</v>
      </c>
      <c r="F233" s="16" t="n">
        <v>0.36</v>
      </c>
      <c r="G233" s="17">
        <f>IF(COUNT(E233:F233)=2,(E233+F233)/2,"")</f>
        <v/>
      </c>
      <c r="H233" s="17">
        <f>IF(AND(ISNUMBER(D233),ISNUMBER(G233)),D233+G233,"")</f>
        <v/>
      </c>
      <c r="I233" s="20">
        <f>IFERROR(D233/H233,"")</f>
        <v/>
      </c>
      <c r="J233" s="18">
        <f>IF(AND(ISNUMBER(D233),ISNUMBER(G233)),D233-G233,"")</f>
        <v/>
      </c>
      <c r="K233" s="45" t="n">
        <v>66</v>
      </c>
      <c r="L233" s="45" t="n">
        <v>1144</v>
      </c>
      <c r="M233" s="26" t="inlineStr">
        <is>
          <t>20 Jan</t>
        </is>
      </c>
    </row>
    <row r="234">
      <c r="A234" s="41" t="n">
        <v>46043</v>
      </c>
      <c r="B234" s="28" t="n">
        <v>0.6</v>
      </c>
      <c r="C234" s="28" t="n">
        <v>0.62</v>
      </c>
      <c r="D234" s="29">
        <f>IF(COUNT(B234:C234)=2,(B234+C234)/2,"")</f>
        <v/>
      </c>
      <c r="E234" s="28" t="n">
        <v>0.32</v>
      </c>
      <c r="F234" s="28" t="n">
        <v>0.36</v>
      </c>
      <c r="G234" s="29">
        <f>IF(COUNT(E234:F234)=2,(E234+F234)/2,"")</f>
        <v/>
      </c>
      <c r="H234" s="29">
        <f>IF(AND(ISNUMBER(D234),ISNUMBER(G234)),D234+G234,"")</f>
        <v/>
      </c>
      <c r="I234" s="30">
        <f>IFERROR(D234/H234,"")</f>
        <v/>
      </c>
      <c r="J234" s="31">
        <f>IF(AND(ISNUMBER(D234),ISNUMBER(G234)),D234-G234,"")</f>
        <v/>
      </c>
      <c r="K234" s="46" t="n">
        <v>0</v>
      </c>
      <c r="L234" s="46" t="n">
        <v>1144</v>
      </c>
      <c r="M234" s="38" t="inlineStr">
        <is>
          <t>21 Jan</t>
        </is>
      </c>
    </row>
    <row r="235">
      <c r="A235" s="39" t="n">
        <v>46044</v>
      </c>
      <c r="B235" s="16" t="n">
        <v>0.6</v>
      </c>
      <c r="C235" s="16" t="n">
        <v>0.66</v>
      </c>
      <c r="D235" s="17">
        <f>IF(COUNT(B235:C235)=2,(B235+C235)/2,"")</f>
        <v/>
      </c>
      <c r="E235" s="16" t="n">
        <v>0.32</v>
      </c>
      <c r="F235" s="16" t="n">
        <v>0.36</v>
      </c>
      <c r="G235" s="17">
        <f>IF(COUNT(E235:F235)=2,(E235+F235)/2,"")</f>
        <v/>
      </c>
      <c r="H235" s="17">
        <f>IF(AND(ISNUMBER(D235),ISNUMBER(G235)),D235+G235,"")</f>
        <v/>
      </c>
      <c r="I235" s="20">
        <f>IFERROR(D235/H235,"")</f>
        <v/>
      </c>
      <c r="J235" s="18">
        <f>IF(AND(ISNUMBER(D235),ISNUMBER(G235)),D235-G235,"")</f>
        <v/>
      </c>
      <c r="K235" s="45" t="n">
        <v>0</v>
      </c>
      <c r="L235" s="45" t="n">
        <v>1144</v>
      </c>
      <c r="M235" s="26" t="inlineStr">
        <is>
          <t>22 Jan</t>
        </is>
      </c>
    </row>
    <row r="236">
      <c r="A236" s="41" t="n">
        <v>46045</v>
      </c>
      <c r="B236" s="28" t="n">
        <v>0.6</v>
      </c>
      <c r="C236" s="28" t="n">
        <v>0.66</v>
      </c>
      <c r="D236" s="29">
        <f>IF(COUNT(B236:C236)=2,(B236+C236)/2,"")</f>
        <v/>
      </c>
      <c r="E236" s="28" t="n">
        <v>0.32</v>
      </c>
      <c r="F236" s="28" t="n">
        <v>0.36</v>
      </c>
      <c r="G236" s="29">
        <f>IF(COUNT(E236:F236)=2,(E236+F236)/2,"")</f>
        <v/>
      </c>
      <c r="H236" s="29">
        <f>IF(AND(ISNUMBER(D236),ISNUMBER(G236)),D236+G236,"")</f>
        <v/>
      </c>
      <c r="I236" s="30">
        <f>IFERROR(D236/H236,"")</f>
        <v/>
      </c>
      <c r="J236" s="31">
        <f>IF(AND(ISNUMBER(D236),ISNUMBER(G236)),D236-G236,"")</f>
        <v/>
      </c>
      <c r="K236" s="46" t="n">
        <v>0</v>
      </c>
      <c r="L236" s="46" t="n">
        <v>1144</v>
      </c>
      <c r="M236" s="38" t="inlineStr">
        <is>
          <t>23 Jan</t>
        </is>
      </c>
    </row>
    <row r="237">
      <c r="A237" s="39" t="n">
        <v>46046</v>
      </c>
      <c r="B237" s="16" t="n">
        <v>0.6</v>
      </c>
      <c r="C237" s="16" t="n">
        <v>0.66</v>
      </c>
      <c r="D237" s="17">
        <f>IF(COUNT(B237:C237)=2,(B237+C237)/2,"")</f>
        <v/>
      </c>
      <c r="E237" s="16" t="n">
        <v>0.32</v>
      </c>
      <c r="F237" s="16" t="n">
        <v>0.36</v>
      </c>
      <c r="G237" s="17">
        <f>IF(COUNT(E237:F237)=2,(E237+F237)/2,"")</f>
        <v/>
      </c>
      <c r="H237" s="17">
        <f>IF(AND(ISNUMBER(D237),ISNUMBER(G237)),D237+G237,"")</f>
        <v/>
      </c>
      <c r="I237" s="20">
        <f>IFERROR(D237/H237,"")</f>
        <v/>
      </c>
      <c r="J237" s="18">
        <f>IF(AND(ISNUMBER(D237),ISNUMBER(G237)),D237-G237,"")</f>
        <v/>
      </c>
      <c r="K237" s="45" t="n">
        <v>0</v>
      </c>
      <c r="L237" s="45" t="n">
        <v>1144</v>
      </c>
      <c r="M237" s="26" t="inlineStr">
        <is>
          <t>24 Jan</t>
        </is>
      </c>
    </row>
    <row r="238">
      <c r="A238" s="41" t="n">
        <v>46047</v>
      </c>
      <c r="B238" s="28" t="n">
        <v>0.6</v>
      </c>
      <c r="C238" s="28" t="n">
        <v>0.66</v>
      </c>
      <c r="D238" s="29">
        <f>IF(COUNT(B238:C238)=2,(B238+C238)/2,"")</f>
        <v/>
      </c>
      <c r="E238" s="28" t="n">
        <v>0.32</v>
      </c>
      <c r="F238" s="28" t="n">
        <v>0.36</v>
      </c>
      <c r="G238" s="29">
        <f>IF(COUNT(E238:F238)=2,(E238+F238)/2,"")</f>
        <v/>
      </c>
      <c r="H238" s="29">
        <f>IF(AND(ISNUMBER(D238),ISNUMBER(G238)),D238+G238,"")</f>
        <v/>
      </c>
      <c r="I238" s="30">
        <f>IFERROR(D238/H238,"")</f>
        <v/>
      </c>
      <c r="J238" s="31">
        <f>IF(AND(ISNUMBER(D238),ISNUMBER(G238)),D238-G238,"")</f>
        <v/>
      </c>
      <c r="K238" s="46" t="n">
        <v>0</v>
      </c>
      <c r="L238" s="46" t="n">
        <v>1144</v>
      </c>
      <c r="M238" s="38" t="inlineStr">
        <is>
          <t>25 Jan</t>
        </is>
      </c>
    </row>
    <row r="239">
      <c r="A239" s="39" t="n">
        <v>46048</v>
      </c>
      <c r="B239" s="16" t="n">
        <v>0.6</v>
      </c>
      <c r="C239" s="16" t="n">
        <v>0.67</v>
      </c>
      <c r="D239" s="17">
        <f>IF(COUNT(B239:C239)=2,(B239+C239)/2,"")</f>
        <v/>
      </c>
      <c r="E239" s="16" t="n">
        <v>0.32</v>
      </c>
      <c r="F239" s="16" t="n">
        <v>0.36</v>
      </c>
      <c r="G239" s="17">
        <f>IF(COUNT(E239:F239)=2,(E239+F239)/2,"")</f>
        <v/>
      </c>
      <c r="H239" s="17">
        <f>IF(AND(ISNUMBER(D239),ISNUMBER(G239)),D239+G239,"")</f>
        <v/>
      </c>
      <c r="I239" s="20">
        <f>IFERROR(D239/H239,"")</f>
        <v/>
      </c>
      <c r="J239" s="18">
        <f>IF(AND(ISNUMBER(D239),ISNUMBER(G239)),D239-G239,"")</f>
        <v/>
      </c>
      <c r="K239" s="45" t="n">
        <v>408</v>
      </c>
      <c r="L239" s="45" t="n">
        <v>1400</v>
      </c>
      <c r="M239" s="26" t="inlineStr">
        <is>
          <t>26 Jan</t>
        </is>
      </c>
    </row>
    <row r="240">
      <c r="A240" s="41" t="n">
        <v>46049</v>
      </c>
      <c r="B240" s="28" t="n">
        <v>0.61</v>
      </c>
      <c r="C240" s="28" t="n">
        <v>0.67</v>
      </c>
      <c r="D240" s="29">
        <f>IF(COUNT(B240:C240)=2,(B240+C240)/2,"")</f>
        <v/>
      </c>
      <c r="E240" s="28" t="n">
        <v>0.32</v>
      </c>
      <c r="F240" s="28" t="n">
        <v>0.36</v>
      </c>
      <c r="G240" s="29">
        <f>IF(COUNT(E240:F240)=2,(E240+F240)/2,"")</f>
        <v/>
      </c>
      <c r="H240" s="29">
        <f>IF(AND(ISNUMBER(D240),ISNUMBER(G240)),D240+G240,"")</f>
        <v/>
      </c>
      <c r="I240" s="30">
        <f>IFERROR(D240/H240,"")</f>
        <v/>
      </c>
      <c r="J240" s="31">
        <f>IF(AND(ISNUMBER(D240),ISNUMBER(G240)),D240-G240,"")</f>
        <v/>
      </c>
      <c r="K240" s="46" t="n">
        <v>0</v>
      </c>
      <c r="L240" s="46" t="n">
        <v>1400</v>
      </c>
      <c r="M240" s="38" t="inlineStr">
        <is>
          <t>27 Jan</t>
        </is>
      </c>
    </row>
    <row r="241">
      <c r="A241" s="39" t="n">
        <v>46050</v>
      </c>
      <c r="B241" s="16" t="n">
        <v>0.6</v>
      </c>
      <c r="C241" s="16" t="n">
        <v>0.67</v>
      </c>
      <c r="D241" s="17">
        <f>IF(COUNT(B241:C241)=2,(B241+C241)/2,"")</f>
        <v/>
      </c>
      <c r="E241" s="16" t="n">
        <v>0.32</v>
      </c>
      <c r="F241" s="16" t="n">
        <v>0.36</v>
      </c>
      <c r="G241" s="17">
        <f>IF(COUNT(E241:F241)=2,(E241+F241)/2,"")</f>
        <v/>
      </c>
      <c r="H241" s="17">
        <f>IF(AND(ISNUMBER(D241),ISNUMBER(G241)),D241+G241,"")</f>
        <v/>
      </c>
      <c r="I241" s="20">
        <f>IFERROR(D241/H241,"")</f>
        <v/>
      </c>
      <c r="J241" s="18">
        <f>IF(AND(ISNUMBER(D241),ISNUMBER(G241)),D241-G241,"")</f>
        <v/>
      </c>
      <c r="K241" s="45" t="n">
        <v>26</v>
      </c>
      <c r="L241" s="45" t="n">
        <v>1400</v>
      </c>
      <c r="M241" s="26" t="inlineStr">
        <is>
          <t>28 Jan</t>
        </is>
      </c>
    </row>
    <row r="242">
      <c r="A242" s="41" t="n">
        <v>46051</v>
      </c>
      <c r="B242" s="28" t="n">
        <v>0.6</v>
      </c>
      <c r="C242" s="28" t="n">
        <v>0.67</v>
      </c>
      <c r="D242" s="29">
        <f>IF(COUNT(B242:C242)=2,(B242+C242)/2,"")</f>
        <v/>
      </c>
      <c r="E242" s="28" t="n">
        <v>0.32</v>
      </c>
      <c r="F242" s="28" t="n">
        <v>0.36</v>
      </c>
      <c r="G242" s="29">
        <f>IF(COUNT(E242:F242)=2,(E242+F242)/2,"")</f>
        <v/>
      </c>
      <c r="H242" s="29">
        <f>IF(AND(ISNUMBER(D242),ISNUMBER(G242)),D242+G242,"")</f>
        <v/>
      </c>
      <c r="I242" s="30">
        <f>IFERROR(D242/H242,"")</f>
        <v/>
      </c>
      <c r="J242" s="31">
        <f>IF(AND(ISNUMBER(D242),ISNUMBER(G242)),D242-G242,"")</f>
        <v/>
      </c>
      <c r="K242" s="46" t="n">
        <v>0</v>
      </c>
      <c r="L242" s="46" t="n">
        <v>1400</v>
      </c>
      <c r="M242" s="38" t="inlineStr">
        <is>
          <t>29 Jan</t>
        </is>
      </c>
    </row>
    <row r="243">
      <c r="A243" s="39" t="n">
        <v>46052</v>
      </c>
      <c r="B243" s="16" t="n">
        <v>0.6</v>
      </c>
      <c r="C243" s="16" t="n">
        <v>0.67</v>
      </c>
      <c r="D243" s="17">
        <f>IF(COUNT(B243:C243)=2,(B243+C243)/2,"")</f>
        <v/>
      </c>
      <c r="E243" s="16" t="n">
        <v>0.32</v>
      </c>
      <c r="F243" s="16" t="n">
        <v>0.36</v>
      </c>
      <c r="G243" s="17">
        <f>IF(COUNT(E243:F243)=2,(E243+F243)/2,"")</f>
        <v/>
      </c>
      <c r="H243" s="17">
        <f>IF(AND(ISNUMBER(D243),ISNUMBER(G243)),D243+G243,"")</f>
        <v/>
      </c>
      <c r="I243" s="20">
        <f>IFERROR(D243/H243,"")</f>
        <v/>
      </c>
      <c r="J243" s="18">
        <f>IF(AND(ISNUMBER(D243),ISNUMBER(G243)),D243-G243,"")</f>
        <v/>
      </c>
      <c r="K243" s="45" t="n">
        <v>0</v>
      </c>
      <c r="L243" s="45" t="n">
        <v>1400</v>
      </c>
      <c r="M243" s="26" t="inlineStr">
        <is>
          <t>30 Jan</t>
        </is>
      </c>
    </row>
    <row r="244">
      <c r="A244" s="41" t="n">
        <v>46053</v>
      </c>
      <c r="B244" s="28" t="n">
        <v>0.6</v>
      </c>
      <c r="C244" s="28" t="n">
        <v>0.67</v>
      </c>
      <c r="D244" s="29">
        <f>IF(COUNT(B244:C244)=2,(B244+C244)/2,"")</f>
        <v/>
      </c>
      <c r="E244" s="28" t="n">
        <v>0.32</v>
      </c>
      <c r="F244" s="28" t="n">
        <v>0.36</v>
      </c>
      <c r="G244" s="29">
        <f>IF(COUNT(E244:F244)=2,(E244+F244)/2,"")</f>
        <v/>
      </c>
      <c r="H244" s="29">
        <f>IF(AND(ISNUMBER(D244),ISNUMBER(G244)),D244+G244,"")</f>
        <v/>
      </c>
      <c r="I244" s="30">
        <f>IFERROR(D244/H244,"")</f>
        <v/>
      </c>
      <c r="J244" s="31">
        <f>IF(AND(ISNUMBER(D244),ISNUMBER(G244)),D244-G244,"")</f>
        <v/>
      </c>
      <c r="K244" s="46" t="n">
        <v>0</v>
      </c>
      <c r="L244" s="46" t="n">
        <v>1400</v>
      </c>
      <c r="M244" s="38" t="inlineStr">
        <is>
          <t>31 Jan</t>
        </is>
      </c>
    </row>
    <row r="245">
      <c r="A245" s="39" t="n">
        <v>46054</v>
      </c>
      <c r="B245" s="16" t="n">
        <v>0.62</v>
      </c>
      <c r="C245" s="16" t="n">
        <v>0.67</v>
      </c>
      <c r="D245" s="17">
        <f>IF(COUNT(B245:C245)=2,(B245+C245)/2,"")</f>
        <v/>
      </c>
      <c r="E245" s="16" t="n">
        <v>0.32</v>
      </c>
      <c r="F245" s="16" t="n">
        <v>0.36</v>
      </c>
      <c r="G245" s="17">
        <f>IF(COUNT(E245:F245)=2,(E245+F245)/2,"")</f>
        <v/>
      </c>
      <c r="H245" s="17">
        <f>IF(AND(ISNUMBER(D245),ISNUMBER(G245)),D245+G245,"")</f>
        <v/>
      </c>
      <c r="I245" s="20">
        <f>IFERROR(D245/H245,"")</f>
        <v/>
      </c>
      <c r="J245" s="18">
        <f>IF(AND(ISNUMBER(D245),ISNUMBER(G245)),D245-G245,"")</f>
        <v/>
      </c>
      <c r="K245" s="45" t="n">
        <v>0</v>
      </c>
      <c r="L245" s="45" t="n">
        <v>1400</v>
      </c>
      <c r="M245" s="26" t="inlineStr">
        <is>
          <t>01 Feb</t>
        </is>
      </c>
    </row>
    <row r="246">
      <c r="A246" s="41" t="n">
        <v>46055</v>
      </c>
      <c r="B246" s="28" t="n">
        <v>0.62</v>
      </c>
      <c r="C246" s="28" t="n">
        <v>0.67</v>
      </c>
      <c r="D246" s="29">
        <f>IF(COUNT(B246:C246)=2,(B246+C246)/2,"")</f>
        <v/>
      </c>
      <c r="E246" s="28" t="n">
        <v>0.32</v>
      </c>
      <c r="F246" s="28" t="n">
        <v>0.36</v>
      </c>
      <c r="G246" s="29">
        <f>IF(COUNT(E246:F246)=2,(E246+F246)/2,"")</f>
        <v/>
      </c>
      <c r="H246" s="29">
        <f>IF(AND(ISNUMBER(D246),ISNUMBER(G246)),D246+G246,"")</f>
        <v/>
      </c>
      <c r="I246" s="30">
        <f>IFERROR(D246/H246,"")</f>
        <v/>
      </c>
      <c r="J246" s="31">
        <f>IF(AND(ISNUMBER(D246),ISNUMBER(G246)),D246-G246,"")</f>
        <v/>
      </c>
      <c r="K246" s="46" t="n">
        <v>0</v>
      </c>
      <c r="L246" s="46" t="n">
        <v>1400</v>
      </c>
      <c r="M246" s="38" t="inlineStr">
        <is>
          <t>02 Feb</t>
        </is>
      </c>
    </row>
    <row r="247">
      <c r="A247" s="39" t="n">
        <v>46056</v>
      </c>
      <c r="B247" s="16" t="n">
        <v>0.62</v>
      </c>
      <c r="C247" s="16" t="n">
        <v>0.67</v>
      </c>
      <c r="D247" s="17">
        <f>IF(COUNT(B247:C247)=2,(B247+C247)/2,"")</f>
        <v/>
      </c>
      <c r="E247" s="16" t="n">
        <v>0.32</v>
      </c>
      <c r="F247" s="16" t="n">
        <v>0.36</v>
      </c>
      <c r="G247" s="17">
        <f>IF(COUNT(E247:F247)=2,(E247+F247)/2,"")</f>
        <v/>
      </c>
      <c r="H247" s="17">
        <f>IF(AND(ISNUMBER(D247),ISNUMBER(G247)),D247+G247,"")</f>
        <v/>
      </c>
      <c r="I247" s="20">
        <f>IFERROR(D247/H247,"")</f>
        <v/>
      </c>
      <c r="J247" s="18">
        <f>IF(AND(ISNUMBER(D247),ISNUMBER(G247)),D247-G247,"")</f>
        <v/>
      </c>
      <c r="K247" s="45" t="n">
        <v>0</v>
      </c>
      <c r="L247" s="45" t="n">
        <v>1400</v>
      </c>
      <c r="M247" s="26" t="inlineStr">
        <is>
          <t>03 Feb</t>
        </is>
      </c>
    </row>
    <row r="248">
      <c r="A248" s="41" t="n">
        <v>46057</v>
      </c>
      <c r="B248" s="28" t="n">
        <v>0.62</v>
      </c>
      <c r="C248" s="28" t="n">
        <v>0.67</v>
      </c>
      <c r="D248" s="29">
        <f>IF(COUNT(B248:C248)=2,(B248+C248)/2,"")</f>
        <v/>
      </c>
      <c r="E248" s="28" t="n">
        <v>0.32</v>
      </c>
      <c r="F248" s="28" t="n">
        <v>0.36</v>
      </c>
      <c r="G248" s="29">
        <f>IF(COUNT(E248:F248)=2,(E248+F248)/2,"")</f>
        <v/>
      </c>
      <c r="H248" s="29">
        <f>IF(AND(ISNUMBER(D248),ISNUMBER(G248)),D248+G248,"")</f>
        <v/>
      </c>
      <c r="I248" s="30">
        <f>IFERROR(D248/H248,"")</f>
        <v/>
      </c>
      <c r="J248" s="31">
        <f>IF(AND(ISNUMBER(D248),ISNUMBER(G248)),D248-G248,"")</f>
        <v/>
      </c>
      <c r="K248" s="46" t="n">
        <v>0</v>
      </c>
      <c r="L248" s="46" t="n">
        <v>1400</v>
      </c>
      <c r="M248" s="38" t="inlineStr">
        <is>
          <t>04 Feb</t>
        </is>
      </c>
    </row>
    <row r="249">
      <c r="A249" s="39" t="n">
        <v>46058</v>
      </c>
      <c r="B249" s="16" t="n">
        <v>0.62</v>
      </c>
      <c r="C249" s="16" t="n">
        <v>0.67</v>
      </c>
      <c r="D249" s="17">
        <f>IF(COUNT(B249:C249)=2,(B249+C249)/2,"")</f>
        <v/>
      </c>
      <c r="E249" s="16" t="n">
        <v>0.32</v>
      </c>
      <c r="F249" s="16" t="n">
        <v>0.36</v>
      </c>
      <c r="G249" s="17">
        <f>IF(COUNT(E249:F249)=2,(E249+F249)/2,"")</f>
        <v/>
      </c>
      <c r="H249" s="17">
        <f>IF(AND(ISNUMBER(D249),ISNUMBER(G249)),D249+G249,"")</f>
        <v/>
      </c>
      <c r="I249" s="20">
        <f>IFERROR(D249/H249,"")</f>
        <v/>
      </c>
      <c r="J249" s="18">
        <f>IF(AND(ISNUMBER(D249),ISNUMBER(G249)),D249-G249,"")</f>
        <v/>
      </c>
      <c r="K249" s="45" t="n">
        <v>0</v>
      </c>
      <c r="L249" s="45" t="n">
        <v>1400</v>
      </c>
      <c r="M249" s="26" t="inlineStr">
        <is>
          <t>05 Feb</t>
        </is>
      </c>
    </row>
    <row r="250">
      <c r="A250" s="41" t="n">
        <v>46059</v>
      </c>
      <c r="B250" s="28" t="n">
        <v>0.62</v>
      </c>
      <c r="C250" s="28" t="n">
        <v>0.67</v>
      </c>
      <c r="D250" s="29">
        <f>IF(COUNT(B250:C250)=2,(B250+C250)/2,"")</f>
        <v/>
      </c>
      <c r="E250" s="28" t="n">
        <v>0.32</v>
      </c>
      <c r="F250" s="28" t="n">
        <v>0.36</v>
      </c>
      <c r="G250" s="29">
        <f>IF(COUNT(E250:F250)=2,(E250+F250)/2,"")</f>
        <v/>
      </c>
      <c r="H250" s="29">
        <f>IF(AND(ISNUMBER(D250),ISNUMBER(G250)),D250+G250,"")</f>
        <v/>
      </c>
      <c r="I250" s="30">
        <f>IFERROR(D250/H250,"")</f>
        <v/>
      </c>
      <c r="J250" s="31">
        <f>IF(AND(ISNUMBER(D250),ISNUMBER(G250)),D250-G250,"")</f>
        <v/>
      </c>
      <c r="K250" s="46" t="n">
        <v>40</v>
      </c>
      <c r="L250" s="46" t="n">
        <v>1400</v>
      </c>
      <c r="M250" s="38" t="inlineStr">
        <is>
          <t>06 Feb</t>
        </is>
      </c>
    </row>
    <row r="251">
      <c r="A251" s="39" t="n">
        <v>46060</v>
      </c>
      <c r="B251" s="16" t="n">
        <v>0.62</v>
      </c>
      <c r="C251" s="16" t="n">
        <v>0.67</v>
      </c>
      <c r="D251" s="17">
        <f>IF(COUNT(B251:C251)=2,(B251+C251)/2,"")</f>
        <v/>
      </c>
      <c r="E251" s="16" t="n">
        <v>0.32</v>
      </c>
      <c r="F251" s="16" t="n">
        <v>0.36</v>
      </c>
      <c r="G251" s="17">
        <f>IF(COUNT(E251:F251)=2,(E251+F251)/2,"")</f>
        <v/>
      </c>
      <c r="H251" s="17">
        <f>IF(AND(ISNUMBER(D251),ISNUMBER(G251)),D251+G251,"")</f>
        <v/>
      </c>
      <c r="I251" s="20">
        <f>IFERROR(D251/H251,"")</f>
        <v/>
      </c>
      <c r="J251" s="18">
        <f>IF(AND(ISNUMBER(D251),ISNUMBER(G251)),D251-G251,"")</f>
        <v/>
      </c>
      <c r="K251" s="45" t="n">
        <v>0</v>
      </c>
      <c r="L251" s="45" t="n">
        <v>1400</v>
      </c>
      <c r="M251" s="26" t="inlineStr">
        <is>
          <t>07 Feb</t>
        </is>
      </c>
    </row>
    <row r="252">
      <c r="A252" s="41" t="n">
        <v>46061</v>
      </c>
      <c r="B252" s="28" t="n">
        <v>0.62</v>
      </c>
      <c r="C252" s="28" t="n">
        <v>0.67</v>
      </c>
      <c r="D252" s="29">
        <f>IF(COUNT(B252:C252)=2,(B252+C252)/2,"")</f>
        <v/>
      </c>
      <c r="E252" s="28" t="n">
        <v>0.32</v>
      </c>
      <c r="F252" s="28" t="n">
        <v>0.36</v>
      </c>
      <c r="G252" s="29">
        <f>IF(COUNT(E252:F252)=2,(E252+F252)/2,"")</f>
        <v/>
      </c>
      <c r="H252" s="29">
        <f>IF(AND(ISNUMBER(D252),ISNUMBER(G252)),D252+G252,"")</f>
        <v/>
      </c>
      <c r="I252" s="30">
        <f>IFERROR(D252/H252,"")</f>
        <v/>
      </c>
      <c r="J252" s="31">
        <f>IF(AND(ISNUMBER(D252),ISNUMBER(G252)),D252-G252,"")</f>
        <v/>
      </c>
      <c r="K252" s="46" t="n">
        <v>0</v>
      </c>
      <c r="L252" s="46" t="n">
        <v>1400</v>
      </c>
      <c r="M252" s="38" t="inlineStr">
        <is>
          <t>08 Feb</t>
        </is>
      </c>
    </row>
    <row r="253">
      <c r="A253" s="39" t="n">
        <v>46062</v>
      </c>
      <c r="B253" s="16" t="n">
        <v>0.63</v>
      </c>
      <c r="C253" s="16" t="n">
        <v>0.77</v>
      </c>
      <c r="D253" s="17">
        <f>IF(COUNT(B253:C253)=2,(B253+C253)/2,"")</f>
        <v/>
      </c>
      <c r="E253" s="16" t="n">
        <v>0.33</v>
      </c>
      <c r="F253" s="16" t="n">
        <v>0.47</v>
      </c>
      <c r="G253" s="17">
        <f>IF(COUNT(E253:F253)=2,(E253+F253)/2,"")</f>
        <v/>
      </c>
      <c r="H253" s="17">
        <f>IF(AND(ISNUMBER(D253),ISNUMBER(G253)),D253+G253,"")</f>
        <v/>
      </c>
      <c r="I253" s="20">
        <f>IFERROR(D253/H253,"")</f>
        <v/>
      </c>
      <c r="J253" s="18">
        <f>IF(AND(ISNUMBER(D253),ISNUMBER(G253)),D253-G253,"")</f>
        <v/>
      </c>
      <c r="K253" s="45" t="n">
        <v>154</v>
      </c>
      <c r="L253" s="45" t="n">
        <v>1504</v>
      </c>
      <c r="M253" s="26" t="inlineStr">
        <is>
          <t>09 Feb</t>
        </is>
      </c>
    </row>
    <row r="254">
      <c r="A254" s="41" t="n">
        <v>46063</v>
      </c>
      <c r="B254" s="28" t="n">
        <v>0.62</v>
      </c>
      <c r="C254" s="28" t="n">
        <v>0.91</v>
      </c>
      <c r="D254" s="29">
        <f>IF(COUNT(B254:C254)=2,(B254+C254)/2,"")</f>
        <v/>
      </c>
      <c r="E254" s="28" t="n">
        <v>0.32</v>
      </c>
      <c r="F254" s="28" t="n">
        <v>0.76</v>
      </c>
      <c r="G254" s="29">
        <f>IF(COUNT(E254:F254)=2,(E254+F254)/2,"")</f>
        <v/>
      </c>
      <c r="H254" s="29">
        <f>IF(AND(ISNUMBER(D254),ISNUMBER(G254)),D254+G254,"")</f>
        <v/>
      </c>
      <c r="I254" s="30">
        <f>IFERROR(D254/H254,"")</f>
        <v/>
      </c>
      <c r="J254" s="31">
        <f>IF(AND(ISNUMBER(D254),ISNUMBER(G254)),D254-G254,"")</f>
        <v/>
      </c>
      <c r="K254" s="46" t="n">
        <v>0</v>
      </c>
      <c r="L254" s="46" t="n">
        <v>1504</v>
      </c>
      <c r="M254" s="38" t="inlineStr">
        <is>
          <t>10 Feb</t>
        </is>
      </c>
    </row>
    <row r="255">
      <c r="A255" s="39" t="n">
        <v>46064</v>
      </c>
      <c r="B255" s="16" t="n">
        <v>0.63</v>
      </c>
      <c r="C255" s="16" t="n">
        <v>0.71</v>
      </c>
      <c r="D255" s="17">
        <f>IF(COUNT(B255:C255)=2,(B255+C255)/2,"")</f>
        <v/>
      </c>
      <c r="E255" s="16" t="n">
        <v>0.33</v>
      </c>
      <c r="F255" s="16" t="n">
        <v>0.36</v>
      </c>
      <c r="G255" s="17">
        <f>IF(COUNT(E255:F255)=2,(E255+F255)/2,"")</f>
        <v/>
      </c>
      <c r="H255" s="17">
        <f>IF(AND(ISNUMBER(D255),ISNUMBER(G255)),D255+G255,"")</f>
        <v/>
      </c>
      <c r="I255" s="20">
        <f>IFERROR(D255/H255,"")</f>
        <v/>
      </c>
      <c r="J255" s="18">
        <f>IF(AND(ISNUMBER(D255),ISNUMBER(G255)),D255-G255,"")</f>
        <v/>
      </c>
      <c r="K255" s="45" t="n">
        <v>5</v>
      </c>
      <c r="L255" s="45" t="n">
        <v>1506</v>
      </c>
      <c r="M255" s="26" t="inlineStr">
        <is>
          <t>11 Feb</t>
        </is>
      </c>
    </row>
    <row r="256">
      <c r="A256" s="41" t="n">
        <v>46065</v>
      </c>
      <c r="B256" s="28" t="n">
        <v>0.74</v>
      </c>
      <c r="C256" s="28" t="n">
        <v>0.75</v>
      </c>
      <c r="D256" s="29">
        <f>IF(COUNT(B256:C256)=2,(B256+C256)/2,"")</f>
        <v/>
      </c>
      <c r="E256" s="28" t="n">
        <v>0.21</v>
      </c>
      <c r="F256" s="28" t="n">
        <v>0.27</v>
      </c>
      <c r="G256" s="29">
        <f>IF(COUNT(E256:F256)=2,(E256+F256)/2,"")</f>
        <v/>
      </c>
      <c r="H256" s="29">
        <f>IF(AND(ISNUMBER(D256),ISNUMBER(G256)),D256+G256,"")</f>
        <v/>
      </c>
      <c r="I256" s="30">
        <f>IFERROR(D256/H256,"")</f>
        <v/>
      </c>
      <c r="J256" s="31">
        <f>IF(AND(ISNUMBER(D256),ISNUMBER(G256)),D256-G256,"")</f>
        <v/>
      </c>
      <c r="K256" s="46" t="n">
        <v>1944</v>
      </c>
      <c r="L256" s="46" t="n">
        <v>3237</v>
      </c>
      <c r="M256" s="38" t="inlineStr">
        <is>
          <t>12 Feb</t>
        </is>
      </c>
    </row>
    <row r="257">
      <c r="A257" s="39" t="n">
        <v>46066</v>
      </c>
      <c r="B257" s="16" t="n">
        <v>0.74</v>
      </c>
      <c r="C257" s="16" t="n">
        <v>0.75</v>
      </c>
      <c r="D257" s="17">
        <f>IF(COUNT(B257:C257)=2,(B257+C257)/2,"")</f>
        <v/>
      </c>
      <c r="E257" s="16" t="n">
        <v>0.21</v>
      </c>
      <c r="F257" s="16" t="n">
        <v>0.23</v>
      </c>
      <c r="G257" s="17">
        <f>IF(COUNT(E257:F257)=2,(E257+F257)/2,"")</f>
        <v/>
      </c>
      <c r="H257" s="17">
        <f>IF(AND(ISNUMBER(D257),ISNUMBER(G257)),D257+G257,"")</f>
        <v/>
      </c>
      <c r="I257" s="20">
        <f>IFERROR(D257/H257,"")</f>
        <v/>
      </c>
      <c r="J257" s="18">
        <f>IF(AND(ISNUMBER(D257),ISNUMBER(G257)),D257-G257,"")</f>
        <v/>
      </c>
      <c r="K257" s="45" t="n">
        <v>0</v>
      </c>
      <c r="L257" s="45" t="n">
        <v>3237</v>
      </c>
      <c r="M257" s="26" t="inlineStr">
        <is>
          <t>13 Feb</t>
        </is>
      </c>
    </row>
    <row r="258">
      <c r="A258" s="41" t="n">
        <v>46067</v>
      </c>
      <c r="B258" s="28" t="n">
        <v>0.74</v>
      </c>
      <c r="C258" s="28" t="n">
        <v>0.75</v>
      </c>
      <c r="D258" s="29">
        <f>IF(COUNT(B258:C258)=2,(B258+C258)/2,"")</f>
        <v/>
      </c>
      <c r="E258" s="28" t="n">
        <v>0.21</v>
      </c>
      <c r="F258" s="28" t="n">
        <v>0.23</v>
      </c>
      <c r="G258" s="29">
        <f>IF(COUNT(E258:F258)=2,(E258+F258)/2,"")</f>
        <v/>
      </c>
      <c r="H258" s="29">
        <f>IF(AND(ISNUMBER(D258),ISNUMBER(G258)),D258+G258,"")</f>
        <v/>
      </c>
      <c r="I258" s="30">
        <f>IFERROR(D258/H258,"")</f>
        <v/>
      </c>
      <c r="J258" s="31">
        <f>IF(AND(ISNUMBER(D258),ISNUMBER(G258)),D258-G258,"")</f>
        <v/>
      </c>
      <c r="K258" s="46" t="n">
        <v>9</v>
      </c>
      <c r="L258" s="46" t="n">
        <v>3237</v>
      </c>
      <c r="M258" s="38" t="inlineStr">
        <is>
          <t>14 Feb</t>
        </is>
      </c>
    </row>
    <row r="259">
      <c r="A259" s="39" t="n">
        <v>46068</v>
      </c>
      <c r="B259" s="16" t="n">
        <v>0.73</v>
      </c>
      <c r="C259" s="16" t="n">
        <v>0.74</v>
      </c>
      <c r="D259" s="17">
        <f>IF(COUNT(B259:C259)=2,(B259+C259)/2,"")</f>
        <v/>
      </c>
      <c r="E259" s="16" t="n">
        <v>0.25</v>
      </c>
      <c r="F259" s="16" t="n">
        <v>0.26</v>
      </c>
      <c r="G259" s="17">
        <f>IF(COUNT(E259:F259)=2,(E259+F259)/2,"")</f>
        <v/>
      </c>
      <c r="H259" s="17">
        <f>IF(AND(ISNUMBER(D259),ISNUMBER(G259)),D259+G259,"")</f>
        <v/>
      </c>
      <c r="I259" s="20">
        <f>IFERROR(D259/H259,"")</f>
        <v/>
      </c>
      <c r="J259" s="18">
        <f>IF(AND(ISNUMBER(D259),ISNUMBER(G259)),D259-G259,"")</f>
        <v/>
      </c>
      <c r="K259" s="45" t="n">
        <v>7998</v>
      </c>
      <c r="L259" s="45" t="n">
        <v>6239</v>
      </c>
      <c r="M259" s="26" t="inlineStr">
        <is>
          <t>15 Feb</t>
        </is>
      </c>
    </row>
    <row r="260">
      <c r="A260" s="41" t="n">
        <v>46069</v>
      </c>
      <c r="B260" s="28" t="n">
        <v>0.73</v>
      </c>
      <c r="C260" s="28" t="n">
        <v>0.74</v>
      </c>
      <c r="D260" s="29">
        <f>IF(COUNT(B260:C260)=2,(B260+C260)/2,"")</f>
        <v/>
      </c>
      <c r="E260" s="28" t="n">
        <v>0.26</v>
      </c>
      <c r="F260" s="28" t="n">
        <v>0.27</v>
      </c>
      <c r="G260" s="29">
        <f>IF(COUNT(E260:F260)=2,(E260+F260)/2,"")</f>
        <v/>
      </c>
      <c r="H260" s="29">
        <f>IF(AND(ISNUMBER(D260),ISNUMBER(G260)),D260+G260,"")</f>
        <v/>
      </c>
      <c r="I260" s="30">
        <f>IFERROR(D260/H260,"")</f>
        <v/>
      </c>
      <c r="J260" s="31">
        <f>IF(AND(ISNUMBER(D260),ISNUMBER(G260)),D260-G260,"")</f>
        <v/>
      </c>
      <c r="K260" s="46" t="n">
        <v>163</v>
      </c>
      <c r="L260" s="46" t="n">
        <v>6320</v>
      </c>
      <c r="M260" s="38" t="inlineStr">
        <is>
          <t>16 Feb</t>
        </is>
      </c>
    </row>
    <row r="261">
      <c r="A261" s="39" t="n">
        <v>46070</v>
      </c>
      <c r="B261" s="16" t="n">
        <v>0.73</v>
      </c>
      <c r="C261" s="16" t="n">
        <v>0.74</v>
      </c>
      <c r="D261" s="17">
        <f>IF(COUNT(B261:C261)=2,(B261+C261)/2,"")</f>
        <v/>
      </c>
      <c r="E261" s="16" t="n">
        <v>0.26</v>
      </c>
      <c r="F261" s="16" t="n">
        <v>0.27</v>
      </c>
      <c r="G261" s="17">
        <f>IF(COUNT(E261:F261)=2,(E261+F261)/2,"")</f>
        <v/>
      </c>
      <c r="H261" s="17">
        <f>IF(AND(ISNUMBER(D261),ISNUMBER(G261)),D261+G261,"")</f>
        <v/>
      </c>
      <c r="I261" s="20">
        <f>IFERROR(D261/H261,"")</f>
        <v/>
      </c>
      <c r="J261" s="18">
        <f>IF(AND(ISNUMBER(D261),ISNUMBER(G261)),D261-G261,"")</f>
        <v/>
      </c>
      <c r="K261" s="45" t="n">
        <v>33</v>
      </c>
      <c r="L261" s="45" t="n">
        <v>6320</v>
      </c>
      <c r="M261" s="26" t="inlineStr">
        <is>
          <t>17 Feb</t>
        </is>
      </c>
    </row>
    <row r="262">
      <c r="A262" s="41" t="n">
        <v>46071</v>
      </c>
      <c r="B262" s="28" t="n">
        <v>0.68</v>
      </c>
      <c r="C262" s="28" t="n">
        <v>0.72</v>
      </c>
      <c r="D262" s="29">
        <f>IF(COUNT(B262:C262)=2,(B262+C262)/2,"")</f>
        <v/>
      </c>
      <c r="E262" s="28" t="n">
        <v>0.26</v>
      </c>
      <c r="F262" s="28" t="n">
        <v>0.27</v>
      </c>
      <c r="G262" s="29">
        <f>IF(COUNT(E262:F262)=2,(E262+F262)/2,"")</f>
        <v/>
      </c>
      <c r="H262" s="29">
        <f>IF(AND(ISNUMBER(D262),ISNUMBER(G262)),D262+G262,"")</f>
        <v/>
      </c>
      <c r="I262" s="30">
        <f>IFERROR(D262/H262,"")</f>
        <v/>
      </c>
      <c r="J262" s="31">
        <f>IF(AND(ISNUMBER(D262),ISNUMBER(G262)),D262-G262,"")</f>
        <v/>
      </c>
      <c r="K262" s="46" t="n">
        <v>1907</v>
      </c>
      <c r="L262" s="46" t="n">
        <v>6308</v>
      </c>
      <c r="M262" s="38" t="inlineStr">
        <is>
          <t>18 Feb</t>
        </is>
      </c>
    </row>
    <row r="263">
      <c r="A263" s="39" t="n">
        <v>46072</v>
      </c>
      <c r="B263" s="16" t="n">
        <v>0.7</v>
      </c>
      <c r="C263" s="16" t="n">
        <v>0.75</v>
      </c>
      <c r="D263" s="17">
        <f>IF(COUNT(B263:C263)=2,(B263+C263)/2,"")</f>
        <v/>
      </c>
      <c r="E263" s="16" t="n">
        <v>0.23</v>
      </c>
      <c r="F263" s="16" t="n">
        <v>0.26</v>
      </c>
      <c r="G263" s="17">
        <f>IF(COUNT(E263:F263)=2,(E263+F263)/2,"")</f>
        <v/>
      </c>
      <c r="H263" s="17">
        <f>IF(AND(ISNUMBER(D263),ISNUMBER(G263)),D263+G263,"")</f>
        <v/>
      </c>
      <c r="I263" s="20">
        <f>IFERROR(D263/H263,"")</f>
        <v/>
      </c>
      <c r="J263" s="18">
        <f>IF(AND(ISNUMBER(D263),ISNUMBER(G263)),D263-G263,"")</f>
        <v/>
      </c>
      <c r="K263" s="45" t="n">
        <v>541</v>
      </c>
      <c r="L263" s="45" t="n">
        <v>6710</v>
      </c>
      <c r="M263" s="26" t="inlineStr">
        <is>
          <t>19 Feb</t>
        </is>
      </c>
    </row>
    <row r="264">
      <c r="A264" s="41" t="n">
        <v>46073</v>
      </c>
      <c r="B264" s="28" t="n">
        <v>0.7</v>
      </c>
      <c r="C264" s="28" t="n">
        <v>0.74</v>
      </c>
      <c r="D264" s="29">
        <f>IF(COUNT(B264:C264)=2,(B264+C264)/2,"")</f>
        <v/>
      </c>
      <c r="E264" s="28" t="n">
        <v>0.23</v>
      </c>
      <c r="F264" s="28" t="n">
        <v>0.26</v>
      </c>
      <c r="G264" s="29">
        <f>IF(COUNT(E264:F264)=2,(E264+F264)/2,"")</f>
        <v/>
      </c>
      <c r="H264" s="29">
        <f>IF(AND(ISNUMBER(D264),ISNUMBER(G264)),D264+G264,"")</f>
        <v/>
      </c>
      <c r="I264" s="30">
        <f>IFERROR(D264/H264,"")</f>
        <v/>
      </c>
      <c r="J264" s="31">
        <f>IF(AND(ISNUMBER(D264),ISNUMBER(G264)),D264-G264,"")</f>
        <v/>
      </c>
      <c r="K264" s="46" t="n">
        <v>0</v>
      </c>
      <c r="L264" s="46" t="n">
        <v>6710</v>
      </c>
      <c r="M264" s="38" t="inlineStr">
        <is>
          <t>20 Feb</t>
        </is>
      </c>
    </row>
    <row r="265">
      <c r="A265" s="39" t="n">
        <v>46074</v>
      </c>
      <c r="B265" s="16" t="n">
        <v>0.7</v>
      </c>
      <c r="C265" s="16" t="n">
        <v>0.75</v>
      </c>
      <c r="D265" s="17">
        <f>IF(COUNT(B265:C265)=2,(B265+C265)/2,"")</f>
        <v/>
      </c>
      <c r="E265" s="16" t="n">
        <v>0.23</v>
      </c>
      <c r="F265" s="16" t="n">
        <v>0.26</v>
      </c>
      <c r="G265" s="17">
        <f>IF(COUNT(E265:F265)=2,(E265+F265)/2,"")</f>
        <v/>
      </c>
      <c r="H265" s="17">
        <f>IF(AND(ISNUMBER(D265),ISNUMBER(G265)),D265+G265,"")</f>
        <v/>
      </c>
      <c r="I265" s="20">
        <f>IFERROR(D265/H265,"")</f>
        <v/>
      </c>
      <c r="J265" s="18">
        <f>IF(AND(ISNUMBER(D265),ISNUMBER(G265)),D265-G265,"")</f>
        <v/>
      </c>
      <c r="K265" s="45" t="n">
        <v>0</v>
      </c>
      <c r="L265" s="45" t="n">
        <v>6710</v>
      </c>
      <c r="M265" s="26" t="inlineStr">
        <is>
          <t>21 Feb</t>
        </is>
      </c>
    </row>
    <row r="266">
      <c r="A266" s="41" t="n">
        <v>46075</v>
      </c>
      <c r="B266" s="28" t="n">
        <v>0.7</v>
      </c>
      <c r="C266" s="28" t="n">
        <v>0.74</v>
      </c>
      <c r="D266" s="29">
        <f>IF(COUNT(B266:C266)=2,(B266+C266)/2,"")</f>
        <v/>
      </c>
      <c r="E266" s="28" t="n">
        <v>0.22</v>
      </c>
      <c r="F266" s="28" t="n">
        <v>0.26</v>
      </c>
      <c r="G266" s="29">
        <f>IF(COUNT(E266:F266)=2,(E266+F266)/2,"")</f>
        <v/>
      </c>
      <c r="H266" s="29">
        <f>IF(AND(ISNUMBER(D266),ISNUMBER(G266)),D266+G266,"")</f>
        <v/>
      </c>
      <c r="I266" s="30">
        <f>IFERROR(D266/H266,"")</f>
        <v/>
      </c>
      <c r="J266" s="31">
        <f>IF(AND(ISNUMBER(D266),ISNUMBER(G266)),D266-G266,"")</f>
        <v/>
      </c>
      <c r="K266" s="46" t="n">
        <v>0</v>
      </c>
      <c r="L266" s="46" t="n">
        <v>6710</v>
      </c>
      <c r="M266" s="38" t="inlineStr">
        <is>
          <t>22 Feb</t>
        </is>
      </c>
    </row>
    <row r="267">
      <c r="A267" s="39" t="n">
        <v>46076</v>
      </c>
      <c r="B267" s="16" t="n">
        <v>0.7</v>
      </c>
      <c r="C267" s="16" t="n">
        <v>0.74</v>
      </c>
      <c r="D267" s="17">
        <f>IF(COUNT(B267:C267)=2,(B267+C267)/2,"")</f>
        <v/>
      </c>
      <c r="E267" s="16" t="n">
        <v>0.22</v>
      </c>
      <c r="F267" s="16" t="n">
        <v>0.26</v>
      </c>
      <c r="G267" s="17">
        <f>IF(COUNT(E267:F267)=2,(E267+F267)/2,"")</f>
        <v/>
      </c>
      <c r="H267" s="17">
        <f>IF(AND(ISNUMBER(D267),ISNUMBER(G267)),D267+G267,"")</f>
        <v/>
      </c>
      <c r="I267" s="20">
        <f>IFERROR(D267/H267,"")</f>
        <v/>
      </c>
      <c r="J267" s="18">
        <f>IF(AND(ISNUMBER(D267),ISNUMBER(G267)),D267-G267,"")</f>
        <v/>
      </c>
      <c r="K267" s="45" t="n">
        <v>0</v>
      </c>
      <c r="L267" s="45" t="n">
        <v>6710</v>
      </c>
      <c r="M267" s="26" t="inlineStr">
        <is>
          <t>23 Feb</t>
        </is>
      </c>
    </row>
    <row r="268">
      <c r="A268" s="41" t="n">
        <v>46077</v>
      </c>
      <c r="B268" s="28" t="n">
        <v>0.7</v>
      </c>
      <c r="C268" s="28" t="n">
        <v>0.74</v>
      </c>
      <c r="D268" s="29">
        <f>IF(COUNT(B268:C268)=2,(B268+C268)/2,"")</f>
        <v/>
      </c>
      <c r="E268" s="28" t="n"/>
      <c r="F268" s="28" t="n"/>
      <c r="G268" s="29">
        <f>IF(COUNT(E268:F268)=2,(E268+F268)/2,"")</f>
        <v/>
      </c>
      <c r="H268" s="29">
        <f>IF(AND(ISNUMBER(D268),ISNUMBER(G268)),D268+G268,"")</f>
        <v/>
      </c>
      <c r="I268" s="30">
        <f>IFERROR(D268/H268,"")</f>
        <v/>
      </c>
      <c r="J268" s="31">
        <f>IF(AND(ISNUMBER(D268),ISNUMBER(G268)),D268-G268,"")</f>
        <v/>
      </c>
      <c r="K268" s="46" t="n">
        <v>0</v>
      </c>
      <c r="L268" s="46" t="n">
        <v>6710</v>
      </c>
      <c r="M268" s="38" t="inlineStr">
        <is>
          <t>24 Feb</t>
        </is>
      </c>
    </row>
    <row r="269">
      <c r="A269" s="39" t="n">
        <v>46078</v>
      </c>
      <c r="B269" s="16" t="n">
        <v>0.6899999999999999</v>
      </c>
      <c r="C269" s="16" t="n">
        <v>0.75</v>
      </c>
      <c r="D269" s="17">
        <f>IF(COUNT(B269:C269)=2,(B269+C269)/2,"")</f>
        <v/>
      </c>
      <c r="E269" s="16" t="n">
        <v>0.22</v>
      </c>
      <c r="F269" s="16" t="n">
        <v>0.26</v>
      </c>
      <c r="G269" s="17">
        <f>IF(COUNT(E269:F269)=2,(E269+F269)/2,"")</f>
        <v/>
      </c>
      <c r="H269" s="17">
        <f>IF(AND(ISNUMBER(D269),ISNUMBER(G269)),D269+G269,"")</f>
        <v/>
      </c>
      <c r="I269" s="20">
        <f>IFERROR(D269/H269,"")</f>
        <v/>
      </c>
      <c r="J269" s="18">
        <f>IF(AND(ISNUMBER(D269),ISNUMBER(G269)),D269-G269,"")</f>
        <v/>
      </c>
      <c r="K269" s="45" t="n">
        <v>55</v>
      </c>
      <c r="L269" s="45" t="n">
        <v>6743</v>
      </c>
      <c r="M269" s="26" t="inlineStr">
        <is>
          <t>25 Feb</t>
        </is>
      </c>
    </row>
    <row r="270">
      <c r="A270" s="41" t="n">
        <v>46079</v>
      </c>
      <c r="B270" s="28" t="n">
        <v>0.6899999999999999</v>
      </c>
      <c r="C270" s="28" t="n">
        <v>0.75</v>
      </c>
      <c r="D270" s="29">
        <f>IF(COUNT(B270:C270)=2,(B270+C270)/2,"")</f>
        <v/>
      </c>
      <c r="E270" s="28" t="n">
        <v>0.22</v>
      </c>
      <c r="F270" s="28" t="n">
        <v>0.26</v>
      </c>
      <c r="G270" s="29">
        <f>IF(COUNT(E270:F270)=2,(E270+F270)/2,"")</f>
        <v/>
      </c>
      <c r="H270" s="29">
        <f>IF(AND(ISNUMBER(D270),ISNUMBER(G270)),D270+G270,"")</f>
        <v/>
      </c>
      <c r="I270" s="30">
        <f>IFERROR(D270/H270,"")</f>
        <v/>
      </c>
      <c r="J270" s="31">
        <f>IF(AND(ISNUMBER(D270),ISNUMBER(G270)),D270-G270,"")</f>
        <v/>
      </c>
      <c r="K270" s="46" t="n">
        <v>46</v>
      </c>
      <c r="L270" s="46" t="n">
        <v>6760</v>
      </c>
      <c r="M270" s="38" t="inlineStr">
        <is>
          <t>26 Feb</t>
        </is>
      </c>
    </row>
    <row r="271">
      <c r="A271" s="39" t="n">
        <v>46080</v>
      </c>
      <c r="B271" s="16" t="n">
        <v>0.6899999999999999</v>
      </c>
      <c r="C271" s="16" t="n">
        <v>0.75</v>
      </c>
      <c r="D271" s="17">
        <f>IF(COUNT(B271:C271)=2,(B271+C271)/2,"")</f>
        <v/>
      </c>
      <c r="E271" s="16" t="n"/>
      <c r="F271" s="16" t="n"/>
      <c r="G271" s="17">
        <f>IF(COUNT(E271:F271)=2,(E271+F271)/2,"")</f>
        <v/>
      </c>
      <c r="H271" s="17">
        <f>IF(AND(ISNUMBER(D271),ISNUMBER(G271)),D271+G271,"")</f>
        <v/>
      </c>
      <c r="I271" s="20">
        <f>IFERROR(D271/H271,"")</f>
        <v/>
      </c>
      <c r="J271" s="18">
        <f>IF(AND(ISNUMBER(D271),ISNUMBER(G271)),D271-G271,"")</f>
        <v/>
      </c>
      <c r="K271" s="45" t="n">
        <v>0</v>
      </c>
      <c r="L271" s="45" t="n">
        <v>6760</v>
      </c>
      <c r="M271" s="26" t="inlineStr">
        <is>
          <t>27 Feb</t>
        </is>
      </c>
    </row>
    <row r="272">
      <c r="A272" s="41" t="n">
        <v>46081</v>
      </c>
      <c r="B272" s="28" t="n">
        <v>0.7</v>
      </c>
      <c r="C272" s="28" t="n">
        <v>0.75</v>
      </c>
      <c r="D272" s="29">
        <f>IF(COUNT(B272:C272)=2,(B272+C272)/2,"")</f>
        <v/>
      </c>
      <c r="E272" s="28" t="n">
        <v>0.24</v>
      </c>
      <c r="F272" s="28" t="n">
        <v>0.27</v>
      </c>
      <c r="G272" s="29">
        <f>IF(COUNT(E272:F272)=2,(E272+F272)/2,"")</f>
        <v/>
      </c>
      <c r="H272" s="29">
        <f>IF(AND(ISNUMBER(D272),ISNUMBER(G272)),D272+G272,"")</f>
        <v/>
      </c>
      <c r="I272" s="30">
        <f>IFERROR(D272/H272,"")</f>
        <v/>
      </c>
      <c r="J272" s="31">
        <f>IF(AND(ISNUMBER(D272),ISNUMBER(G272)),D272-G272,"")</f>
        <v/>
      </c>
      <c r="K272" s="46" t="n">
        <v>18</v>
      </c>
      <c r="L272" s="46" t="n">
        <v>6760</v>
      </c>
      <c r="M272" s="38" t="inlineStr">
        <is>
          <t>28 Feb</t>
        </is>
      </c>
    </row>
    <row r="273">
      <c r="A273" s="39" t="n">
        <v>46082</v>
      </c>
      <c r="B273" s="16" t="n">
        <v>0.7</v>
      </c>
      <c r="C273" s="16" t="n">
        <v>0.75</v>
      </c>
      <c r="D273" s="17">
        <f>IF(COUNT(B273:C273)=2,(B273+C273)/2,"")</f>
        <v/>
      </c>
      <c r="E273" s="16" t="n">
        <v>0.24</v>
      </c>
      <c r="F273" s="16" t="n">
        <v>0.27</v>
      </c>
      <c r="G273" s="17">
        <f>IF(COUNT(E273:F273)=2,(E273+F273)/2,"")</f>
        <v/>
      </c>
      <c r="H273" s="17">
        <f>IF(AND(ISNUMBER(D273),ISNUMBER(G273)),D273+G273,"")</f>
        <v/>
      </c>
      <c r="I273" s="20">
        <f>IFERROR(D273/H273,"")</f>
        <v/>
      </c>
      <c r="J273" s="18">
        <f>IF(AND(ISNUMBER(D273),ISNUMBER(G273)),D273-G273,"")</f>
        <v/>
      </c>
      <c r="K273" s="45" t="n">
        <v>0</v>
      </c>
      <c r="L273" s="45" t="n">
        <v>6760</v>
      </c>
      <c r="M273" s="26" t="inlineStr">
        <is>
          <t>01 Mar</t>
        </is>
      </c>
    </row>
    <row r="274">
      <c r="A274" s="41" t="n">
        <v>46083</v>
      </c>
      <c r="B274" s="28" t="n">
        <v>0.7</v>
      </c>
      <c r="C274" s="28" t="n">
        <v>0.74</v>
      </c>
      <c r="D274" s="29">
        <f>IF(COUNT(B274:C274)=2,(B274+C274)/2,"")</f>
        <v/>
      </c>
      <c r="E274" s="28" t="n">
        <v>0.24</v>
      </c>
      <c r="F274" s="28" t="n">
        <v>0.27</v>
      </c>
      <c r="G274" s="29">
        <f>IF(COUNT(E274:F274)=2,(E274+F274)/2,"")</f>
        <v/>
      </c>
      <c r="H274" s="29">
        <f>IF(AND(ISNUMBER(D274),ISNUMBER(G274)),D274+G274,"")</f>
        <v/>
      </c>
      <c r="I274" s="30">
        <f>IFERROR(D274/H274,"")</f>
        <v/>
      </c>
      <c r="J274" s="31">
        <f>IF(AND(ISNUMBER(D274),ISNUMBER(G274)),D274-G274,"")</f>
        <v/>
      </c>
      <c r="K274" s="46" t="n">
        <v>0</v>
      </c>
      <c r="L274" s="46" t="n">
        <v>6760</v>
      </c>
      <c r="M274" s="38" t="inlineStr">
        <is>
          <t>02 Mar</t>
        </is>
      </c>
    </row>
    <row r="275">
      <c r="A275" s="39" t="n">
        <v>46084</v>
      </c>
      <c r="B275" s="16" t="n">
        <v>0.7</v>
      </c>
      <c r="C275" s="16" t="n">
        <v>0.74</v>
      </c>
      <c r="D275" s="17">
        <f>IF(COUNT(B275:C275)=2,(B275+C275)/2,"")</f>
        <v/>
      </c>
      <c r="E275" s="16" t="n"/>
      <c r="F275" s="16" t="n"/>
      <c r="G275" s="17">
        <f>IF(COUNT(E275:F275)=2,(E275+F275)/2,"")</f>
        <v/>
      </c>
      <c r="H275" s="17">
        <f>IF(AND(ISNUMBER(D275),ISNUMBER(G275)),D275+G275,"")</f>
        <v/>
      </c>
      <c r="I275" s="20">
        <f>IFERROR(D275/H275,"")</f>
        <v/>
      </c>
      <c r="J275" s="18">
        <f>IF(AND(ISNUMBER(D275),ISNUMBER(G275)),D275-G275,"")</f>
        <v/>
      </c>
      <c r="K275" s="45" t="n">
        <v>0</v>
      </c>
      <c r="L275" s="45" t="n">
        <v>6760</v>
      </c>
      <c r="M275" s="26" t="inlineStr">
        <is>
          <t>03 Mar</t>
        </is>
      </c>
    </row>
    <row r="276">
      <c r="A276" s="41" t="n">
        <v>46085</v>
      </c>
      <c r="B276" s="28" t="n">
        <v>0.6899999999999999</v>
      </c>
      <c r="C276" s="28" t="n">
        <v>0.73</v>
      </c>
      <c r="D276" s="29">
        <f>IF(COUNT(B276:C276)=2,(B276+C276)/2,"")</f>
        <v/>
      </c>
      <c r="E276" s="28" t="n">
        <v>0.24</v>
      </c>
      <c r="F276" s="28" t="n">
        <v>0.28</v>
      </c>
      <c r="G276" s="29">
        <f>IF(COUNT(E276:F276)=2,(E276+F276)/2,"")</f>
        <v/>
      </c>
      <c r="H276" s="29">
        <f>IF(AND(ISNUMBER(D276),ISNUMBER(G276)),D276+G276,"")</f>
        <v/>
      </c>
      <c r="I276" s="30">
        <f>IFERROR(D276/H276,"")</f>
        <v/>
      </c>
      <c r="J276" s="31">
        <f>IF(AND(ISNUMBER(D276),ISNUMBER(G276)),D276-G276,"")</f>
        <v/>
      </c>
      <c r="K276" s="46" t="n">
        <v>262</v>
      </c>
      <c r="L276" s="46" t="n">
        <v>6760</v>
      </c>
      <c r="M276" s="38" t="inlineStr">
        <is>
          <t>04 Mar</t>
        </is>
      </c>
    </row>
    <row r="277">
      <c r="A277" s="39" t="n">
        <v>46086</v>
      </c>
      <c r="B277" s="16" t="n">
        <v>0.6899999999999999</v>
      </c>
      <c r="C277" s="16" t="n">
        <v>0.73</v>
      </c>
      <c r="D277" s="17">
        <f>IF(COUNT(B277:C277)=2,(B277+C277)/2,"")</f>
        <v/>
      </c>
      <c r="E277" s="16" t="n">
        <v>0.27</v>
      </c>
      <c r="F277" s="16" t="n">
        <v>0.28</v>
      </c>
      <c r="G277" s="17">
        <f>IF(COUNT(E277:F277)=2,(E277+F277)/2,"")</f>
        <v/>
      </c>
      <c r="H277" s="17">
        <f>IF(AND(ISNUMBER(D277),ISNUMBER(G277)),D277+G277,"")</f>
        <v/>
      </c>
      <c r="I277" s="20">
        <f>IFERROR(D277/H277,"")</f>
        <v/>
      </c>
      <c r="J277" s="18">
        <f>IF(AND(ISNUMBER(D277),ISNUMBER(G277)),D277-G277,"")</f>
        <v/>
      </c>
      <c r="K277" s="45" t="n">
        <v>4</v>
      </c>
      <c r="L277" s="45" t="n">
        <v>6760</v>
      </c>
      <c r="M277" s="26" t="inlineStr">
        <is>
          <t>05 Mar</t>
        </is>
      </c>
    </row>
    <row r="278">
      <c r="A278" s="41" t="n">
        <v>46087</v>
      </c>
      <c r="B278" s="28" t="n">
        <v>0.6899999999999999</v>
      </c>
      <c r="C278" s="28" t="n">
        <v>0.74</v>
      </c>
      <c r="D278" s="29">
        <f>IF(COUNT(B278:C278)=2,(B278+C278)/2,"")</f>
        <v/>
      </c>
      <c r="E278" s="28" t="n">
        <v>0.24</v>
      </c>
      <c r="F278" s="28" t="n">
        <v>0.28</v>
      </c>
      <c r="G278" s="29">
        <f>IF(COUNT(E278:F278)=2,(E278+F278)/2,"")</f>
        <v/>
      </c>
      <c r="H278" s="29">
        <f>IF(AND(ISNUMBER(D278),ISNUMBER(G278)),D278+G278,"")</f>
        <v/>
      </c>
      <c r="I278" s="30">
        <f>IFERROR(D278/H278,"")</f>
        <v/>
      </c>
      <c r="J278" s="31">
        <f>IF(AND(ISNUMBER(D278),ISNUMBER(G278)),D278-G278,"")</f>
        <v/>
      </c>
      <c r="K278" s="46" t="n">
        <v>0</v>
      </c>
      <c r="L278" s="46" t="n">
        <v>6760</v>
      </c>
      <c r="M278" s="38" t="inlineStr">
        <is>
          <t>06 Mar</t>
        </is>
      </c>
    </row>
    <row r="279">
      <c r="A279" s="39" t="n">
        <v>46088</v>
      </c>
      <c r="B279" s="16" t="n">
        <v>0.68</v>
      </c>
      <c r="C279" s="16" t="n">
        <v>0.73</v>
      </c>
      <c r="D279" s="17">
        <f>IF(COUNT(B279:C279)=2,(B279+C279)/2,"")</f>
        <v/>
      </c>
      <c r="E279" s="16" t="n">
        <v>0.22</v>
      </c>
      <c r="F279" s="16" t="n">
        <v>0.27</v>
      </c>
      <c r="G279" s="17">
        <f>IF(COUNT(E279:F279)=2,(E279+F279)/2,"")</f>
        <v/>
      </c>
      <c r="H279" s="17">
        <f>IF(AND(ISNUMBER(D279),ISNUMBER(G279)),D279+G279,"")</f>
        <v/>
      </c>
      <c r="I279" s="20">
        <f>IFERROR(D279/H279,"")</f>
        <v/>
      </c>
      <c r="J279" s="18">
        <f>IF(AND(ISNUMBER(D279),ISNUMBER(G279)),D279-G279,"")</f>
        <v/>
      </c>
      <c r="K279" s="45" t="n">
        <v>34</v>
      </c>
      <c r="L279" s="45" t="n">
        <v>6760</v>
      </c>
      <c r="M279" s="26" t="inlineStr">
        <is>
          <t>07 Mar</t>
        </is>
      </c>
    </row>
    <row r="280">
      <c r="A280" s="41" t="n">
        <v>46089</v>
      </c>
      <c r="B280" s="28" t="n">
        <v>0.6899999999999999</v>
      </c>
      <c r="C280" s="28" t="n">
        <v>0.74</v>
      </c>
      <c r="D280" s="29">
        <f>IF(COUNT(B280:C280)=2,(B280+C280)/2,"")</f>
        <v/>
      </c>
      <c r="E280" s="28" t="n">
        <v>0.22</v>
      </c>
      <c r="F280" s="28" t="n">
        <v>0.27</v>
      </c>
      <c r="G280" s="29">
        <f>IF(COUNT(E280:F280)=2,(E280+F280)/2,"")</f>
        <v/>
      </c>
      <c r="H280" s="29">
        <f>IF(AND(ISNUMBER(D280),ISNUMBER(G280)),D280+G280,"")</f>
        <v/>
      </c>
      <c r="I280" s="30">
        <f>IFERROR(D280/H280,"")</f>
        <v/>
      </c>
      <c r="J280" s="31">
        <f>IF(AND(ISNUMBER(D280),ISNUMBER(G280)),D280-G280,"")</f>
        <v/>
      </c>
      <c r="K280" s="46" t="n">
        <v>262</v>
      </c>
      <c r="L280" s="46" t="n">
        <v>6760</v>
      </c>
      <c r="M280" s="38" t="inlineStr">
        <is>
          <t>08 Mar</t>
        </is>
      </c>
    </row>
    <row r="281">
      <c r="A281" s="39" t="n">
        <v>46090</v>
      </c>
      <c r="B281" s="16" t="n">
        <v>0.6899999999999999</v>
      </c>
      <c r="C281" s="16" t="n">
        <v>0.74</v>
      </c>
      <c r="D281" s="17">
        <f>IF(COUNT(B281:C281)=2,(B281+C281)/2,"")</f>
        <v/>
      </c>
      <c r="E281" s="16" t="n">
        <v>0.22</v>
      </c>
      <c r="F281" s="16" t="n">
        <v>0.27</v>
      </c>
      <c r="G281" s="17">
        <f>IF(COUNT(E281:F281)=2,(E281+F281)/2,"")</f>
        <v/>
      </c>
      <c r="H281" s="17">
        <f>IF(AND(ISNUMBER(D281),ISNUMBER(G281)),D281+G281,"")</f>
        <v/>
      </c>
      <c r="I281" s="20">
        <f>IFERROR(D281/H281,"")</f>
        <v/>
      </c>
      <c r="J281" s="18">
        <f>IF(AND(ISNUMBER(D281),ISNUMBER(G281)),D281-G281,"")</f>
        <v/>
      </c>
      <c r="K281" s="45" t="n">
        <v>34</v>
      </c>
      <c r="L281" s="45" t="n">
        <v>6793</v>
      </c>
      <c r="M281" s="26" t="inlineStr">
        <is>
          <t>09 Mar</t>
        </is>
      </c>
    </row>
    <row r="282">
      <c r="A282" s="41" t="n">
        <v>46091</v>
      </c>
      <c r="B282" s="28" t="n">
        <v>0.68</v>
      </c>
      <c r="C282" s="28" t="n">
        <v>0.74</v>
      </c>
      <c r="D282" s="29">
        <f>IF(COUNT(B282:C282)=2,(B282+C282)/2,"")</f>
        <v/>
      </c>
      <c r="E282" s="28" t="n"/>
      <c r="F282" s="28" t="n"/>
      <c r="G282" s="29">
        <f>IF(COUNT(E282:F282)=2,(E282+F282)/2,"")</f>
        <v/>
      </c>
      <c r="H282" s="29">
        <f>IF(AND(ISNUMBER(D282),ISNUMBER(G282)),D282+G282,"")</f>
        <v/>
      </c>
      <c r="I282" s="30">
        <f>IFERROR(D282/H282,"")</f>
        <v/>
      </c>
      <c r="J282" s="31">
        <f>IF(AND(ISNUMBER(D282),ISNUMBER(G282)),D282-G282,"")</f>
        <v/>
      </c>
      <c r="K282" s="46" t="n">
        <v>0</v>
      </c>
      <c r="L282" s="46" t="n">
        <v>6793</v>
      </c>
      <c r="M282" s="38" t="inlineStr">
        <is>
          <t>10 Mar</t>
        </is>
      </c>
    </row>
    <row r="283">
      <c r="A283" s="39" t="n">
        <v>46092</v>
      </c>
      <c r="B283" s="16" t="n">
        <v>0.6899999999999999</v>
      </c>
      <c r="C283" s="16" t="n">
        <v>0.74</v>
      </c>
      <c r="D283" s="17">
        <f>IF(COUNT(B283:C283)=2,(B283+C283)/2,"")</f>
        <v/>
      </c>
      <c r="E283" s="16" t="n"/>
      <c r="F283" s="16" t="n"/>
      <c r="G283" s="17">
        <f>IF(COUNT(E283:F283)=2,(E283+F283)/2,"")</f>
        <v/>
      </c>
      <c r="H283" s="17">
        <f>IF(AND(ISNUMBER(D283),ISNUMBER(G283)),D283+G283,"")</f>
        <v/>
      </c>
      <c r="I283" s="20">
        <f>IFERROR(D283/H283,"")</f>
        <v/>
      </c>
      <c r="J283" s="18">
        <f>IF(AND(ISNUMBER(D283),ISNUMBER(G283)),D283-G283,"")</f>
        <v/>
      </c>
      <c r="K283" s="45" t="n">
        <v>0</v>
      </c>
      <c r="L283" s="45" t="n">
        <v>6793</v>
      </c>
      <c r="M283" s="26" t="inlineStr">
        <is>
          <t>11 Mar</t>
        </is>
      </c>
    </row>
    <row r="284">
      <c r="A284" s="41" t="n">
        <v>46093</v>
      </c>
      <c r="B284" s="28" t="n">
        <v>0.6899999999999999</v>
      </c>
      <c r="C284" s="28" t="n">
        <v>0.74</v>
      </c>
      <c r="D284" s="29">
        <f>IF(COUNT(B284:C284)=2,(B284+C284)/2,"")</f>
        <v/>
      </c>
      <c r="E284" s="28" t="n">
        <v>0.22</v>
      </c>
      <c r="F284" s="28" t="n">
        <v>0.27</v>
      </c>
      <c r="G284" s="29">
        <f>IF(COUNT(E284:F284)=2,(E284+F284)/2,"")</f>
        <v/>
      </c>
      <c r="H284" s="29">
        <f>IF(AND(ISNUMBER(D284),ISNUMBER(G284)),D284+G284,"")</f>
        <v/>
      </c>
      <c r="I284" s="30">
        <f>IFERROR(D284/H284,"")</f>
        <v/>
      </c>
      <c r="J284" s="31">
        <f>IF(AND(ISNUMBER(D284),ISNUMBER(G284)),D284-G284,"")</f>
        <v/>
      </c>
      <c r="K284" s="46" t="n">
        <v>130</v>
      </c>
      <c r="L284" s="46" t="n">
        <v>6836</v>
      </c>
      <c r="M284" s="38" t="inlineStr">
        <is>
          <t>12 Mar</t>
        </is>
      </c>
    </row>
    <row r="285">
      <c r="A285" s="39" t="n">
        <v>46094</v>
      </c>
      <c r="B285" s="16" t="n">
        <v>0.73</v>
      </c>
      <c r="C285" s="16" t="n">
        <v>0.74</v>
      </c>
      <c r="D285" s="17">
        <f>IF(COUNT(B285:C285)=2,(B285+C285)/2,"")</f>
        <v/>
      </c>
      <c r="E285" s="16" t="n">
        <v>0.25</v>
      </c>
      <c r="F285" s="16" t="n">
        <v>0.27</v>
      </c>
      <c r="G285" s="17">
        <f>IF(COUNT(E285:F285)=2,(E285+F285)/2,"")</f>
        <v/>
      </c>
      <c r="H285" s="17">
        <f>IF(AND(ISNUMBER(D285),ISNUMBER(G285)),D285+G285,"")</f>
        <v/>
      </c>
      <c r="I285" s="20">
        <f>IFERROR(D285/H285,"")</f>
        <v/>
      </c>
      <c r="J285" s="18">
        <f>IF(AND(ISNUMBER(D285),ISNUMBER(G285)),D285-G285,"")</f>
        <v/>
      </c>
      <c r="K285" s="45" t="n">
        <v>0</v>
      </c>
      <c r="L285" s="45" t="n">
        <v>6836</v>
      </c>
      <c r="M285" s="26" t="inlineStr">
        <is>
          <t>13 Mar</t>
        </is>
      </c>
    </row>
    <row r="286">
      <c r="A286" s="41" t="n">
        <v>46095</v>
      </c>
      <c r="B286" s="28" t="n">
        <v>0.73</v>
      </c>
      <c r="C286" s="28" t="n">
        <v>0.74</v>
      </c>
      <c r="D286" s="29">
        <f>IF(COUNT(B286:C286)=2,(B286+C286)/2,"")</f>
        <v/>
      </c>
      <c r="E286" s="28" t="n"/>
      <c r="F286" s="28" t="n"/>
      <c r="G286" s="29">
        <f>IF(COUNT(E286:F286)=2,(E286+F286)/2,"")</f>
        <v/>
      </c>
      <c r="H286" s="29">
        <f>IF(AND(ISNUMBER(D286),ISNUMBER(G286)),D286+G286,"")</f>
        <v/>
      </c>
      <c r="I286" s="30">
        <f>IFERROR(D286/H286,"")</f>
        <v/>
      </c>
      <c r="J286" s="31">
        <f>IF(AND(ISNUMBER(D286),ISNUMBER(G286)),D286-G286,"")</f>
        <v/>
      </c>
      <c r="K286" s="46" t="n">
        <v>0</v>
      </c>
      <c r="L286" s="46" t="n">
        <v>6836</v>
      </c>
      <c r="M286" s="38" t="inlineStr">
        <is>
          <t>14 Mar</t>
        </is>
      </c>
    </row>
    <row r="287">
      <c r="A287" s="39" t="n">
        <v>46096</v>
      </c>
      <c r="B287" s="16" t="n">
        <v>0.73</v>
      </c>
      <c r="C287" s="16" t="n">
        <v>0.74</v>
      </c>
      <c r="D287" s="17">
        <f>IF(COUNT(B287:C287)=2,(B287+C287)/2,"")</f>
        <v/>
      </c>
      <c r="E287" s="16" t="n"/>
      <c r="F287" s="16" t="n"/>
      <c r="G287" s="17">
        <f>IF(COUNT(E287:F287)=2,(E287+F287)/2,"")</f>
        <v/>
      </c>
      <c r="H287" s="17">
        <f>IF(AND(ISNUMBER(D287),ISNUMBER(G287)),D287+G287,"")</f>
        <v/>
      </c>
      <c r="I287" s="20">
        <f>IFERROR(D287/H287,"")</f>
        <v/>
      </c>
      <c r="J287" s="18">
        <f>IF(AND(ISNUMBER(D287),ISNUMBER(G287)),D287-G287,"")</f>
        <v/>
      </c>
      <c r="K287" s="45" t="n">
        <v>0</v>
      </c>
      <c r="L287" s="45" t="n">
        <v>6836</v>
      </c>
      <c r="M287" s="26" t="inlineStr">
        <is>
          <t>15 Mar</t>
        </is>
      </c>
    </row>
    <row r="288">
      <c r="A288" s="41" t="n">
        <v>46097</v>
      </c>
      <c r="B288" s="28" t="n">
        <v>0.73</v>
      </c>
      <c r="C288" s="28" t="n">
        <v>0.74</v>
      </c>
      <c r="D288" s="29">
        <f>IF(COUNT(B288:C288)=2,(B288+C288)/2,"")</f>
        <v/>
      </c>
      <c r="E288" s="28" t="n">
        <v>0.25</v>
      </c>
      <c r="F288" s="28" t="n">
        <v>0.27</v>
      </c>
      <c r="G288" s="29">
        <f>IF(COUNT(E288:F288)=2,(E288+F288)/2,"")</f>
        <v/>
      </c>
      <c r="H288" s="29">
        <f>IF(AND(ISNUMBER(D288),ISNUMBER(G288)),D288+G288,"")</f>
        <v/>
      </c>
      <c r="I288" s="30">
        <f>IFERROR(D288/H288,"")</f>
        <v/>
      </c>
      <c r="J288" s="31">
        <f>IF(AND(ISNUMBER(D288),ISNUMBER(G288)),D288-G288,"")</f>
        <v/>
      </c>
      <c r="K288" s="46" t="n">
        <v>0</v>
      </c>
      <c r="L288" s="46" t="n">
        <v>6836</v>
      </c>
      <c r="M288" s="38" t="inlineStr">
        <is>
          <t>16 Mar</t>
        </is>
      </c>
    </row>
    <row r="289">
      <c r="A289" s="39" t="n">
        <v>46098</v>
      </c>
      <c r="B289" s="16" t="n">
        <v>0.72</v>
      </c>
      <c r="C289" s="16" t="n">
        <v>0.74</v>
      </c>
      <c r="D289" s="17">
        <f>IF(COUNT(B289:C289)=2,(B289+C289)/2,"")</f>
        <v/>
      </c>
      <c r="E289" s="16" t="n"/>
      <c r="F289" s="16" t="n"/>
      <c r="G289" s="17">
        <f>IF(COUNT(E289:F289)=2,(E289+F289)/2,"")</f>
        <v/>
      </c>
      <c r="H289" s="17">
        <f>IF(AND(ISNUMBER(D289),ISNUMBER(G289)),D289+G289,"")</f>
        <v/>
      </c>
      <c r="I289" s="20">
        <f>IFERROR(D289/H289,"")</f>
        <v/>
      </c>
      <c r="J289" s="18">
        <f>IF(AND(ISNUMBER(D289),ISNUMBER(G289)),D289-G289,"")</f>
        <v/>
      </c>
      <c r="K289" s="45" t="n">
        <v>0</v>
      </c>
      <c r="L289" s="45" t="n">
        <v>6836</v>
      </c>
      <c r="M289" s="26" t="inlineStr">
        <is>
          <t>17 Mar</t>
        </is>
      </c>
    </row>
    <row r="290">
      <c r="A290" s="41" t="n">
        <v>46099</v>
      </c>
      <c r="B290" s="28" t="n">
        <v>0.73</v>
      </c>
      <c r="C290" s="28" t="n">
        <v>0.74</v>
      </c>
      <c r="D290" s="29">
        <f>IF(COUNT(B290:C290)=2,(B290+C290)/2,"")</f>
        <v/>
      </c>
      <c r="E290" s="28" t="n"/>
      <c r="F290" s="28" t="n"/>
      <c r="G290" s="29">
        <f>IF(COUNT(E290:F290)=2,(E290+F290)/2,"")</f>
        <v/>
      </c>
      <c r="H290" s="29">
        <f>IF(AND(ISNUMBER(D290),ISNUMBER(G290)),D290+G290,"")</f>
        <v/>
      </c>
      <c r="I290" s="30">
        <f>IFERROR(D290/H290,"")</f>
        <v/>
      </c>
      <c r="J290" s="31">
        <f>IF(AND(ISNUMBER(D290),ISNUMBER(G290)),D290-G290,"")</f>
        <v/>
      </c>
      <c r="K290" s="46" t="n">
        <v>0</v>
      </c>
      <c r="L290" s="46" t="n">
        <v>6836</v>
      </c>
      <c r="M290" s="38" t="inlineStr">
        <is>
          <t>18 Mar</t>
        </is>
      </c>
    </row>
    <row r="291">
      <c r="A291" s="39" t="n">
        <v>46100</v>
      </c>
      <c r="B291" s="16" t="n">
        <v>0.73</v>
      </c>
      <c r="C291" s="16" t="n">
        <v>0.74</v>
      </c>
      <c r="D291" s="17">
        <f>IF(COUNT(B291:C291)=2,(B291+C291)/2,"")</f>
        <v/>
      </c>
      <c r="E291" s="16" t="n"/>
      <c r="F291" s="16" t="n"/>
      <c r="G291" s="17">
        <f>IF(COUNT(E291:F291)=2,(E291+F291)/2,"")</f>
        <v/>
      </c>
      <c r="H291" s="17">
        <f>IF(AND(ISNUMBER(D291),ISNUMBER(G291)),D291+G291,"")</f>
        <v/>
      </c>
      <c r="I291" s="20">
        <f>IFERROR(D291/H291,"")</f>
        <v/>
      </c>
      <c r="J291" s="18">
        <f>IF(AND(ISNUMBER(D291),ISNUMBER(G291)),D291-G291,"")</f>
        <v/>
      </c>
      <c r="K291" s="45" t="n">
        <v>0</v>
      </c>
      <c r="L291" s="45" t="n">
        <v>6836</v>
      </c>
      <c r="M291" s="26" t="inlineStr">
        <is>
          <t>19 Mar</t>
        </is>
      </c>
    </row>
    <row r="292">
      <c r="A292" s="41" t="n">
        <v>46101</v>
      </c>
      <c r="B292" s="28" t="n">
        <v>0.73</v>
      </c>
      <c r="C292" s="28" t="n">
        <v>0.74</v>
      </c>
      <c r="D292" s="29">
        <f>IF(COUNT(B292:C292)=2,(B292+C292)/2,"")</f>
        <v/>
      </c>
      <c r="E292" s="28" t="n"/>
      <c r="F292" s="28" t="n"/>
      <c r="G292" s="29">
        <f>IF(COUNT(E292:F292)=2,(E292+F292)/2,"")</f>
        <v/>
      </c>
      <c r="H292" s="29">
        <f>IF(AND(ISNUMBER(D292),ISNUMBER(G292)),D292+G292,"")</f>
        <v/>
      </c>
      <c r="I292" s="30">
        <f>IFERROR(D292/H292,"")</f>
        <v/>
      </c>
      <c r="J292" s="31">
        <f>IF(AND(ISNUMBER(D292),ISNUMBER(G292)),D292-G292,"")</f>
        <v/>
      </c>
      <c r="K292" s="46" t="n">
        <v>0</v>
      </c>
      <c r="L292" s="46" t="n">
        <v>6836</v>
      </c>
      <c r="M292" s="38" t="inlineStr">
        <is>
          <t>20 Mar</t>
        </is>
      </c>
    </row>
    <row r="293">
      <c r="A293" s="39" t="n">
        <v>46102</v>
      </c>
      <c r="B293" s="16" t="n">
        <v>0.73</v>
      </c>
      <c r="C293" s="16" t="n">
        <v>0.74</v>
      </c>
      <c r="D293" s="17">
        <f>IF(COUNT(B293:C293)=2,(B293+C293)/2,"")</f>
        <v/>
      </c>
      <c r="E293" s="16" t="n"/>
      <c r="F293" s="16" t="n"/>
      <c r="G293" s="17">
        <f>IF(COUNT(E293:F293)=2,(E293+F293)/2,"")</f>
        <v/>
      </c>
      <c r="H293" s="17">
        <f>IF(AND(ISNUMBER(D293),ISNUMBER(G293)),D293+G293,"")</f>
        <v/>
      </c>
      <c r="I293" s="20">
        <f>IFERROR(D293/H293,"")</f>
        <v/>
      </c>
      <c r="J293" s="18">
        <f>IF(AND(ISNUMBER(D293),ISNUMBER(G293)),D293-G293,"")</f>
        <v/>
      </c>
      <c r="K293" s="45" t="n">
        <v>0</v>
      </c>
      <c r="L293" s="45" t="n">
        <v>6836</v>
      </c>
      <c r="M293" s="26" t="inlineStr">
        <is>
          <t>21 Mar</t>
        </is>
      </c>
    </row>
    <row r="294">
      <c r="A294" s="41" t="n">
        <v>46103</v>
      </c>
      <c r="B294" s="28" t="n">
        <v>0.72</v>
      </c>
      <c r="C294" s="28" t="n">
        <v>0.74</v>
      </c>
      <c r="D294" s="29">
        <f>IF(COUNT(B294:C294)=2,(B294+C294)/2,"")</f>
        <v/>
      </c>
      <c r="E294" s="28" t="n"/>
      <c r="F294" s="28" t="n"/>
      <c r="G294" s="29">
        <f>IF(COUNT(E294:F294)=2,(E294+F294)/2,"")</f>
        <v/>
      </c>
      <c r="H294" s="29">
        <f>IF(AND(ISNUMBER(D294),ISNUMBER(G294)),D294+G294,"")</f>
        <v/>
      </c>
      <c r="I294" s="30">
        <f>IFERROR(D294/H294,"")</f>
        <v/>
      </c>
      <c r="J294" s="31">
        <f>IF(AND(ISNUMBER(D294),ISNUMBER(G294)),D294-G294,"")</f>
        <v/>
      </c>
      <c r="K294" s="46" t="n">
        <v>0</v>
      </c>
      <c r="L294" s="46" t="n">
        <v>6836</v>
      </c>
      <c r="M294" s="38" t="inlineStr">
        <is>
          <t>22 Mar</t>
        </is>
      </c>
    </row>
    <row r="295">
      <c r="A295" s="39" t="n">
        <v>46104</v>
      </c>
      <c r="B295" s="16" t="n">
        <v>0.6899999999999999</v>
      </c>
      <c r="C295" s="16" t="n">
        <v>0.7</v>
      </c>
      <c r="D295" s="17">
        <f>IF(COUNT(B295:C295)=2,(B295+C295)/2,"")</f>
        <v/>
      </c>
      <c r="E295" s="16" t="n">
        <v>0.29</v>
      </c>
      <c r="F295" s="16" t="n">
        <v>0.33</v>
      </c>
      <c r="G295" s="17">
        <f>IF(COUNT(E295:F295)=2,(E295+F295)/2,"")</f>
        <v/>
      </c>
      <c r="H295" s="17">
        <f>IF(AND(ISNUMBER(D295),ISNUMBER(G295)),D295+G295,"")</f>
        <v/>
      </c>
      <c r="I295" s="20">
        <f>IFERROR(D295/H295,"")</f>
        <v/>
      </c>
      <c r="J295" s="18">
        <f>IF(AND(ISNUMBER(D295),ISNUMBER(G295)),D295-G295,"")</f>
        <v/>
      </c>
      <c r="K295" s="45" t="n">
        <v>1004</v>
      </c>
      <c r="L295" s="45" t="n">
        <v>6838</v>
      </c>
      <c r="M295" s="26" t="inlineStr">
        <is>
          <t>23 Mar</t>
        </is>
      </c>
    </row>
    <row r="296">
      <c r="A296" s="41" t="n">
        <v>46105</v>
      </c>
      <c r="B296" s="28" t="n">
        <v>0.6899999999999999</v>
      </c>
      <c r="C296" s="28" t="n">
        <v>0.7</v>
      </c>
      <c r="D296" s="29">
        <f>IF(COUNT(B296:C296)=2,(B296+C296)/2,"")</f>
        <v/>
      </c>
      <c r="E296" s="28" t="n"/>
      <c r="F296" s="28" t="n"/>
      <c r="G296" s="29">
        <f>IF(COUNT(E296:F296)=2,(E296+F296)/2,"")</f>
        <v/>
      </c>
      <c r="H296" s="29">
        <f>IF(AND(ISNUMBER(D296),ISNUMBER(G296)),D296+G296,"")</f>
        <v/>
      </c>
      <c r="I296" s="30">
        <f>IFERROR(D296/H296,"")</f>
        <v/>
      </c>
      <c r="J296" s="31">
        <f>IF(AND(ISNUMBER(D296),ISNUMBER(G296)),D296-G296,"")</f>
        <v/>
      </c>
      <c r="K296" s="46" t="n">
        <v>9</v>
      </c>
      <c r="L296" s="46" t="n">
        <v>6847</v>
      </c>
      <c r="M296" s="38" t="inlineStr">
        <is>
          <t>24 Mar</t>
        </is>
      </c>
    </row>
    <row r="297">
      <c r="A297" s="39" t="n">
        <v>46106</v>
      </c>
      <c r="B297" s="16" t="n">
        <v>0.6899999999999999</v>
      </c>
      <c r="C297" s="16" t="n">
        <v>0.7</v>
      </c>
      <c r="D297" s="17">
        <f>IF(COUNT(B297:C297)=2,(B297+C297)/2,"")</f>
        <v/>
      </c>
      <c r="E297" s="16" t="n"/>
      <c r="F297" s="16" t="n"/>
      <c r="G297" s="17">
        <f>IF(COUNT(E297:F297)=2,(E297+F297)/2,"")</f>
        <v/>
      </c>
      <c r="H297" s="17">
        <f>IF(AND(ISNUMBER(D297),ISNUMBER(G297)),D297+G297,"")</f>
        <v/>
      </c>
      <c r="I297" s="20">
        <f>IFERROR(D297/H297,"")</f>
        <v/>
      </c>
      <c r="J297" s="18">
        <f>IF(AND(ISNUMBER(D297),ISNUMBER(G297)),D297-G297,"")</f>
        <v/>
      </c>
      <c r="K297" s="45" t="n">
        <v>0</v>
      </c>
      <c r="L297" s="45" t="n">
        <v>6847</v>
      </c>
      <c r="M297" s="26" t="inlineStr">
        <is>
          <t>25 Mar</t>
        </is>
      </c>
    </row>
    <row r="298">
      <c r="A298" s="41" t="n">
        <v>46107</v>
      </c>
      <c r="B298" s="28" t="n">
        <v>0.6899999999999999</v>
      </c>
      <c r="C298" s="28" t="n">
        <v>0.7</v>
      </c>
      <c r="D298" s="29">
        <f>IF(COUNT(B298:C298)=2,(B298+C298)/2,"")</f>
        <v/>
      </c>
      <c r="E298" s="28" t="n"/>
      <c r="F298" s="28" t="n"/>
      <c r="G298" s="29">
        <f>IF(COUNT(E298:F298)=2,(E298+F298)/2,"")</f>
        <v/>
      </c>
      <c r="H298" s="29">
        <f>IF(AND(ISNUMBER(D298),ISNUMBER(G298)),D298+G298,"")</f>
        <v/>
      </c>
      <c r="I298" s="30">
        <f>IFERROR(D298/H298,"")</f>
        <v/>
      </c>
      <c r="J298" s="31">
        <f>IF(AND(ISNUMBER(D298),ISNUMBER(G298)),D298-G298,"")</f>
        <v/>
      </c>
      <c r="K298" s="46" t="n">
        <v>0</v>
      </c>
      <c r="L298" s="46" t="n">
        <v>6847</v>
      </c>
      <c r="M298" s="38" t="inlineStr">
        <is>
          <t>26 Mar</t>
        </is>
      </c>
    </row>
    <row r="299">
      <c r="A299" s="39" t="n">
        <v>46108</v>
      </c>
      <c r="B299" s="16" t="n">
        <v>0.68</v>
      </c>
      <c r="C299" s="16" t="n">
        <v>0.7</v>
      </c>
      <c r="D299" s="17">
        <f>IF(COUNT(B299:C299)=2,(B299+C299)/2,"")</f>
        <v/>
      </c>
      <c r="E299" s="16" t="n"/>
      <c r="F299" s="16" t="n"/>
      <c r="G299" s="17">
        <f>IF(COUNT(E299:F299)=2,(E299+F299)/2,"")</f>
        <v/>
      </c>
      <c r="H299" s="17">
        <f>IF(AND(ISNUMBER(D299),ISNUMBER(G299)),D299+G299,"")</f>
        <v/>
      </c>
      <c r="I299" s="20">
        <f>IFERROR(D299/H299,"")</f>
        <v/>
      </c>
      <c r="J299" s="18">
        <f>IF(AND(ISNUMBER(D299),ISNUMBER(G299)),D299-G299,"")</f>
        <v/>
      </c>
      <c r="K299" s="45" t="n">
        <v>0</v>
      </c>
      <c r="L299" s="45" t="n">
        <v>6847</v>
      </c>
      <c r="M299" s="26" t="inlineStr">
        <is>
          <t>27 Mar</t>
        </is>
      </c>
    </row>
    <row r="300">
      <c r="A300" s="41" t="n">
        <v>46109</v>
      </c>
      <c r="B300" s="28" t="n">
        <v>0.68</v>
      </c>
      <c r="C300" s="28" t="n">
        <v>0.7</v>
      </c>
      <c r="D300" s="29">
        <f>IF(COUNT(B300:C300)=2,(B300+C300)/2,"")</f>
        <v/>
      </c>
      <c r="E300" s="28" t="n"/>
      <c r="F300" s="28" t="n"/>
      <c r="G300" s="29">
        <f>IF(COUNT(E300:F300)=2,(E300+F300)/2,"")</f>
        <v/>
      </c>
      <c r="H300" s="29">
        <f>IF(AND(ISNUMBER(D300),ISNUMBER(G300)),D300+G300,"")</f>
        <v/>
      </c>
      <c r="I300" s="30">
        <f>IFERROR(D300/H300,"")</f>
        <v/>
      </c>
      <c r="J300" s="31">
        <f>IF(AND(ISNUMBER(D300),ISNUMBER(G300)),D300-G300,"")</f>
        <v/>
      </c>
      <c r="K300" s="46" t="n">
        <v>0</v>
      </c>
      <c r="L300" s="46" t="n">
        <v>6847</v>
      </c>
      <c r="M300" s="38" t="inlineStr">
        <is>
          <t>28 Mar</t>
        </is>
      </c>
    </row>
    <row r="301">
      <c r="A301" s="39" t="n">
        <v>46110</v>
      </c>
      <c r="B301" s="16" t="n">
        <v>0.68</v>
      </c>
      <c r="C301" s="16" t="n">
        <v>0.71</v>
      </c>
      <c r="D301" s="17">
        <f>IF(COUNT(B301:C301)=2,(B301+C301)/2,"")</f>
        <v/>
      </c>
      <c r="E301" s="16" t="n">
        <v>0.28</v>
      </c>
      <c r="F301" s="16" t="n">
        <v>0.33</v>
      </c>
      <c r="G301" s="17">
        <f>IF(COUNT(E301:F301)=2,(E301+F301)/2,"")</f>
        <v/>
      </c>
      <c r="H301" s="17">
        <f>IF(AND(ISNUMBER(D301),ISNUMBER(G301)),D301+G301,"")</f>
        <v/>
      </c>
      <c r="I301" s="20">
        <f>IFERROR(D301/H301,"")</f>
        <v/>
      </c>
      <c r="J301" s="18">
        <f>IF(AND(ISNUMBER(D301),ISNUMBER(G301)),D301-G301,"")</f>
        <v/>
      </c>
      <c r="K301" s="45" t="n">
        <v>106</v>
      </c>
      <c r="L301" s="45" t="n">
        <v>6947</v>
      </c>
      <c r="M301" s="26" t="inlineStr">
        <is>
          <t>29 Mar</t>
        </is>
      </c>
    </row>
    <row r="302">
      <c r="A302" s="41" t="n">
        <v>46111</v>
      </c>
      <c r="B302" s="28" t="n">
        <v>0.68</v>
      </c>
      <c r="C302" s="28" t="n">
        <v>0.7</v>
      </c>
      <c r="D302" s="29">
        <f>IF(COUNT(B302:C302)=2,(B302+C302)/2,"")</f>
        <v/>
      </c>
      <c r="E302" s="28" t="n">
        <v>0.28</v>
      </c>
      <c r="F302" s="28" t="n">
        <v>0.33</v>
      </c>
      <c r="G302" s="29">
        <f>IF(COUNT(E302:F302)=2,(E302+F302)/2,"")</f>
        <v/>
      </c>
      <c r="H302" s="29">
        <f>IF(AND(ISNUMBER(D302),ISNUMBER(G302)),D302+G302,"")</f>
        <v/>
      </c>
      <c r="I302" s="30">
        <f>IFERROR(D302/H302,"")</f>
        <v/>
      </c>
      <c r="J302" s="31">
        <f>IF(AND(ISNUMBER(D302),ISNUMBER(G302)),D302-G302,"")</f>
        <v/>
      </c>
      <c r="K302" s="46" t="n">
        <v>31</v>
      </c>
      <c r="L302" s="46" t="n">
        <v>6916</v>
      </c>
      <c r="M302" s="38" t="inlineStr">
        <is>
          <t>30 Mar</t>
        </is>
      </c>
    </row>
    <row r="303">
      <c r="A303" s="39" t="n">
        <v>46112</v>
      </c>
      <c r="B303" s="16" t="n">
        <v>0.68</v>
      </c>
      <c r="C303" s="16" t="n">
        <v>0.7</v>
      </c>
      <c r="D303" s="17">
        <f>IF(COUNT(B303:C303)=2,(B303+C303)/2,"")</f>
        <v/>
      </c>
      <c r="E303" s="16" t="n">
        <v>0.28</v>
      </c>
      <c r="F303" s="16" t="n">
        <v>0.33</v>
      </c>
      <c r="G303" s="17">
        <f>IF(COUNT(E303:F303)=2,(E303+F303)/2,"")</f>
        <v/>
      </c>
      <c r="H303" s="17">
        <f>IF(AND(ISNUMBER(D303),ISNUMBER(G303)),D303+G303,"")</f>
        <v/>
      </c>
      <c r="I303" s="20">
        <f>IFERROR(D303/H303,"")</f>
        <v/>
      </c>
      <c r="J303" s="18">
        <f>IF(AND(ISNUMBER(D303),ISNUMBER(G303)),D303-G303,"")</f>
        <v/>
      </c>
      <c r="K303" s="45" t="n">
        <v>7</v>
      </c>
      <c r="L303" s="45" t="n">
        <v>6909</v>
      </c>
      <c r="M303" s="26" t="inlineStr">
        <is>
          <t>31 Mar</t>
        </is>
      </c>
    </row>
    <row r="304">
      <c r="A304" s="41" t="n">
        <v>46113</v>
      </c>
      <c r="B304" s="28" t="n">
        <v>0.7</v>
      </c>
      <c r="C304" s="28" t="n">
        <v>0.73</v>
      </c>
      <c r="D304" s="29">
        <f>IF(COUNT(B304:C304)=2,(B304+C304)/2,"")</f>
        <v/>
      </c>
      <c r="E304" s="28" t="n">
        <v>0.27</v>
      </c>
      <c r="F304" s="28" t="n">
        <v>0.31</v>
      </c>
      <c r="G304" s="29">
        <f>IF(COUNT(E304:F304)=2,(E304+F304)/2,"")</f>
        <v/>
      </c>
      <c r="H304" s="29">
        <f>IF(AND(ISNUMBER(D304),ISNUMBER(G304)),D304+G304,"")</f>
        <v/>
      </c>
      <c r="I304" s="30">
        <f>IFERROR(D304/H304,"")</f>
        <v/>
      </c>
      <c r="J304" s="31">
        <f>IF(AND(ISNUMBER(D304),ISNUMBER(G304)),D304-G304,"")</f>
        <v/>
      </c>
      <c r="K304" s="46" t="n">
        <v>420</v>
      </c>
      <c r="L304" s="46" t="n">
        <v>7320</v>
      </c>
      <c r="M304" s="38" t="inlineStr">
        <is>
          <t>01 Apr</t>
        </is>
      </c>
    </row>
    <row r="305">
      <c r="A305" s="39" t="n">
        <v>46114</v>
      </c>
      <c r="B305" s="16" t="n">
        <v>0.71</v>
      </c>
      <c r="C305" s="16" t="n">
        <v>0.73</v>
      </c>
      <c r="D305" s="17">
        <f>IF(COUNT(B305:C305)=2,(B305+C305)/2,"")</f>
        <v/>
      </c>
      <c r="E305" s="16" t="n">
        <v>0.27</v>
      </c>
      <c r="F305" s="16" t="n">
        <v>0.31</v>
      </c>
      <c r="G305" s="17">
        <f>IF(COUNT(E305:F305)=2,(E305+F305)/2,"")</f>
        <v/>
      </c>
      <c r="H305" s="17">
        <f>IF(AND(ISNUMBER(D305),ISNUMBER(G305)),D305+G305,"")</f>
        <v/>
      </c>
      <c r="I305" s="20">
        <f>IFERROR(D305/H305,"")</f>
        <v/>
      </c>
      <c r="J305" s="18">
        <f>IF(AND(ISNUMBER(D305),ISNUMBER(G305)),D305-G305,"")</f>
        <v/>
      </c>
      <c r="K305" s="45" t="n">
        <v>20</v>
      </c>
      <c r="L305" s="45" t="n">
        <v>7320</v>
      </c>
      <c r="M305" s="26" t="inlineStr">
        <is>
          <t>02 Apr</t>
        </is>
      </c>
    </row>
    <row r="306">
      <c r="A306" s="41" t="n">
        <v>46115</v>
      </c>
      <c r="B306" s="28" t="n">
        <v>0.71</v>
      </c>
      <c r="C306" s="28" t="n">
        <v>0.72</v>
      </c>
      <c r="D306" s="29">
        <f>IF(COUNT(B306:C306)=2,(B306+C306)/2,"")</f>
        <v/>
      </c>
      <c r="E306" s="28" t="n">
        <v>0.27</v>
      </c>
      <c r="F306" s="28" t="n">
        <v>0.31</v>
      </c>
      <c r="G306" s="29">
        <f>IF(COUNT(E306:F306)=2,(E306+F306)/2,"")</f>
        <v/>
      </c>
      <c r="H306" s="29">
        <f>IF(AND(ISNUMBER(D306),ISNUMBER(G306)),D306+G306,"")</f>
        <v/>
      </c>
      <c r="I306" s="30">
        <f>IFERROR(D306/H306,"")</f>
        <v/>
      </c>
      <c r="J306" s="31">
        <f>IF(AND(ISNUMBER(D306),ISNUMBER(G306)),D306-G306,"")</f>
        <v/>
      </c>
      <c r="K306" s="46" t="n">
        <v>0</v>
      </c>
      <c r="L306" s="46" t="n">
        <v>7320</v>
      </c>
      <c r="M306" s="38" t="inlineStr">
        <is>
          <t>03 Apr</t>
        </is>
      </c>
    </row>
    <row r="307">
      <c r="A307" s="39" t="n">
        <v>46116</v>
      </c>
      <c r="B307" s="16" t="n">
        <v>0.71</v>
      </c>
      <c r="C307" s="16" t="n">
        <v>0.72</v>
      </c>
      <c r="D307" s="17">
        <f>IF(COUNT(B307:C307)=2,(B307+C307)/2,"")</f>
        <v/>
      </c>
      <c r="E307" s="16" t="n">
        <v>0.27</v>
      </c>
      <c r="F307" s="16" t="n">
        <v>0.31</v>
      </c>
      <c r="G307" s="17">
        <f>IF(COUNT(E307:F307)=2,(E307+F307)/2,"")</f>
        <v/>
      </c>
      <c r="H307" s="17">
        <f>IF(AND(ISNUMBER(D307),ISNUMBER(G307)),D307+G307,"")</f>
        <v/>
      </c>
      <c r="I307" s="20">
        <f>IFERROR(D307/H307,"")</f>
        <v/>
      </c>
      <c r="J307" s="18">
        <f>IF(AND(ISNUMBER(D307),ISNUMBER(G307)),D307-G307,"")</f>
        <v/>
      </c>
      <c r="K307" s="45" t="n">
        <v>0</v>
      </c>
      <c r="L307" s="45" t="n">
        <v>7320</v>
      </c>
      <c r="M307" s="26" t="inlineStr">
        <is>
          <t>04 Apr</t>
        </is>
      </c>
    </row>
    <row r="308">
      <c r="A308" s="41" t="n">
        <v>46117</v>
      </c>
      <c r="B308" s="28" t="n">
        <v>0.71</v>
      </c>
      <c r="C308" s="28" t="n">
        <v>0.72</v>
      </c>
      <c r="D308" s="29">
        <f>IF(COUNT(B308:C308)=2,(B308+C308)/2,"")</f>
        <v/>
      </c>
      <c r="E308" s="28" t="n">
        <v>0.27</v>
      </c>
      <c r="F308" s="28" t="n">
        <v>0.31</v>
      </c>
      <c r="G308" s="29">
        <f>IF(COUNT(E308:F308)=2,(E308+F308)/2,"")</f>
        <v/>
      </c>
      <c r="H308" s="29">
        <f>IF(AND(ISNUMBER(D308),ISNUMBER(G308)),D308+G308,"")</f>
        <v/>
      </c>
      <c r="I308" s="30">
        <f>IFERROR(D308/H308,"")</f>
        <v/>
      </c>
      <c r="J308" s="31">
        <f>IF(AND(ISNUMBER(D308),ISNUMBER(G308)),D308-G308,"")</f>
        <v/>
      </c>
      <c r="K308" s="46" t="n">
        <v>0</v>
      </c>
      <c r="L308" s="46" t="n">
        <v>7320</v>
      </c>
      <c r="M308" s="38" t="inlineStr">
        <is>
          <t>05 Apr</t>
        </is>
      </c>
    </row>
    <row r="309">
      <c r="A309" s="39" t="n">
        <v>46118</v>
      </c>
      <c r="B309" s="16" t="n">
        <v>0.71</v>
      </c>
      <c r="C309" s="16" t="n">
        <v>0.72</v>
      </c>
      <c r="D309" s="17">
        <f>IF(COUNT(B309:C309)=2,(B309+C309)/2,"")</f>
        <v/>
      </c>
      <c r="E309" s="16" t="n">
        <v>0.27</v>
      </c>
      <c r="F309" s="16" t="n">
        <v>0.31</v>
      </c>
      <c r="G309" s="17">
        <f>IF(COUNT(E309:F309)=2,(E309+F309)/2,"")</f>
        <v/>
      </c>
      <c r="H309" s="17">
        <f>IF(AND(ISNUMBER(D309),ISNUMBER(G309)),D309+G309,"")</f>
        <v/>
      </c>
      <c r="I309" s="20">
        <f>IFERROR(D309/H309,"")</f>
        <v/>
      </c>
      <c r="J309" s="18">
        <f>IF(AND(ISNUMBER(D309),ISNUMBER(G309)),D309-G309,"")</f>
        <v/>
      </c>
      <c r="K309" s="45" t="n">
        <v>0</v>
      </c>
      <c r="L309" s="45" t="n">
        <v>7320</v>
      </c>
      <c r="M309" s="26" t="inlineStr">
        <is>
          <t>06 Apr</t>
        </is>
      </c>
    </row>
    <row r="310">
      <c r="A310" s="41" t="n">
        <v>46119</v>
      </c>
      <c r="B310" s="28" t="n">
        <v>0.71</v>
      </c>
      <c r="C310" s="28" t="n">
        <v>0.72</v>
      </c>
      <c r="D310" s="29">
        <f>IF(COUNT(B310:C310)=2,(B310+C310)/2,"")</f>
        <v/>
      </c>
      <c r="E310" s="28" t="n">
        <v>0.27</v>
      </c>
      <c r="F310" s="28" t="n">
        <v>0.31</v>
      </c>
      <c r="G310" s="29">
        <f>IF(COUNT(E310:F310)=2,(E310+F310)/2,"")</f>
        <v/>
      </c>
      <c r="H310" s="29">
        <f>IF(AND(ISNUMBER(D310),ISNUMBER(G310)),D310+G310,"")</f>
        <v/>
      </c>
      <c r="I310" s="30">
        <f>IFERROR(D310/H310,"")</f>
        <v/>
      </c>
      <c r="J310" s="31">
        <f>IF(AND(ISNUMBER(D310),ISNUMBER(G310)),D310-G310,"")</f>
        <v/>
      </c>
      <c r="K310" s="46" t="n">
        <v>10</v>
      </c>
      <c r="L310" s="46" t="n">
        <v>7320</v>
      </c>
      <c r="M310" s="38" t="inlineStr">
        <is>
          <t>07 Apr</t>
        </is>
      </c>
    </row>
    <row r="311">
      <c r="A311" s="39" t="n">
        <v>46120</v>
      </c>
      <c r="B311" s="16" t="n">
        <v>0.71</v>
      </c>
      <c r="C311" s="16" t="n">
        <v>0.72</v>
      </c>
      <c r="D311" s="17">
        <f>IF(COUNT(B311:C311)=2,(B311+C311)/2,"")</f>
        <v/>
      </c>
      <c r="E311" s="16" t="n">
        <v>0.27</v>
      </c>
      <c r="F311" s="16" t="n">
        <v>0.31</v>
      </c>
      <c r="G311" s="17">
        <f>IF(COUNT(E311:F311)=2,(E311+F311)/2,"")</f>
        <v/>
      </c>
      <c r="H311" s="17">
        <f>IF(AND(ISNUMBER(D311),ISNUMBER(G311)),D311+G311,"")</f>
        <v/>
      </c>
      <c r="I311" s="20">
        <f>IFERROR(D311/H311,"")</f>
        <v/>
      </c>
      <c r="J311" s="18">
        <f>IF(AND(ISNUMBER(D311),ISNUMBER(G311)),D311-G311,"")</f>
        <v/>
      </c>
      <c r="K311" s="45" t="n">
        <v>0</v>
      </c>
      <c r="L311" s="45" t="n">
        <v>7320</v>
      </c>
      <c r="M311" s="26" t="inlineStr">
        <is>
          <t>08 Apr</t>
        </is>
      </c>
    </row>
    <row r="312">
      <c r="A312" s="41" t="n">
        <v>46121</v>
      </c>
      <c r="B312" s="28" t="n">
        <v>0.71</v>
      </c>
      <c r="C312" s="28" t="n">
        <v>0.72</v>
      </c>
      <c r="D312" s="29">
        <f>IF(COUNT(B312:C312)=2,(B312+C312)/2,"")</f>
        <v/>
      </c>
      <c r="E312" s="28" t="n">
        <v>0.27</v>
      </c>
      <c r="F312" s="28" t="n">
        <v>0.31</v>
      </c>
      <c r="G312" s="29">
        <f>IF(COUNT(E312:F312)=2,(E312+F312)/2,"")</f>
        <v/>
      </c>
      <c r="H312" s="29">
        <f>IF(AND(ISNUMBER(D312),ISNUMBER(G312)),D312+G312,"")</f>
        <v/>
      </c>
      <c r="I312" s="30">
        <f>IFERROR(D312/H312,"")</f>
        <v/>
      </c>
      <c r="J312" s="31">
        <f>IF(AND(ISNUMBER(D312),ISNUMBER(G312)),D312-G312,"")</f>
        <v/>
      </c>
      <c r="K312" s="46" t="n">
        <v>0</v>
      </c>
      <c r="L312" s="46" t="n">
        <v>7320</v>
      </c>
      <c r="M312" s="38" t="inlineStr">
        <is>
          <t>09 Apr</t>
        </is>
      </c>
    </row>
    <row r="313">
      <c r="A313" s="39" t="n">
        <v>46122</v>
      </c>
      <c r="B313" s="16" t="n">
        <v>0.71</v>
      </c>
      <c r="C313" s="16" t="n">
        <v>0.72</v>
      </c>
      <c r="D313" s="17">
        <f>IF(COUNT(B313:C313)=2,(B313+C313)/2,"")</f>
        <v/>
      </c>
      <c r="E313" s="16" t="n">
        <v>0.27</v>
      </c>
      <c r="F313" s="16" t="n">
        <v>0.3</v>
      </c>
      <c r="G313" s="17">
        <f>IF(COUNT(E313:F313)=2,(E313+F313)/2,"")</f>
        <v/>
      </c>
      <c r="H313" s="17">
        <f>IF(AND(ISNUMBER(D313),ISNUMBER(G313)),D313+G313,"")</f>
        <v/>
      </c>
      <c r="I313" s="20">
        <f>IFERROR(D313/H313,"")</f>
        <v/>
      </c>
      <c r="J313" s="18">
        <f>IF(AND(ISNUMBER(D313),ISNUMBER(G313)),D313-G313,"")</f>
        <v/>
      </c>
      <c r="K313" s="45" t="n">
        <v>0</v>
      </c>
      <c r="L313" s="45" t="n">
        <v>7320</v>
      </c>
      <c r="M313" s="26" t="inlineStr">
        <is>
          <t>10 Apr</t>
        </is>
      </c>
    </row>
    <row r="314">
      <c r="A314" s="41" t="n">
        <v>46123</v>
      </c>
      <c r="B314" s="28" t="n">
        <v>0.71</v>
      </c>
      <c r="C314" s="28" t="n">
        <v>0.72</v>
      </c>
      <c r="D314" s="29">
        <f>IF(COUNT(B314:C314)=2,(B314+C314)/2,"")</f>
        <v/>
      </c>
      <c r="E314" s="28" t="n">
        <v>0.27</v>
      </c>
      <c r="F314" s="28" t="n">
        <v>0.3</v>
      </c>
      <c r="G314" s="29">
        <f>IF(COUNT(E314:F314)=2,(E314+F314)/2,"")</f>
        <v/>
      </c>
      <c r="H314" s="29">
        <f>IF(AND(ISNUMBER(D314),ISNUMBER(G314)),D314+G314,"")</f>
        <v/>
      </c>
      <c r="I314" s="30">
        <f>IFERROR(D314/H314,"")</f>
        <v/>
      </c>
      <c r="J314" s="31">
        <f>IF(AND(ISNUMBER(D314),ISNUMBER(G314)),D314-G314,"")</f>
        <v/>
      </c>
      <c r="K314" s="46" t="n">
        <v>0</v>
      </c>
      <c r="L314" s="46" t="n">
        <v>7320</v>
      </c>
      <c r="M314" s="38" t="inlineStr">
        <is>
          <t>11 Apr</t>
        </is>
      </c>
    </row>
    <row r="315">
      <c r="A315" s="39" t="n">
        <v>46124</v>
      </c>
      <c r="B315" s="16" t="n">
        <v>0.71</v>
      </c>
      <c r="C315" s="16" t="n">
        <v>0.72</v>
      </c>
      <c r="D315" s="17">
        <f>IF(COUNT(B315:C315)=2,(B315+C315)/2,"")</f>
        <v/>
      </c>
      <c r="E315" s="16" t="n">
        <v>0.27</v>
      </c>
      <c r="F315" s="16" t="n">
        <v>0.3</v>
      </c>
      <c r="G315" s="17">
        <f>IF(COUNT(E315:F315)=2,(E315+F315)/2,"")</f>
        <v/>
      </c>
      <c r="H315" s="17">
        <f>IF(AND(ISNUMBER(D315),ISNUMBER(G315)),D315+G315,"")</f>
        <v/>
      </c>
      <c r="I315" s="20">
        <f>IFERROR(D315/H315,"")</f>
        <v/>
      </c>
      <c r="J315" s="18">
        <f>IF(AND(ISNUMBER(D315),ISNUMBER(G315)),D315-G315,"")</f>
        <v/>
      </c>
      <c r="K315" s="45" t="n">
        <v>0</v>
      </c>
      <c r="L315" s="45" t="n">
        <v>7320</v>
      </c>
      <c r="M315" s="26" t="inlineStr">
        <is>
          <t>12 Apr</t>
        </is>
      </c>
    </row>
    <row r="316">
      <c r="A316" s="41" t="n">
        <v>46125</v>
      </c>
      <c r="B316" s="28" t="n">
        <v>0.71</v>
      </c>
      <c r="C316" s="28" t="n">
        <v>0.72</v>
      </c>
      <c r="D316" s="29">
        <f>IF(COUNT(B316:C316)=2,(B316+C316)/2,"")</f>
        <v/>
      </c>
      <c r="E316" s="28" t="n">
        <v>0.27</v>
      </c>
      <c r="F316" s="28" t="n">
        <v>0.3</v>
      </c>
      <c r="G316" s="29">
        <f>IF(COUNT(E316:F316)=2,(E316+F316)/2,"")</f>
        <v/>
      </c>
      <c r="H316" s="29">
        <f>IF(AND(ISNUMBER(D316),ISNUMBER(G316)),D316+G316,"")</f>
        <v/>
      </c>
      <c r="I316" s="30">
        <f>IFERROR(D316/H316,"")</f>
        <v/>
      </c>
      <c r="J316" s="31">
        <f>IF(AND(ISNUMBER(D316),ISNUMBER(G316)),D316-G316,"")</f>
        <v/>
      </c>
      <c r="K316" s="46" t="n">
        <v>0</v>
      </c>
      <c r="L316" s="46" t="n">
        <v>7320</v>
      </c>
      <c r="M316" s="38" t="inlineStr">
        <is>
          <t>13 Apr</t>
        </is>
      </c>
    </row>
    <row r="317">
      <c r="A317" s="39" t="n">
        <v>46126</v>
      </c>
      <c r="B317" s="16" t="n">
        <v>0.71</v>
      </c>
      <c r="C317" s="16" t="n">
        <v>0.72</v>
      </c>
      <c r="D317" s="17">
        <f>IF(COUNT(B317:C317)=2,(B317+C317)/2,"")</f>
        <v/>
      </c>
      <c r="E317" s="16" t="n">
        <v>0.27</v>
      </c>
      <c r="F317" s="16" t="n">
        <v>0.3</v>
      </c>
      <c r="G317" s="17">
        <f>IF(COUNT(E317:F317)=2,(E317+F317)/2,"")</f>
        <v/>
      </c>
      <c r="H317" s="17">
        <f>IF(AND(ISNUMBER(D317),ISNUMBER(G317)),D317+G317,"")</f>
        <v/>
      </c>
      <c r="I317" s="20">
        <f>IFERROR(D317/H317,"")</f>
        <v/>
      </c>
      <c r="J317" s="18">
        <f>IF(AND(ISNUMBER(D317),ISNUMBER(G317)),D317-G317,"")</f>
        <v/>
      </c>
      <c r="K317" s="45" t="n">
        <v>46</v>
      </c>
      <c r="L317" s="45" t="n">
        <v>7320</v>
      </c>
      <c r="M317" s="26" t="inlineStr">
        <is>
          <t>14 Apr</t>
        </is>
      </c>
    </row>
    <row r="318">
      <c r="A318" s="41" t="n">
        <v>46127</v>
      </c>
      <c r="B318" s="28" t="n">
        <v>0.71</v>
      </c>
      <c r="C318" s="28" t="n">
        <v>0.72</v>
      </c>
      <c r="D318" s="29">
        <f>IF(COUNT(B318:C318)=2,(B318+C318)/2,"")</f>
        <v/>
      </c>
      <c r="E318" s="28" t="n">
        <v>0.26</v>
      </c>
      <c r="F318" s="28" t="n">
        <v>0.3</v>
      </c>
      <c r="G318" s="29">
        <f>IF(COUNT(E318:F318)=2,(E318+F318)/2,"")</f>
        <v/>
      </c>
      <c r="H318" s="29">
        <f>IF(AND(ISNUMBER(D318),ISNUMBER(G318)),D318+G318,"")</f>
        <v/>
      </c>
      <c r="I318" s="30">
        <f>IFERROR(D318/H318,"")</f>
        <v/>
      </c>
      <c r="J318" s="31">
        <f>IF(AND(ISNUMBER(D318),ISNUMBER(G318)),D318-G318,"")</f>
        <v/>
      </c>
      <c r="K318" s="46" t="n">
        <v>419.65</v>
      </c>
      <c r="L318" s="46" t="n">
        <v>7320</v>
      </c>
      <c r="M318" s="38" t="inlineStr">
        <is>
          <t>15 Apr</t>
        </is>
      </c>
    </row>
    <row r="319">
      <c r="A319" s="39" t="n">
        <v>46128</v>
      </c>
      <c r="B319" s="16" t="n">
        <v>0.72</v>
      </c>
      <c r="C319" s="16" t="n">
        <v>0.73</v>
      </c>
      <c r="D319" s="17">
        <f>IF(COUNT(B319:C319)=2,(B319+C319)/2,"")</f>
        <v/>
      </c>
      <c r="E319" s="16" t="n">
        <v>0.26</v>
      </c>
      <c r="F319" s="16" t="n">
        <v>0.3</v>
      </c>
      <c r="G319" s="17">
        <f>IF(COUNT(E319:F319)=2,(E319+F319)/2,"")</f>
        <v/>
      </c>
      <c r="H319" s="17">
        <f>IF(AND(ISNUMBER(D319),ISNUMBER(G319)),D319+G319,"")</f>
        <v/>
      </c>
      <c r="I319" s="20">
        <f>IFERROR(D319/H319,"")</f>
        <v/>
      </c>
      <c r="J319" s="18">
        <f>IF(AND(ISNUMBER(D319),ISNUMBER(G319)),D319-G319,"")</f>
        <v/>
      </c>
      <c r="K319" s="45" t="n">
        <v>27</v>
      </c>
      <c r="L319" s="45" t="n">
        <v>7347</v>
      </c>
      <c r="M319" s="26" t="inlineStr">
        <is>
          <t>16 Apr</t>
        </is>
      </c>
    </row>
    <row r="320">
      <c r="A320" s="41" t="n">
        <v>46129</v>
      </c>
      <c r="B320" s="28" t="n">
        <v>0.72</v>
      </c>
      <c r="C320" s="28" t="n">
        <v>0.73</v>
      </c>
      <c r="D320" s="29">
        <f>IF(COUNT(B320:C320)=2,(B320+C320)/2,"")</f>
        <v/>
      </c>
      <c r="E320" s="28" t="n">
        <v>0.26</v>
      </c>
      <c r="F320" s="28" t="n">
        <v>0.3</v>
      </c>
      <c r="G320" s="29">
        <f>IF(COUNT(E320:F320)=2,(E320+F320)/2,"")</f>
        <v/>
      </c>
      <c r="H320" s="29">
        <f>IF(AND(ISNUMBER(D320),ISNUMBER(G320)),D320+G320,"")</f>
        <v/>
      </c>
      <c r="I320" s="30">
        <f>IFERROR(D320/H320,"")</f>
        <v/>
      </c>
      <c r="J320" s="31">
        <f>IF(AND(ISNUMBER(D320),ISNUMBER(G320)),D320-G320,"")</f>
        <v/>
      </c>
      <c r="K320" s="46" t="n">
        <v>0</v>
      </c>
      <c r="L320" s="46" t="n">
        <v>7347</v>
      </c>
      <c r="M320" s="38" t="inlineStr">
        <is>
          <t>17 Apr</t>
        </is>
      </c>
    </row>
    <row r="321">
      <c r="A321" s="39" t="n">
        <v>46130</v>
      </c>
      <c r="B321" s="16" t="n">
        <v>0.71</v>
      </c>
      <c r="C321" s="16" t="n">
        <v>0.73</v>
      </c>
      <c r="D321" s="17">
        <f>IF(COUNT(B321:C321)=2,(B321+C321)/2,"")</f>
        <v/>
      </c>
      <c r="E321" s="16" t="n">
        <v>0.26</v>
      </c>
      <c r="F321" s="16" t="n">
        <v>0.3</v>
      </c>
      <c r="G321" s="17">
        <f>IF(COUNT(E321:F321)=2,(E321+F321)/2,"")</f>
        <v/>
      </c>
      <c r="H321" s="17">
        <f>IF(AND(ISNUMBER(D321),ISNUMBER(G321)),D321+G321,"")</f>
        <v/>
      </c>
      <c r="I321" s="20">
        <f>IFERROR(D321/H321,"")</f>
        <v/>
      </c>
      <c r="J321" s="18">
        <f>IF(AND(ISNUMBER(D321),ISNUMBER(G321)),D321-G321,"")</f>
        <v/>
      </c>
      <c r="K321" s="45" t="n">
        <v>0</v>
      </c>
      <c r="L321" s="45" t="n">
        <v>7347</v>
      </c>
      <c r="M321" s="26" t="inlineStr">
        <is>
          <t>18 Apr</t>
        </is>
      </c>
    </row>
    <row r="322">
      <c r="A322" s="41" t="n">
        <v>46131</v>
      </c>
      <c r="B322" s="28" t="n"/>
      <c r="C322" s="28" t="n"/>
      <c r="D322" s="29">
        <f>IF(COUNT(B322:C322)=2,(B322+C322)/2,"")</f>
        <v/>
      </c>
      <c r="E322" s="28" t="n">
        <v>0.26</v>
      </c>
      <c r="F322" s="28" t="n">
        <v>0.3</v>
      </c>
      <c r="G322" s="29">
        <f>IF(COUNT(E322:F322)=2,(E322+F322)/2,"")</f>
        <v/>
      </c>
      <c r="H322" s="29">
        <f>IF(AND(ISNUMBER(D322),ISNUMBER(G322)),D322+G322,"")</f>
        <v/>
      </c>
      <c r="I322" s="30">
        <f>IFERROR(D322/H322,"")</f>
        <v/>
      </c>
      <c r="J322" s="31">
        <f>IF(AND(ISNUMBER(D322),ISNUMBER(G322)),D322-G322,"")</f>
        <v/>
      </c>
      <c r="K322" s="46" t="n">
        <v>0</v>
      </c>
      <c r="L322" s="46" t="n">
        <v>6467</v>
      </c>
      <c r="M322" s="38" t="inlineStr">
        <is>
          <t>19 Apr</t>
        </is>
      </c>
    </row>
    <row r="323">
      <c r="A323" s="39" t="n">
        <v>46132</v>
      </c>
      <c r="B323" s="16" t="n">
        <v>0.72</v>
      </c>
      <c r="C323" s="16" t="n">
        <v>0.73</v>
      </c>
      <c r="D323" s="17">
        <f>IF(COUNT(B323:C323)=2,(B323+C323)/2,"")</f>
        <v/>
      </c>
      <c r="E323" s="16" t="n">
        <v>0.26</v>
      </c>
      <c r="F323" s="16" t="n">
        <v>0.3</v>
      </c>
      <c r="G323" s="17">
        <f>IF(COUNT(E323:F323)=2,(E323+F323)/2,"")</f>
        <v/>
      </c>
      <c r="H323" s="17">
        <f>IF(AND(ISNUMBER(D323),ISNUMBER(G323)),D323+G323,"")</f>
        <v/>
      </c>
      <c r="I323" s="20">
        <f>IFERROR(D323/H323,"")</f>
        <v/>
      </c>
      <c r="J323" s="18">
        <f>IF(AND(ISNUMBER(D323),ISNUMBER(G323)),D323-G323,"")</f>
        <v/>
      </c>
      <c r="K323" s="45" t="n">
        <v>4</v>
      </c>
      <c r="L323" s="45" t="n">
        <v>7347</v>
      </c>
      <c r="M323" s="26" t="inlineStr">
        <is>
          <t>20 Apr</t>
        </is>
      </c>
    </row>
    <row r="324">
      <c r="A324" s="41" t="n">
        <v>46133</v>
      </c>
      <c r="B324" s="28" t="n">
        <v>0.72</v>
      </c>
      <c r="C324" s="28" t="n">
        <v>0.73</v>
      </c>
      <c r="D324" s="29">
        <f>IF(COUNT(B324:C324)=2,(B324+C324)/2,"")</f>
        <v/>
      </c>
      <c r="E324" s="28" t="n">
        <v>0.26</v>
      </c>
      <c r="F324" s="28" t="n">
        <v>0.3</v>
      </c>
      <c r="G324" s="29">
        <f>IF(COUNT(E324:F324)=2,(E324+F324)/2,"")</f>
        <v/>
      </c>
      <c r="H324" s="29">
        <f>IF(AND(ISNUMBER(D324),ISNUMBER(G324)),D324+G324,"")</f>
        <v/>
      </c>
      <c r="I324" s="30">
        <f>IFERROR(D324/H324,"")</f>
        <v/>
      </c>
      <c r="J324" s="31">
        <f>IF(AND(ISNUMBER(D324),ISNUMBER(G324)),D324-G324,"")</f>
        <v/>
      </c>
      <c r="K324" s="46" t="n">
        <v>0</v>
      </c>
      <c r="L324" s="46" t="n">
        <v>7347</v>
      </c>
      <c r="M324" s="38" t="inlineStr">
        <is>
          <t>21 Apr</t>
        </is>
      </c>
    </row>
    <row r="325">
      <c r="A325" s="39" t="n">
        <v>46134</v>
      </c>
      <c r="B325" s="16" t="n">
        <v>0.71</v>
      </c>
      <c r="C325" s="16" t="n">
        <v>0.73</v>
      </c>
      <c r="D325" s="17">
        <f>IF(COUNT(B325:C325)=2,(B325+C325)/2,"")</f>
        <v/>
      </c>
      <c r="E325" s="16" t="n">
        <v>0.26</v>
      </c>
      <c r="F325" s="16" t="n">
        <v>0.3</v>
      </c>
      <c r="G325" s="17">
        <f>IF(COUNT(E325:F325)=2,(E325+F325)/2,"")</f>
        <v/>
      </c>
      <c r="H325" s="17">
        <f>IF(AND(ISNUMBER(D325),ISNUMBER(G325)),D325+G325,"")</f>
        <v/>
      </c>
      <c r="I325" s="20">
        <f>IFERROR(D325/H325,"")</f>
        <v/>
      </c>
      <c r="J325" s="18">
        <f>IF(AND(ISNUMBER(D325),ISNUMBER(G325)),D325-G325,"")</f>
        <v/>
      </c>
      <c r="K325" s="45" t="n">
        <v>0</v>
      </c>
      <c r="L325" s="45" t="n">
        <v>7347</v>
      </c>
      <c r="M325" s="26" t="inlineStr">
        <is>
          <t>22 Apr</t>
        </is>
      </c>
    </row>
    <row r="326">
      <c r="A326" s="41" t="n">
        <v>46135</v>
      </c>
      <c r="B326" s="28" t="n">
        <v>0.71</v>
      </c>
      <c r="C326" s="28" t="n">
        <v>0.73</v>
      </c>
      <c r="D326" s="29">
        <f>IF(COUNT(B326:C326)=2,(B326+C326)/2,"")</f>
        <v/>
      </c>
      <c r="E326" s="28" t="n">
        <v>0.26</v>
      </c>
      <c r="F326" s="28" t="n">
        <v>0.3</v>
      </c>
      <c r="G326" s="29">
        <f>IF(COUNT(E326:F326)=2,(E326+F326)/2,"")</f>
        <v/>
      </c>
      <c r="H326" s="29">
        <f>IF(AND(ISNUMBER(D326),ISNUMBER(G326)),D326+G326,"")</f>
        <v/>
      </c>
      <c r="I326" s="30">
        <f>IFERROR(D326/H326,"")</f>
        <v/>
      </c>
      <c r="J326" s="31">
        <f>IF(AND(ISNUMBER(D326),ISNUMBER(G326)),D326-G326,"")</f>
        <v/>
      </c>
      <c r="K326" s="46" t="n">
        <v>0</v>
      </c>
      <c r="L326" s="46" t="n">
        <v>7347</v>
      </c>
      <c r="M326" s="38" t="inlineStr">
        <is>
          <t>23 Apr</t>
        </is>
      </c>
    </row>
    <row r="327">
      <c r="A327" s="39" t="n">
        <v>46136</v>
      </c>
      <c r="B327" s="16" t="n">
        <v>0.72</v>
      </c>
      <c r="C327" s="16" t="n">
        <v>0.73</v>
      </c>
      <c r="D327" s="17">
        <f>IF(COUNT(B327:C327)=2,(B327+C327)/2,"")</f>
        <v/>
      </c>
      <c r="E327" s="16" t="n">
        <v>0.26</v>
      </c>
      <c r="F327" s="16" t="n">
        <v>0.3</v>
      </c>
      <c r="G327" s="17">
        <f>IF(COUNT(E327:F327)=2,(E327+F327)/2,"")</f>
        <v/>
      </c>
      <c r="H327" s="17">
        <f>IF(AND(ISNUMBER(D327),ISNUMBER(G327)),D327+G327,"")</f>
        <v/>
      </c>
      <c r="I327" s="20">
        <f>IFERROR(D327/H327,"")</f>
        <v/>
      </c>
      <c r="J327" s="18">
        <f>IF(AND(ISNUMBER(D327),ISNUMBER(G327)),D327-G327,"")</f>
        <v/>
      </c>
      <c r="K327" s="45" t="n">
        <v>0</v>
      </c>
      <c r="L327" s="45" t="n">
        <v>7347</v>
      </c>
      <c r="M327" s="26" t="inlineStr">
        <is>
          <t>24 Apr</t>
        </is>
      </c>
    </row>
    <row r="328">
      <c r="A328" s="41" t="n">
        <v>46137</v>
      </c>
      <c r="B328" s="28" t="n">
        <v>0.72</v>
      </c>
      <c r="C328" s="28" t="n">
        <v>0.73</v>
      </c>
      <c r="D328" s="29">
        <f>IF(COUNT(B328:C328)=2,(B328+C328)/2,"")</f>
        <v/>
      </c>
      <c r="E328" s="28" t="n">
        <v>0.26</v>
      </c>
      <c r="F328" s="28" t="n">
        <v>0.3</v>
      </c>
      <c r="G328" s="29">
        <f>IF(COUNT(E328:F328)=2,(E328+F328)/2,"")</f>
        <v/>
      </c>
      <c r="H328" s="29">
        <f>IF(AND(ISNUMBER(D328),ISNUMBER(G328)),D328+G328,"")</f>
        <v/>
      </c>
      <c r="I328" s="30">
        <f>IFERROR(D328/H328,"")</f>
        <v/>
      </c>
      <c r="J328" s="31">
        <f>IF(AND(ISNUMBER(D328),ISNUMBER(G328)),D328-G328,"")</f>
        <v/>
      </c>
      <c r="K328" s="46" t="n">
        <v>0</v>
      </c>
      <c r="L328" s="46" t="n">
        <v>7347</v>
      </c>
      <c r="M328" s="38" t="inlineStr">
        <is>
          <t>25 Apr</t>
        </is>
      </c>
    </row>
    <row r="329">
      <c r="A329" s="39" t="n">
        <v>46138</v>
      </c>
      <c r="B329" s="16" t="n">
        <v>0.71</v>
      </c>
      <c r="C329" s="16" t="n">
        <v>0.73</v>
      </c>
      <c r="D329" s="17">
        <f>IF(COUNT(B329:C329)=2,(B329+C329)/2,"")</f>
        <v/>
      </c>
      <c r="E329" s="16" t="n">
        <v>0.26</v>
      </c>
      <c r="F329" s="16" t="n">
        <v>0.3</v>
      </c>
      <c r="G329" s="17">
        <f>IF(COUNT(E329:F329)=2,(E329+F329)/2,"")</f>
        <v/>
      </c>
      <c r="H329" s="17">
        <f>IF(AND(ISNUMBER(D329),ISNUMBER(G329)),D329+G329,"")</f>
        <v/>
      </c>
      <c r="I329" s="20">
        <f>IFERROR(D329/H329,"")</f>
        <v/>
      </c>
      <c r="J329" s="18">
        <f>IF(AND(ISNUMBER(D329),ISNUMBER(G329)),D329-G329,"")</f>
        <v/>
      </c>
      <c r="K329" s="45" t="n">
        <v>0</v>
      </c>
      <c r="L329" s="45" t="n">
        <v>7347</v>
      </c>
      <c r="M329" s="26" t="inlineStr">
        <is>
          <t>26 Apr</t>
        </is>
      </c>
    </row>
    <row r="330">
      <c r="A330" s="41" t="n">
        <v>46139</v>
      </c>
      <c r="B330" s="28" t="n">
        <v>0.72</v>
      </c>
      <c r="C330" s="28" t="n">
        <v>0.73</v>
      </c>
      <c r="D330" s="29">
        <f>IF(COUNT(B330:C330)=2,(B330+C330)/2,"")</f>
        <v/>
      </c>
      <c r="E330" s="28" t="n">
        <v>0.26</v>
      </c>
      <c r="F330" s="28" t="n">
        <v>0.3</v>
      </c>
      <c r="G330" s="29">
        <f>IF(COUNT(E330:F330)=2,(E330+F330)/2,"")</f>
        <v/>
      </c>
      <c r="H330" s="29">
        <f>IF(AND(ISNUMBER(D330),ISNUMBER(G330)),D330+G330,"")</f>
        <v/>
      </c>
      <c r="I330" s="30">
        <f>IFERROR(D330/H330,"")</f>
        <v/>
      </c>
      <c r="J330" s="31">
        <f>IF(AND(ISNUMBER(D330),ISNUMBER(G330)),D330-G330,"")</f>
        <v/>
      </c>
      <c r="K330" s="46" t="n">
        <v>0</v>
      </c>
      <c r="L330" s="46" t="n">
        <v>7347</v>
      </c>
      <c r="M330" s="38" t="inlineStr">
        <is>
          <t>27 Apr</t>
        </is>
      </c>
    </row>
    <row r="331">
      <c r="A331" s="39" t="n">
        <v>46140</v>
      </c>
      <c r="B331" s="16" t="n">
        <v>0.72</v>
      </c>
      <c r="C331" s="16" t="n">
        <v>0.73</v>
      </c>
      <c r="D331" s="17">
        <f>IF(COUNT(B331:C331)=2,(B331+C331)/2,"")</f>
        <v/>
      </c>
      <c r="E331" s="16" t="n">
        <v>0.26</v>
      </c>
      <c r="F331" s="16" t="n">
        <v>0.3</v>
      </c>
      <c r="G331" s="17">
        <f>IF(COUNT(E331:F331)=2,(E331+F331)/2,"")</f>
        <v/>
      </c>
      <c r="H331" s="17">
        <f>IF(AND(ISNUMBER(D331),ISNUMBER(G331)),D331+G331,"")</f>
        <v/>
      </c>
      <c r="I331" s="20">
        <f>IFERROR(D331/H331,"")</f>
        <v/>
      </c>
      <c r="J331" s="18">
        <f>IF(AND(ISNUMBER(D331),ISNUMBER(G331)),D331-G331,"")</f>
        <v/>
      </c>
      <c r="K331" s="45" t="n">
        <v>0</v>
      </c>
      <c r="L331" s="45" t="n">
        <v>7347</v>
      </c>
      <c r="M331" s="26" t="inlineStr">
        <is>
          <t>28 Apr</t>
        </is>
      </c>
    </row>
    <row r="332">
      <c r="A332" s="41" t="n">
        <v>46141</v>
      </c>
      <c r="B332" s="28" t="n">
        <v>0.72</v>
      </c>
      <c r="C332" s="28" t="n">
        <v>0.73</v>
      </c>
      <c r="D332" s="29">
        <f>IF(COUNT(B332:C332)=2,(B332+C332)/2,"")</f>
        <v/>
      </c>
      <c r="E332" s="28" t="n">
        <v>0.26</v>
      </c>
      <c r="F332" s="28" t="n">
        <v>0.3</v>
      </c>
      <c r="G332" s="29">
        <f>IF(COUNT(E332:F332)=2,(E332+F332)/2,"")</f>
        <v/>
      </c>
      <c r="H332" s="29">
        <f>IF(AND(ISNUMBER(D332),ISNUMBER(G332)),D332+G332,"")</f>
        <v/>
      </c>
      <c r="I332" s="30">
        <f>IFERROR(D332/H332,"")</f>
        <v/>
      </c>
      <c r="J332" s="31">
        <f>IF(AND(ISNUMBER(D332),ISNUMBER(G332)),D332-G332,"")</f>
        <v/>
      </c>
      <c r="K332" s="46" t="n">
        <v>0</v>
      </c>
      <c r="L332" s="46" t="n">
        <v>7347</v>
      </c>
      <c r="M332" s="38" t="inlineStr">
        <is>
          <t>29 Apr</t>
        </is>
      </c>
    </row>
    <row r="333">
      <c r="A333" s="39" t="n">
        <v>46142</v>
      </c>
      <c r="B333" s="16" t="n">
        <v>0.7</v>
      </c>
      <c r="C333" s="16" t="n">
        <v>0.72</v>
      </c>
      <c r="D333" s="17">
        <f>IF(COUNT(B333:C333)=2,(B333+C333)/2,"")</f>
        <v/>
      </c>
      <c r="E333" s="16" t="n">
        <v>0.26</v>
      </c>
      <c r="F333" s="16" t="n">
        <v>0.3</v>
      </c>
      <c r="G333" s="17">
        <f>IF(COUNT(E333:F333)=2,(E333+F333)/2,"")</f>
        <v/>
      </c>
      <c r="H333" s="17">
        <f>IF(AND(ISNUMBER(D333),ISNUMBER(G333)),D333+G333,"")</f>
        <v/>
      </c>
      <c r="I333" s="20">
        <f>IFERROR(D333/H333,"")</f>
        <v/>
      </c>
      <c r="J333" s="18">
        <f>IF(AND(ISNUMBER(D333),ISNUMBER(G333)),D333-G333,"")</f>
        <v/>
      </c>
      <c r="K333" s="45" t="n">
        <v>50</v>
      </c>
      <c r="L333" s="45" t="n">
        <v>7322</v>
      </c>
      <c r="M333" s="26" t="inlineStr">
        <is>
          <t>30 Apr</t>
        </is>
      </c>
    </row>
    <row r="334">
      <c r="A334" s="41" t="n">
        <v>46143</v>
      </c>
      <c r="B334" s="28" t="n">
        <v>0.7</v>
      </c>
      <c r="C334" s="28" t="n">
        <v>0.73</v>
      </c>
      <c r="D334" s="29">
        <f>IF(COUNT(B334:C334)=2,(B334+C334)/2,"")</f>
        <v/>
      </c>
      <c r="E334" s="28" t="n">
        <v>0.26</v>
      </c>
      <c r="F334" s="28" t="n">
        <v>0.3</v>
      </c>
      <c r="G334" s="29">
        <f>IF(COUNT(E334:F334)=2,(E334+F334)/2,"")</f>
        <v/>
      </c>
      <c r="H334" s="29">
        <f>IF(AND(ISNUMBER(D334),ISNUMBER(G334)),D334+G334,"")</f>
        <v/>
      </c>
      <c r="I334" s="30">
        <f>IFERROR(D334/H334,"")</f>
        <v/>
      </c>
      <c r="J334" s="31">
        <f>IF(AND(ISNUMBER(D334),ISNUMBER(G334)),D334-G334,"")</f>
        <v/>
      </c>
      <c r="K334" s="46" t="n">
        <v>20</v>
      </c>
      <c r="L334" s="46" t="n">
        <v>7336</v>
      </c>
      <c r="M334" s="38" t="inlineStr">
        <is>
          <t>01 May</t>
        </is>
      </c>
    </row>
    <row r="335">
      <c r="A335" s="39" t="n">
        <v>46144</v>
      </c>
      <c r="B335" s="16" t="n"/>
      <c r="C335" s="16" t="n"/>
      <c r="D335" s="17">
        <f>IF(COUNT(B335:C335)=2,(B335+C335)/2,"")</f>
        <v/>
      </c>
      <c r="E335" s="16" t="n">
        <v>0.26</v>
      </c>
      <c r="F335" s="16" t="n">
        <v>0.3</v>
      </c>
      <c r="G335" s="17">
        <f>IF(COUNT(E335:F335)=2,(E335+F335)/2,"")</f>
        <v/>
      </c>
      <c r="H335" s="17">
        <f>IF(AND(ISNUMBER(D335),ISNUMBER(G335)),D335+G335,"")</f>
        <v/>
      </c>
      <c r="I335" s="20">
        <f>IFERROR(D335/H335,"")</f>
        <v/>
      </c>
      <c r="J335" s="18">
        <f>IF(AND(ISNUMBER(D335),ISNUMBER(G335)),D335-G335,"")</f>
        <v/>
      </c>
      <c r="K335" s="45" t="n">
        <v>0</v>
      </c>
      <c r="L335" s="45" t="n">
        <v>6463</v>
      </c>
      <c r="M335" s="26" t="inlineStr">
        <is>
          <t>02 May</t>
        </is>
      </c>
    </row>
    <row r="336">
      <c r="A336" s="41" t="n">
        <v>46145</v>
      </c>
      <c r="B336" s="28" t="n"/>
      <c r="C336" s="28" t="n"/>
      <c r="D336" s="29">
        <f>IF(COUNT(B336:C336)=2,(B336+C336)/2,"")</f>
        <v/>
      </c>
      <c r="E336" s="28" t="n">
        <v>0.26</v>
      </c>
      <c r="F336" s="28" t="n">
        <v>0.3</v>
      </c>
      <c r="G336" s="29">
        <f>IF(COUNT(E336:F336)=2,(E336+F336)/2,"")</f>
        <v/>
      </c>
      <c r="H336" s="29">
        <f>IF(AND(ISNUMBER(D336),ISNUMBER(G336)),D336+G336,"")</f>
        <v/>
      </c>
      <c r="I336" s="30">
        <f>IFERROR(D336/H336,"")</f>
        <v/>
      </c>
      <c r="J336" s="31">
        <f>IF(AND(ISNUMBER(D336),ISNUMBER(G336)),D336-G336,"")</f>
        <v/>
      </c>
      <c r="K336" s="46" t="n">
        <v>0</v>
      </c>
      <c r="L336" s="46" t="n">
        <v>6463</v>
      </c>
      <c r="M336" s="38" t="inlineStr">
        <is>
          <t>03 May</t>
        </is>
      </c>
    </row>
    <row r="337">
      <c r="A337" s="39" t="n">
        <v>46146</v>
      </c>
      <c r="B337" s="16" t="n">
        <v>0.7</v>
      </c>
      <c r="C337" s="16" t="n">
        <v>0.73</v>
      </c>
      <c r="D337" s="17">
        <f>IF(COUNT(B337:C337)=2,(B337+C337)/2,"")</f>
        <v/>
      </c>
      <c r="E337" s="16" t="n">
        <v>0.26</v>
      </c>
      <c r="F337" s="16" t="n">
        <v>0.3</v>
      </c>
      <c r="G337" s="17">
        <f>IF(COUNT(E337:F337)=2,(E337+F337)/2,"")</f>
        <v/>
      </c>
      <c r="H337" s="17">
        <f>IF(AND(ISNUMBER(D337),ISNUMBER(G337)),D337+G337,"")</f>
        <v/>
      </c>
      <c r="I337" s="20">
        <f>IFERROR(D337/H337,"")</f>
        <v/>
      </c>
      <c r="J337" s="18">
        <f>IF(AND(ISNUMBER(D337),ISNUMBER(G337)),D337-G337,"")</f>
        <v/>
      </c>
      <c r="K337" s="45" t="n">
        <v>36</v>
      </c>
      <c r="L337" s="45" t="n">
        <v>7330</v>
      </c>
      <c r="M337" s="26" t="inlineStr">
        <is>
          <t>04 May</t>
        </is>
      </c>
    </row>
    <row r="338">
      <c r="A338" s="41" t="n">
        <v>46147</v>
      </c>
      <c r="B338" s="28" t="n">
        <v>0.7</v>
      </c>
      <c r="C338" s="28" t="n">
        <v>0.73</v>
      </c>
      <c r="D338" s="29">
        <f>IF(COUNT(B338:C338)=2,(B338+C338)/2,"")</f>
        <v/>
      </c>
      <c r="E338" s="28" t="n">
        <v>0.26</v>
      </c>
      <c r="F338" s="28" t="n">
        <v>0.3</v>
      </c>
      <c r="G338" s="29">
        <f>IF(COUNT(E338:F338)=2,(E338+F338)/2,"")</f>
        <v/>
      </c>
      <c r="H338" s="29">
        <f>IF(AND(ISNUMBER(D338),ISNUMBER(G338)),D338+G338,"")</f>
        <v/>
      </c>
      <c r="I338" s="30">
        <f>IFERROR(D338/H338,"")</f>
        <v/>
      </c>
      <c r="J338" s="31">
        <f>IF(AND(ISNUMBER(D338),ISNUMBER(G338)),D338-G338,"")</f>
        <v/>
      </c>
      <c r="K338" s="46" t="n">
        <v>1.34</v>
      </c>
      <c r="L338" s="46" t="n">
        <v>7331.34</v>
      </c>
      <c r="M338" s="38" t="inlineStr">
        <is>
          <t>05 May</t>
        </is>
      </c>
    </row>
    <row r="339">
      <c r="A339" s="39" t="n">
        <v>46148</v>
      </c>
      <c r="B339" s="16" t="n">
        <v>0.7</v>
      </c>
      <c r="C339" s="16" t="n">
        <v>0.71</v>
      </c>
      <c r="D339" s="17">
        <f>IF(COUNT(B339:C339)=2,(B339+C339)/2,"")</f>
        <v/>
      </c>
      <c r="E339" s="16" t="n">
        <v>0.26</v>
      </c>
      <c r="F339" s="16" t="n">
        <v>0.3</v>
      </c>
      <c r="G339" s="17">
        <f>IF(COUNT(E339:F339)=2,(E339+F339)/2,"")</f>
        <v/>
      </c>
      <c r="H339" s="17">
        <f>IF(AND(ISNUMBER(D339),ISNUMBER(G339)),D339+G339,"")</f>
        <v/>
      </c>
      <c r="I339" s="20">
        <f>IFERROR(D339/H339,"")</f>
        <v/>
      </c>
      <c r="J339" s="18">
        <f>IF(AND(ISNUMBER(D339),ISNUMBER(G339)),D339-G339,"")</f>
        <v/>
      </c>
      <c r="K339" s="45" t="n">
        <v>0</v>
      </c>
      <c r="L339" s="45" t="n">
        <v>7331.34</v>
      </c>
      <c r="M339" s="26" t="inlineStr">
        <is>
          <t>06 May</t>
        </is>
      </c>
    </row>
    <row r="340">
      <c r="A340" s="41" t="n">
        <v>46149</v>
      </c>
      <c r="B340" s="28" t="n">
        <v>0.7</v>
      </c>
      <c r="C340" s="28" t="n">
        <v>0.73</v>
      </c>
      <c r="D340" s="29">
        <f>IF(COUNT(B340:C340)=2,(B340+C340)/2,"")</f>
        <v/>
      </c>
      <c r="E340" s="28" t="n">
        <v>0.26</v>
      </c>
      <c r="F340" s="28" t="n">
        <v>0.3</v>
      </c>
      <c r="G340" s="29">
        <f>IF(COUNT(E340:F340)=2,(E340+F340)/2,"")</f>
        <v/>
      </c>
      <c r="H340" s="29">
        <f>IF(AND(ISNUMBER(D340),ISNUMBER(G340)),D340+G340,"")</f>
        <v/>
      </c>
      <c r="I340" s="30">
        <f>IFERROR(D340/H340,"")</f>
        <v/>
      </c>
      <c r="J340" s="31">
        <f>IF(AND(ISNUMBER(D340),ISNUMBER(G340)),D340-G340,"")</f>
        <v/>
      </c>
      <c r="K340" s="46" t="n">
        <v>0</v>
      </c>
      <c r="L340" s="46" t="n">
        <v>7331.34</v>
      </c>
      <c r="M340" s="38" t="inlineStr">
        <is>
          <t>07 May</t>
        </is>
      </c>
    </row>
    <row r="341">
      <c r="A341" s="39" t="n">
        <v>46150</v>
      </c>
      <c r="B341" s="16" t="n">
        <v>0.7</v>
      </c>
      <c r="C341" s="16" t="n">
        <v>0.73</v>
      </c>
      <c r="D341" s="17">
        <f>IF(COUNT(B341:C341)=2,(B341+C341)/2,"")</f>
        <v/>
      </c>
      <c r="E341" s="16" t="n">
        <v>0.26</v>
      </c>
      <c r="F341" s="16" t="n">
        <v>0.3</v>
      </c>
      <c r="G341" s="17">
        <f>IF(COUNT(E341:F341)=2,(E341+F341)/2,"")</f>
        <v/>
      </c>
      <c r="H341" s="17">
        <f>IF(AND(ISNUMBER(D341),ISNUMBER(G341)),D341+G341,"")</f>
        <v/>
      </c>
      <c r="I341" s="20">
        <f>IFERROR(D341/H341,"")</f>
        <v/>
      </c>
      <c r="J341" s="18">
        <f>IF(AND(ISNUMBER(D341),ISNUMBER(G341)),D341-G341,"")</f>
        <v/>
      </c>
      <c r="K341" s="45" t="n">
        <v>20.16</v>
      </c>
      <c r="L341" s="45" t="n">
        <v>7351.5</v>
      </c>
      <c r="M341" s="26" t="inlineStr">
        <is>
          <t>08 May</t>
        </is>
      </c>
    </row>
    <row r="342">
      <c r="A342" s="41" t="n">
        <v>46151</v>
      </c>
      <c r="B342" s="28" t="n">
        <v>0.7</v>
      </c>
      <c r="C342" s="28" t="n">
        <v>0.73</v>
      </c>
      <c r="D342" s="29">
        <f>IF(COUNT(B342:C342)=2,(B342+C342)/2,"")</f>
        <v/>
      </c>
      <c r="E342" s="28" t="n">
        <v>0.26</v>
      </c>
      <c r="F342" s="28" t="n">
        <v>0.3</v>
      </c>
      <c r="G342" s="29">
        <f>IF(COUNT(E342:F342)=2,(E342+F342)/2,"")</f>
        <v/>
      </c>
      <c r="H342" s="29">
        <f>IF(AND(ISNUMBER(D342),ISNUMBER(G342)),D342+G342,"")</f>
        <v/>
      </c>
      <c r="I342" s="30">
        <f>IFERROR(D342/H342,"")</f>
        <v/>
      </c>
      <c r="J342" s="31">
        <f>IF(AND(ISNUMBER(D342),ISNUMBER(G342)),D342-G342,"")</f>
        <v/>
      </c>
      <c r="K342" s="46" t="n">
        <v>0</v>
      </c>
      <c r="L342" s="46" t="n">
        <v>7351.5</v>
      </c>
      <c r="M342" s="38" t="inlineStr">
        <is>
          <t>09 May</t>
        </is>
      </c>
    </row>
    <row r="343">
      <c r="A343" s="39" t="n">
        <v>46152</v>
      </c>
      <c r="B343" s="16" t="n">
        <v>0.7</v>
      </c>
      <c r="C343" s="16" t="n">
        <v>0.73</v>
      </c>
      <c r="D343" s="17">
        <f>IF(COUNT(B343:C343)=2,(B343+C343)/2,"")</f>
        <v/>
      </c>
      <c r="E343" s="16" t="n">
        <v>0.26</v>
      </c>
      <c r="F343" s="16" t="n">
        <v>0.3</v>
      </c>
      <c r="G343" s="17">
        <f>IF(COUNT(E343:F343)=2,(E343+F343)/2,"")</f>
        <v/>
      </c>
      <c r="H343" s="17">
        <f>IF(AND(ISNUMBER(D343),ISNUMBER(G343)),D343+G343,"")</f>
        <v/>
      </c>
      <c r="I343" s="20">
        <f>IFERROR(D343/H343,"")</f>
        <v/>
      </c>
      <c r="J343" s="18">
        <f>IF(AND(ISNUMBER(D343),ISNUMBER(G343)),D343-G343,"")</f>
        <v/>
      </c>
      <c r="K343" s="45" t="n">
        <v>16</v>
      </c>
      <c r="L343" s="45" t="n">
        <v>7335.5</v>
      </c>
      <c r="M343" s="26" t="inlineStr">
        <is>
          <t>10 May</t>
        </is>
      </c>
    </row>
    <row r="344">
      <c r="A344" s="41" t="n">
        <v>46153</v>
      </c>
      <c r="B344" s="28" t="n">
        <v>0.6899999999999999</v>
      </c>
      <c r="C344" s="28" t="n">
        <v>0.7</v>
      </c>
      <c r="D344" s="29">
        <f>IF(COUNT(B344:C344)=2,(B344+C344)/2,"")</f>
        <v/>
      </c>
      <c r="E344" s="28" t="n">
        <v>0.27</v>
      </c>
      <c r="F344" s="28" t="n">
        <v>0.3</v>
      </c>
      <c r="G344" s="29">
        <f>IF(COUNT(E344:F344)=2,(E344+F344)/2,"")</f>
        <v/>
      </c>
      <c r="H344" s="29">
        <f>IF(AND(ISNUMBER(D344),ISNUMBER(G344)),D344+G344,"")</f>
        <v/>
      </c>
      <c r="I344" s="30">
        <f>IFERROR(D344/H344,"")</f>
        <v/>
      </c>
      <c r="J344" s="31">
        <f>IF(AND(ISNUMBER(D344),ISNUMBER(G344)),D344-G344,"")</f>
        <v/>
      </c>
      <c r="K344" s="46" t="n">
        <v>250</v>
      </c>
      <c r="L344" s="46" t="n">
        <v>7085.5</v>
      </c>
      <c r="M344" s="38" t="inlineStr">
        <is>
          <t>11 May</t>
        </is>
      </c>
    </row>
    <row r="345">
      <c r="A345" s="39" t="n">
        <v>46154</v>
      </c>
      <c r="B345" s="16" t="n">
        <v>0.6899999999999999</v>
      </c>
      <c r="C345" s="16" t="n">
        <v>0.7</v>
      </c>
      <c r="D345" s="17">
        <f>IF(COUNT(B345:C345)=2,(B345+C345)/2,"")</f>
        <v/>
      </c>
      <c r="E345" s="16" t="n">
        <v>0.27</v>
      </c>
      <c r="F345" s="16" t="n">
        <v>0.3</v>
      </c>
      <c r="G345" s="17">
        <f>IF(COUNT(E345:F345)=2,(E345+F345)/2,"")</f>
        <v/>
      </c>
      <c r="H345" s="17">
        <f>IF(AND(ISNUMBER(D345),ISNUMBER(G345)),D345+G345,"")</f>
        <v/>
      </c>
      <c r="I345" s="20">
        <f>IFERROR(D345/H345,"")</f>
        <v/>
      </c>
      <c r="J345" s="18">
        <f>IF(AND(ISNUMBER(D345),ISNUMBER(G345)),D345-G345,"")</f>
        <v/>
      </c>
      <c r="K345" s="45" t="n">
        <v>6</v>
      </c>
      <c r="L345" s="45" t="n">
        <v>7079.5</v>
      </c>
      <c r="M345" s="26" t="inlineStr">
        <is>
          <t>12 May</t>
        </is>
      </c>
    </row>
    <row r="346">
      <c r="A346" s="41" t="n">
        <v>46155</v>
      </c>
      <c r="B346" s="28" t="n"/>
      <c r="C346" s="28" t="n"/>
      <c r="D346" s="29">
        <f>IF(COUNT(B346:C346)=2,(B346+C346)/2,"")</f>
        <v/>
      </c>
      <c r="E346" s="28" t="n">
        <v>0.27</v>
      </c>
      <c r="F346" s="28" t="n">
        <v>0.3</v>
      </c>
      <c r="G346" s="29">
        <f>IF(COUNT(E346:F346)=2,(E346+F346)/2,"")</f>
        <v/>
      </c>
      <c r="H346" s="29">
        <f>IF(AND(ISNUMBER(D346),ISNUMBER(G346)),D346+G346,"")</f>
        <v/>
      </c>
      <c r="I346" s="30">
        <f>IFERROR(D346/H346,"")</f>
        <v/>
      </c>
      <c r="J346" s="31">
        <f>IF(AND(ISNUMBER(D346),ISNUMBER(G346)),D346-G346,"")</f>
        <v/>
      </c>
      <c r="K346" s="46" t="n">
        <v>0</v>
      </c>
      <c r="L346" s="46" t="n">
        <v>6463</v>
      </c>
      <c r="M346" s="38" t="inlineStr">
        <is>
          <t>13 May</t>
        </is>
      </c>
    </row>
    <row r="347">
      <c r="A347" s="39" t="n">
        <v>46156</v>
      </c>
      <c r="B347" s="16" t="n">
        <v>0.6899999999999999</v>
      </c>
      <c r="C347" s="16" t="n">
        <v>0.72</v>
      </c>
      <c r="D347" s="17">
        <f>IF(COUNT(B347:C347)=2,(B347+C347)/2,"")</f>
        <v/>
      </c>
      <c r="E347" s="16" t="n">
        <v>0.27</v>
      </c>
      <c r="F347" s="16" t="n">
        <v>0.3</v>
      </c>
      <c r="G347" s="17">
        <f>IF(COUNT(E347:F347)=2,(E347+F347)/2,"")</f>
        <v/>
      </c>
      <c r="H347" s="17">
        <f>IF(AND(ISNUMBER(D347),ISNUMBER(G347)),D347+G347,"")</f>
        <v/>
      </c>
      <c r="I347" s="20">
        <f>IFERROR(D347/H347,"")</f>
        <v/>
      </c>
      <c r="J347" s="18">
        <f>IF(AND(ISNUMBER(D347),ISNUMBER(G347)),D347-G347,"")</f>
        <v/>
      </c>
      <c r="K347" s="45" t="n">
        <v>50</v>
      </c>
      <c r="L347" s="45" t="n">
        <v>7079.5</v>
      </c>
      <c r="M347" s="26" t="inlineStr">
        <is>
          <t>14 May</t>
        </is>
      </c>
    </row>
    <row r="348">
      <c r="A348" s="41" t="n">
        <v>46157</v>
      </c>
      <c r="B348" s="28" t="n">
        <v>0.6899999999999999</v>
      </c>
      <c r="C348" s="28" t="n">
        <v>0.72</v>
      </c>
      <c r="D348" s="29">
        <f>IF(COUNT(B348:C348)=2,(B348+C348)/2,"")</f>
        <v/>
      </c>
      <c r="E348" s="28" t="n">
        <v>0.27</v>
      </c>
      <c r="F348" s="28" t="n">
        <v>0.3</v>
      </c>
      <c r="G348" s="29">
        <f>IF(COUNT(E348:F348)=2,(E348+F348)/2,"")</f>
        <v/>
      </c>
      <c r="H348" s="29">
        <f>IF(AND(ISNUMBER(D348),ISNUMBER(G348)),D348+G348,"")</f>
        <v/>
      </c>
      <c r="I348" s="30">
        <f>IFERROR(D348/H348,"")</f>
        <v/>
      </c>
      <c r="J348" s="31">
        <f>IF(AND(ISNUMBER(D348),ISNUMBER(G348)),D348-G348,"")</f>
        <v/>
      </c>
      <c r="K348" s="46" t="n">
        <v>0</v>
      </c>
      <c r="L348" s="46" t="n">
        <v>7079.5</v>
      </c>
      <c r="M348" s="38" t="inlineStr">
        <is>
          <t>15 May</t>
        </is>
      </c>
    </row>
    <row r="349">
      <c r="A349" s="39" t="n">
        <v>46158</v>
      </c>
      <c r="B349" s="16" t="n"/>
      <c r="C349" s="16" t="n"/>
      <c r="D349" s="17">
        <f>IF(COUNT(B349:C349)=2,(B349+C349)/2,"")</f>
        <v/>
      </c>
      <c r="E349" s="16" t="n">
        <v>0.27</v>
      </c>
      <c r="F349" s="16" t="n">
        <v>0.3</v>
      </c>
      <c r="G349" s="17">
        <f>IF(COUNT(E349:F349)=2,(E349+F349)/2,"")</f>
        <v/>
      </c>
      <c r="H349" s="17">
        <f>IF(AND(ISNUMBER(D349),ISNUMBER(G349)),D349+G349,"")</f>
        <v/>
      </c>
      <c r="I349" s="20">
        <f>IFERROR(D349/H349,"")</f>
        <v/>
      </c>
      <c r="J349" s="18">
        <f>IF(AND(ISNUMBER(D349),ISNUMBER(G349)),D349-G349,"")</f>
        <v/>
      </c>
      <c r="K349" s="45" t="n">
        <v>0</v>
      </c>
      <c r="L349" s="45" t="n">
        <v>6463</v>
      </c>
      <c r="M349" s="26" t="inlineStr">
        <is>
          <t>16 May</t>
        </is>
      </c>
    </row>
    <row r="350">
      <c r="A350" s="41" t="n">
        <v>46159</v>
      </c>
      <c r="B350" s="28" t="n"/>
      <c r="C350" s="28" t="n"/>
      <c r="D350" s="29">
        <f>IF(COUNT(B350:C350)=2,(B350+C350)/2,"")</f>
        <v/>
      </c>
      <c r="E350" s="28" t="n">
        <v>0.27</v>
      </c>
      <c r="F350" s="28" t="n">
        <v>0.3</v>
      </c>
      <c r="G350" s="29">
        <f>IF(COUNT(E350:F350)=2,(E350+F350)/2,"")</f>
        <v/>
      </c>
      <c r="H350" s="29">
        <f>IF(AND(ISNUMBER(D350),ISNUMBER(G350)),D350+G350,"")</f>
        <v/>
      </c>
      <c r="I350" s="30">
        <f>IFERROR(D350/H350,"")</f>
        <v/>
      </c>
      <c r="J350" s="31">
        <f>IF(AND(ISNUMBER(D350),ISNUMBER(G350)),D350-G350,"")</f>
        <v/>
      </c>
      <c r="K350" s="46" t="n">
        <v>0</v>
      </c>
      <c r="L350" s="46" t="n">
        <v>6463</v>
      </c>
      <c r="M350" s="38" t="inlineStr">
        <is>
          <t>17 May</t>
        </is>
      </c>
    </row>
    <row r="351">
      <c r="A351" s="39" t="n">
        <v>46160</v>
      </c>
      <c r="B351" s="16" t="n">
        <v>0.6899999999999999</v>
      </c>
      <c r="C351" s="16" t="n">
        <v>0.71</v>
      </c>
      <c r="D351" s="17">
        <f>IF(COUNT(B351:C351)=2,(B351+C351)/2,"")</f>
        <v/>
      </c>
      <c r="E351" s="16" t="n">
        <v>0.27</v>
      </c>
      <c r="F351" s="16" t="n">
        <v>0.3</v>
      </c>
      <c r="G351" s="17">
        <f>IF(COUNT(E351:F351)=2,(E351+F351)/2,"")</f>
        <v/>
      </c>
      <c r="H351" s="17">
        <f>IF(AND(ISNUMBER(D351),ISNUMBER(G351)),D351+G351,"")</f>
        <v/>
      </c>
      <c r="I351" s="20">
        <f>IFERROR(D351/H351,"")</f>
        <v/>
      </c>
      <c r="J351" s="18">
        <f>IF(AND(ISNUMBER(D351),ISNUMBER(G351)),D351-G351,"")</f>
        <v/>
      </c>
      <c r="K351" s="45" t="n">
        <v>0</v>
      </c>
      <c r="L351" s="45" t="n">
        <v>7079.5</v>
      </c>
      <c r="M351" s="26" t="inlineStr">
        <is>
          <t>18 May</t>
        </is>
      </c>
    </row>
    <row r="352">
      <c r="A352" s="41" t="n">
        <v>46161</v>
      </c>
      <c r="B352" s="28" t="n">
        <v>0.6899999999999999</v>
      </c>
      <c r="C352" s="28" t="n">
        <v>0.72</v>
      </c>
      <c r="D352" s="29">
        <f>IF(COUNT(B352:C352)=2,(B352+C352)/2,"")</f>
        <v/>
      </c>
      <c r="E352" s="28" t="n">
        <v>0.27</v>
      </c>
      <c r="F352" s="28" t="n">
        <v>0.3</v>
      </c>
      <c r="G352" s="29">
        <f>IF(COUNT(E352:F352)=2,(E352+F352)/2,"")</f>
        <v/>
      </c>
      <c r="H352" s="29">
        <f>IF(AND(ISNUMBER(D352),ISNUMBER(G352)),D352+G352,"")</f>
        <v/>
      </c>
      <c r="I352" s="30">
        <f>IFERROR(D352/H352,"")</f>
        <v/>
      </c>
      <c r="J352" s="31">
        <f>IF(AND(ISNUMBER(D352),ISNUMBER(G352)),D352-G352,"")</f>
        <v/>
      </c>
      <c r="K352" s="46" t="n">
        <v>0</v>
      </c>
      <c r="L352" s="46" t="n">
        <v>7079.5</v>
      </c>
      <c r="M352" s="38" t="inlineStr">
        <is>
          <t>19 May</t>
        </is>
      </c>
    </row>
    <row r="353">
      <c r="A353" s="39" t="n">
        <v>46162</v>
      </c>
      <c r="B353" s="16" t="n">
        <v>0.71</v>
      </c>
      <c r="C353" s="16" t="n">
        <v>0.74</v>
      </c>
      <c r="D353" s="17">
        <f>IF(COUNT(B353:C353)=2,(B353+C353)/2,"")</f>
        <v/>
      </c>
      <c r="E353" s="16" t="n">
        <v>0.27</v>
      </c>
      <c r="F353" s="16" t="n">
        <v>0.3</v>
      </c>
      <c r="G353" s="17">
        <f>IF(COUNT(E353:F353)=2,(E353+F353)/2,"")</f>
        <v/>
      </c>
      <c r="H353" s="17">
        <f>IF(AND(ISNUMBER(D353),ISNUMBER(G353)),D353+G353,"")</f>
        <v/>
      </c>
      <c r="I353" s="20">
        <f>IFERROR(D353/H353,"")</f>
        <v/>
      </c>
      <c r="J353" s="18">
        <f>IF(AND(ISNUMBER(D353),ISNUMBER(G353)),D353-G353,"")</f>
        <v/>
      </c>
      <c r="K353" s="45" t="n">
        <v>428.61</v>
      </c>
      <c r="L353" s="45" t="n">
        <v>7508.11</v>
      </c>
      <c r="M353" s="26" t="inlineStr">
        <is>
          <t>20 May</t>
        </is>
      </c>
    </row>
    <row r="354">
      <c r="A354" s="41" t="n">
        <v>46163</v>
      </c>
      <c r="B354" s="28" t="n">
        <v>0.7</v>
      </c>
      <c r="C354" s="28" t="n">
        <v>0.74</v>
      </c>
      <c r="D354" s="29">
        <f>IF(COUNT(B354:C354)=2,(B354+C354)/2,"")</f>
        <v/>
      </c>
      <c r="E354" s="28" t="n">
        <v>0.26</v>
      </c>
      <c r="F354" s="28" t="n">
        <v>0.3</v>
      </c>
      <c r="G354" s="29">
        <f>IF(COUNT(E354:F354)=2,(E354+F354)/2,"")</f>
        <v/>
      </c>
      <c r="H354" s="29">
        <f>IF(AND(ISNUMBER(D354),ISNUMBER(G354)),D354+G354,"")</f>
        <v/>
      </c>
      <c r="I354" s="30">
        <f>IFERROR(D354/H354,"")</f>
        <v/>
      </c>
      <c r="J354" s="31">
        <f>IF(AND(ISNUMBER(D354),ISNUMBER(G354)),D354-G354,"")</f>
        <v/>
      </c>
      <c r="K354" s="46" t="n">
        <v>40.56</v>
      </c>
      <c r="L354" s="46" t="n">
        <v>7494.09</v>
      </c>
      <c r="M354" s="38" t="inlineStr">
        <is>
          <t>21 May</t>
        </is>
      </c>
    </row>
    <row r="355">
      <c r="A355" s="39" t="n">
        <v>46164</v>
      </c>
      <c r="B355" s="16" t="n">
        <v>0.71</v>
      </c>
      <c r="C355" s="16" t="n">
        <v>0.74</v>
      </c>
      <c r="D355" s="17">
        <f>IF(COUNT(B355:C355)=2,(B355+C355)/2,"")</f>
        <v/>
      </c>
      <c r="E355" s="16" t="n">
        <v>0.22</v>
      </c>
      <c r="F355" s="16" t="n">
        <v>0.3</v>
      </c>
      <c r="G355" s="17">
        <f>IF(COUNT(E355:F355)=2,(E355+F355)/2,"")</f>
        <v/>
      </c>
      <c r="H355" s="17">
        <f>IF(AND(ISNUMBER(D355),ISNUMBER(G355)),D355+G355,"")</f>
        <v/>
      </c>
      <c r="I355" s="20">
        <f>IFERROR(D355/H355,"")</f>
        <v/>
      </c>
      <c r="J355" s="18">
        <f>IF(AND(ISNUMBER(D355),ISNUMBER(G355)),D355-G355,"")</f>
        <v/>
      </c>
      <c r="K355" s="45" t="n">
        <v>132.71</v>
      </c>
      <c r="L355" s="45" t="n">
        <v>7626.8</v>
      </c>
      <c r="M355" s="26" t="inlineStr">
        <is>
          <t>22 May</t>
        </is>
      </c>
    </row>
    <row r="356">
      <c r="A356" s="41" t="n">
        <v>46165</v>
      </c>
      <c r="B356" s="28" t="n">
        <v>0.7</v>
      </c>
      <c r="C356" s="28" t="n">
        <v>0.73</v>
      </c>
      <c r="D356" s="29">
        <f>IF(COUNT(B356:C356)=2,(B356+C356)/2,"")</f>
        <v/>
      </c>
      <c r="E356" s="28" t="n">
        <v>0.28</v>
      </c>
      <c r="F356" s="28" t="n">
        <v>0.3</v>
      </c>
      <c r="G356" s="29">
        <f>IF(COUNT(E356:F356)=2,(E356+F356)/2,"")</f>
        <v/>
      </c>
      <c r="H356" s="29">
        <f>IF(AND(ISNUMBER(D356),ISNUMBER(G356)),D356+G356,"")</f>
        <v/>
      </c>
      <c r="I356" s="30">
        <f>IFERROR(D356/H356,"")</f>
        <v/>
      </c>
      <c r="J356" s="31">
        <f>IF(AND(ISNUMBER(D356),ISNUMBER(G356)),D356-G356,"")</f>
        <v/>
      </c>
      <c r="K356" s="46" t="n">
        <v>215</v>
      </c>
      <c r="L356" s="46" t="n">
        <v>7663.8</v>
      </c>
      <c r="M356" s="38" t="inlineStr">
        <is>
          <t>23 May</t>
        </is>
      </c>
    </row>
    <row r="357">
      <c r="A357" s="39" t="n">
        <v>46166</v>
      </c>
      <c r="B357" s="16" t="n">
        <v>0.7</v>
      </c>
      <c r="C357" s="16" t="n">
        <v>0.71</v>
      </c>
      <c r="D357" s="17">
        <f>IF(COUNT(B357:C357)=2,(B357+C357)/2,"")</f>
        <v/>
      </c>
      <c r="E357" s="16" t="n">
        <v>0.26</v>
      </c>
      <c r="F357" s="16" t="n">
        <v>0.3</v>
      </c>
      <c r="G357" s="17">
        <f>IF(COUNT(E357:F357)=2,(E357+F357)/2,"")</f>
        <v/>
      </c>
      <c r="H357" s="17">
        <f>IF(AND(ISNUMBER(D357),ISNUMBER(G357)),D357+G357,"")</f>
        <v/>
      </c>
      <c r="I357" s="20">
        <f>IFERROR(D357/H357,"")</f>
        <v/>
      </c>
      <c r="J357" s="18">
        <f>IF(AND(ISNUMBER(D357),ISNUMBER(G357)),D357-G357,"")</f>
        <v/>
      </c>
      <c r="K357" s="45" t="n">
        <v>0.01</v>
      </c>
      <c r="L357" s="45" t="n">
        <v>7663.8</v>
      </c>
      <c r="M357" s="26" t="inlineStr">
        <is>
          <t>24 May</t>
        </is>
      </c>
    </row>
    <row r="358">
      <c r="A358" s="41" t="n">
        <v>46167</v>
      </c>
      <c r="B358" s="28" t="n">
        <v>0.6899999999999999</v>
      </c>
      <c r="C358" s="28" t="n">
        <v>0.71</v>
      </c>
      <c r="D358" s="29">
        <f>IF(COUNT(B358:C358)=2,(B358+C358)/2,"")</f>
        <v/>
      </c>
      <c r="E358" s="28" t="n">
        <v>0.26</v>
      </c>
      <c r="F358" s="28" t="n">
        <v>0.3</v>
      </c>
      <c r="G358" s="29">
        <f>IF(COUNT(E358:F358)=2,(E358+F358)/2,"")</f>
        <v/>
      </c>
      <c r="H358" s="29">
        <f>IF(AND(ISNUMBER(D358),ISNUMBER(G358)),D358+G358,"")</f>
        <v/>
      </c>
      <c r="I358" s="30">
        <f>IFERROR(D358/H358,"")</f>
        <v/>
      </c>
      <c r="J358" s="31">
        <f>IF(AND(ISNUMBER(D358),ISNUMBER(G358)),D358-G358,"")</f>
        <v/>
      </c>
      <c r="K358" s="46" t="n">
        <v>50</v>
      </c>
      <c r="L358" s="46" t="n">
        <v>7613.8</v>
      </c>
      <c r="M358" s="38" t="inlineStr">
        <is>
          <t>25 May</t>
        </is>
      </c>
    </row>
    <row r="359">
      <c r="A359" s="39" t="n">
        <v>46168</v>
      </c>
      <c r="B359" s="16" t="n">
        <v>0.6899999999999999</v>
      </c>
      <c r="C359" s="16" t="n">
        <v>0.71</v>
      </c>
      <c r="D359" s="17">
        <f>IF(COUNT(B359:C359)=2,(B359+C359)/2,"")</f>
        <v/>
      </c>
      <c r="E359" s="16" t="n">
        <v>0.26</v>
      </c>
      <c r="F359" s="16" t="n">
        <v>0.3</v>
      </c>
      <c r="G359" s="17">
        <f>IF(COUNT(E359:F359)=2,(E359+F359)/2,"")</f>
        <v/>
      </c>
      <c r="H359" s="17">
        <f>IF(AND(ISNUMBER(D359),ISNUMBER(G359)),D359+G359,"")</f>
        <v/>
      </c>
      <c r="I359" s="20">
        <f>IFERROR(D359/H359,"")</f>
        <v/>
      </c>
      <c r="J359" s="18">
        <f>IF(AND(ISNUMBER(D359),ISNUMBER(G359)),D359-G359,"")</f>
        <v/>
      </c>
      <c r="K359" s="45" t="n">
        <v>79.43000000000001</v>
      </c>
      <c r="L359" s="45" t="n">
        <v>7613.8</v>
      </c>
      <c r="M359" s="26" t="inlineStr">
        <is>
          <t>26 May</t>
        </is>
      </c>
    </row>
    <row r="360">
      <c r="A360" s="41" t="n">
        <v>46169</v>
      </c>
      <c r="B360" s="28" t="n">
        <v>0.6899999999999999</v>
      </c>
      <c r="C360" s="28" t="n">
        <v>0.74</v>
      </c>
      <c r="D360" s="29">
        <f>IF(COUNT(B360:C360)=2,(B360+C360)/2,"")</f>
        <v/>
      </c>
      <c r="E360" s="28" t="n">
        <v>0.26</v>
      </c>
      <c r="F360" s="28" t="n">
        <v>0.3</v>
      </c>
      <c r="G360" s="29">
        <f>IF(COUNT(E360:F360)=2,(E360+F360)/2,"")</f>
        <v/>
      </c>
      <c r="H360" s="29">
        <f>IF(AND(ISNUMBER(D360),ISNUMBER(G360)),D360+G360,"")</f>
        <v/>
      </c>
      <c r="I360" s="30">
        <f>IFERROR(D360/H360,"")</f>
        <v/>
      </c>
      <c r="J360" s="31">
        <f>IF(AND(ISNUMBER(D360),ISNUMBER(G360)),D360-G360,"")</f>
        <v/>
      </c>
      <c r="K360" s="46" t="n">
        <v>5</v>
      </c>
      <c r="L360" s="46" t="n">
        <v>7608.8</v>
      </c>
      <c r="M360" s="38" t="inlineStr">
        <is>
          <t>27 May</t>
        </is>
      </c>
    </row>
    <row r="361">
      <c r="A361" s="39" t="n">
        <v>46170</v>
      </c>
      <c r="B361" s="16" t="n">
        <v>0.6899999999999999</v>
      </c>
      <c r="C361" s="16" t="n">
        <v>0.74</v>
      </c>
      <c r="D361" s="17">
        <f>IF(COUNT(B361:C361)=2,(B361+C361)/2,"")</f>
        <v/>
      </c>
      <c r="E361" s="16" t="n">
        <v>0.26</v>
      </c>
      <c r="F361" s="16" t="n">
        <v>0.3</v>
      </c>
      <c r="G361" s="17">
        <f>IF(COUNT(E361:F361)=2,(E361+F361)/2,"")</f>
        <v/>
      </c>
      <c r="H361" s="17">
        <f>IF(AND(ISNUMBER(D361),ISNUMBER(G361)),D361+G361,"")</f>
        <v/>
      </c>
      <c r="I361" s="20">
        <f>IFERROR(D361/H361,"")</f>
        <v/>
      </c>
      <c r="J361" s="18">
        <f>IF(AND(ISNUMBER(D361),ISNUMBER(G361)),D361-G361,"")</f>
        <v/>
      </c>
      <c r="K361" s="45" t="n">
        <v>0</v>
      </c>
      <c r="L361" s="45" t="n">
        <v>7608.8</v>
      </c>
      <c r="M361" s="26" t="inlineStr">
        <is>
          <t>28 May</t>
        </is>
      </c>
    </row>
    <row r="362">
      <c r="A362" s="41" t="n">
        <v>46171</v>
      </c>
      <c r="B362" s="28" t="n">
        <v>0.6899999999999999</v>
      </c>
      <c r="C362" s="28" t="n">
        <v>0.74</v>
      </c>
      <c r="D362" s="29">
        <f>IF(COUNT(B362:C362)=2,(B362+C362)/2,"")</f>
        <v/>
      </c>
      <c r="E362" s="28" t="n">
        <v>0.26</v>
      </c>
      <c r="F362" s="28" t="n">
        <v>0.3</v>
      </c>
      <c r="G362" s="29">
        <f>IF(COUNT(E362:F362)=2,(E362+F362)/2,"")</f>
        <v/>
      </c>
      <c r="H362" s="29">
        <f>IF(AND(ISNUMBER(D362),ISNUMBER(G362)),D362+G362,"")</f>
        <v/>
      </c>
      <c r="I362" s="30">
        <f>IFERROR(D362/H362,"")</f>
        <v/>
      </c>
      <c r="J362" s="31">
        <f>IF(AND(ISNUMBER(D362),ISNUMBER(G362)),D362-G362,"")</f>
        <v/>
      </c>
      <c r="K362" s="46" t="n">
        <v>0</v>
      </c>
      <c r="L362" s="46" t="n">
        <v>7608.8</v>
      </c>
      <c r="M362" s="38" t="inlineStr">
        <is>
          <t>29 May</t>
        </is>
      </c>
    </row>
    <row r="363">
      <c r="A363" s="39" t="n">
        <v>46172</v>
      </c>
      <c r="B363" s="16" t="n">
        <v>0.7</v>
      </c>
      <c r="C363" s="16" t="n">
        <v>0.74</v>
      </c>
      <c r="D363" s="17">
        <f>IF(COUNT(B363:C363)=2,(B363+C363)/2,"")</f>
        <v/>
      </c>
      <c r="E363" s="16" t="n">
        <v>0.26</v>
      </c>
      <c r="F363" s="16" t="n">
        <v>0.3</v>
      </c>
      <c r="G363" s="17">
        <f>IF(COUNT(E363:F363)=2,(E363+F363)/2,"")</f>
        <v/>
      </c>
      <c r="H363" s="17">
        <f>IF(AND(ISNUMBER(D363),ISNUMBER(G363)),D363+G363,"")</f>
        <v/>
      </c>
      <c r="I363" s="20">
        <f>IFERROR(D363/H363,"")</f>
        <v/>
      </c>
      <c r="J363" s="18">
        <f>IF(AND(ISNUMBER(D363),ISNUMBER(G363)),D363-G363,"")</f>
        <v/>
      </c>
      <c r="K363" s="45" t="n">
        <v>102.35</v>
      </c>
      <c r="L363" s="45" t="n">
        <v>7669.15</v>
      </c>
      <c r="M363" s="26" t="inlineStr">
        <is>
          <t>30 May</t>
        </is>
      </c>
    </row>
    <row r="364">
      <c r="A364" s="41" t="n">
        <v>46173</v>
      </c>
      <c r="B364" s="28" t="n">
        <v>0.7</v>
      </c>
      <c r="C364" s="28" t="n">
        <v>0.74</v>
      </c>
      <c r="D364" s="29">
        <f>IF(COUNT(B364:C364)=2,(B364+C364)/2,"")</f>
        <v/>
      </c>
      <c r="E364" s="28" t="n">
        <v>0.26</v>
      </c>
      <c r="F364" s="28" t="n">
        <v>0.3</v>
      </c>
      <c r="G364" s="29">
        <f>IF(COUNT(E364:F364)=2,(E364+F364)/2,"")</f>
        <v/>
      </c>
      <c r="H364" s="29">
        <f>IF(AND(ISNUMBER(D364),ISNUMBER(G364)),D364+G364,"")</f>
        <v/>
      </c>
      <c r="I364" s="30">
        <f>IFERROR(D364/H364,"")</f>
        <v/>
      </c>
      <c r="J364" s="31">
        <f>IF(AND(ISNUMBER(D364),ISNUMBER(G364)),D364-G364,"")</f>
        <v/>
      </c>
      <c r="K364" s="46" t="n">
        <v>0</v>
      </c>
      <c r="L364" s="46" t="n">
        <v>7669.15</v>
      </c>
      <c r="M364" s="38" t="inlineStr">
        <is>
          <t>31 May</t>
        </is>
      </c>
    </row>
    <row r="365">
      <c r="A365" s="39" t="n">
        <v>46174</v>
      </c>
      <c r="B365" s="16" t="n">
        <v>0.7</v>
      </c>
      <c r="C365" s="16" t="n">
        <v>0.74</v>
      </c>
      <c r="D365" s="17">
        <f>IF(COUNT(B365:C365)=2,(B365+C365)/2,"")</f>
        <v/>
      </c>
      <c r="E365" s="16" t="n">
        <v>0.26</v>
      </c>
      <c r="F365" s="16" t="n">
        <v>0.3</v>
      </c>
      <c r="G365" s="17">
        <f>IF(COUNT(E365:F365)=2,(E365+F365)/2,"")</f>
        <v/>
      </c>
      <c r="H365" s="17">
        <f>IF(AND(ISNUMBER(D365),ISNUMBER(G365)),D365+G365,"")</f>
        <v/>
      </c>
      <c r="I365" s="20">
        <f>IFERROR(D365/H365,"")</f>
        <v/>
      </c>
      <c r="J365" s="18">
        <f>IF(AND(ISNUMBER(D365),ISNUMBER(G365)),D365-G365,"")</f>
        <v/>
      </c>
      <c r="K365" s="45" t="n">
        <v>0</v>
      </c>
      <c r="L365" s="45" t="n">
        <v>7669.15</v>
      </c>
      <c r="M365" s="26" t="inlineStr">
        <is>
          <t>01 Jun</t>
        </is>
      </c>
    </row>
    <row r="366">
      <c r="A366" s="41" t="n">
        <v>46175</v>
      </c>
      <c r="B366" s="28" t="n">
        <v>0.7</v>
      </c>
      <c r="C366" s="28" t="n">
        <v>0.73</v>
      </c>
      <c r="D366" s="29">
        <f>IF(COUNT(B366:C366)=2,(B366+C366)/2,"")</f>
        <v/>
      </c>
      <c r="E366" s="28" t="n">
        <v>0.26</v>
      </c>
      <c r="F366" s="28" t="n">
        <v>0.3</v>
      </c>
      <c r="G366" s="29">
        <f>IF(COUNT(E366:F366)=2,(E366+F366)/2,"")</f>
        <v/>
      </c>
      <c r="H366" s="29">
        <f>IF(AND(ISNUMBER(D366),ISNUMBER(G366)),D366+G366,"")</f>
        <v/>
      </c>
      <c r="I366" s="30">
        <f>IFERROR(D366/H366,"")</f>
        <v/>
      </c>
      <c r="J366" s="31">
        <f>IF(AND(ISNUMBER(D366),ISNUMBER(G366)),D366-G366,"")</f>
        <v/>
      </c>
      <c r="K366" s="46" t="n">
        <v>3.17</v>
      </c>
      <c r="L366" s="46" t="n">
        <v>7669.15</v>
      </c>
      <c r="M366" s="38" t="inlineStr">
        <is>
          <t>02 Jun</t>
        </is>
      </c>
    </row>
    <row r="367">
      <c r="A367" s="39" t="n">
        <v>46176</v>
      </c>
      <c r="B367" s="16" t="n">
        <v>0.7</v>
      </c>
      <c r="C367" s="16" t="n">
        <v>0.73</v>
      </c>
      <c r="D367" s="17">
        <f>IF(COUNT(B367:C367)=2,(B367+C367)/2,"")</f>
        <v/>
      </c>
      <c r="E367" s="16" t="n">
        <v>0.26</v>
      </c>
      <c r="F367" s="16" t="n">
        <v>0.3</v>
      </c>
      <c r="G367" s="17">
        <f>IF(COUNT(E367:F367)=2,(E367+F367)/2,"")</f>
        <v/>
      </c>
      <c r="H367" s="17">
        <f>IF(AND(ISNUMBER(D367),ISNUMBER(G367)),D367+G367,"")</f>
        <v/>
      </c>
      <c r="I367" s="20">
        <f>IFERROR(D367/H367,"")</f>
        <v/>
      </c>
      <c r="J367" s="18">
        <f>IF(AND(ISNUMBER(D367),ISNUMBER(G367)),D367-G367,"")</f>
        <v/>
      </c>
      <c r="K367" s="45" t="n">
        <v>12</v>
      </c>
      <c r="L367" s="45" t="n">
        <v>7657.15</v>
      </c>
      <c r="M367" s="26" t="inlineStr">
        <is>
          <t>03 Jun</t>
        </is>
      </c>
    </row>
    <row r="368">
      <c r="A368" s="41" t="n">
        <v>46177</v>
      </c>
      <c r="B368" s="28" t="n"/>
      <c r="C368" s="28" t="n"/>
      <c r="D368" s="29">
        <f>IF(COUNT(B368:C368)=2,(B368+C368)/2,"")</f>
        <v/>
      </c>
      <c r="E368" s="28" t="n">
        <v>0.26</v>
      </c>
      <c r="F368" s="28" t="n">
        <v>0.3</v>
      </c>
      <c r="G368" s="29">
        <f>IF(COUNT(E368:F368)=2,(E368+F368)/2,"")</f>
        <v/>
      </c>
      <c r="H368" s="29">
        <f>IF(AND(ISNUMBER(D368),ISNUMBER(G368)),D368+G368,"")</f>
        <v/>
      </c>
      <c r="I368" s="30">
        <f>IFERROR(D368/H368,"")</f>
        <v/>
      </c>
      <c r="J368" s="31">
        <f>IF(AND(ISNUMBER(D368),ISNUMBER(G368)),D368-G368,"")</f>
        <v/>
      </c>
      <c r="K368" s="46" t="n">
        <v>0</v>
      </c>
      <c r="L368" s="46" t="n">
        <v>6545.6</v>
      </c>
      <c r="M368" s="38" t="inlineStr">
        <is>
          <t>04 Jun</t>
        </is>
      </c>
    </row>
    <row r="369">
      <c r="A369" s="39" t="n">
        <v>46178</v>
      </c>
      <c r="B369" s="16" t="n"/>
      <c r="C369" s="16" t="n"/>
      <c r="D369" s="17">
        <f>IF(COUNT(B369:C369)=2,(B369+C369)/2,"")</f>
        <v/>
      </c>
      <c r="E369" s="16" t="n">
        <v>0.26</v>
      </c>
      <c r="F369" s="16" t="n">
        <v>0.3</v>
      </c>
      <c r="G369" s="17">
        <f>IF(COUNT(E369:F369)=2,(E369+F369)/2,"")</f>
        <v/>
      </c>
      <c r="H369" s="17">
        <f>IF(AND(ISNUMBER(D369),ISNUMBER(G369)),D369+G369,"")</f>
        <v/>
      </c>
      <c r="I369" s="20">
        <f>IFERROR(D369/H369,"")</f>
        <v/>
      </c>
      <c r="J369" s="18">
        <f>IF(AND(ISNUMBER(D369),ISNUMBER(G369)),D369-G369,"")</f>
        <v/>
      </c>
      <c r="K369" s="45" t="n">
        <v>0</v>
      </c>
      <c r="L369" s="45" t="n">
        <v>6545.6</v>
      </c>
      <c r="M369" s="26" t="inlineStr">
        <is>
          <t>05 Jun</t>
        </is>
      </c>
    </row>
    <row r="370">
      <c r="A370" s="41" t="n">
        <v>46179</v>
      </c>
      <c r="B370" s="28" t="n">
        <v>0.71</v>
      </c>
      <c r="C370" s="28" t="n">
        <v>0.73</v>
      </c>
      <c r="D370" s="29">
        <f>IF(COUNT(B370:C370)=2,(B370+C370)/2,"")</f>
        <v/>
      </c>
      <c r="E370" s="28" t="n">
        <v>0.26</v>
      </c>
      <c r="F370" s="28" t="n">
        <v>0.3</v>
      </c>
      <c r="G370" s="29">
        <f>IF(COUNT(E370:F370)=2,(E370+F370)/2,"")</f>
        <v/>
      </c>
      <c r="H370" s="29">
        <f>IF(AND(ISNUMBER(D370),ISNUMBER(G370)),D370+G370,"")</f>
        <v/>
      </c>
      <c r="I370" s="30">
        <f>IFERROR(D370/H370,"")</f>
        <v/>
      </c>
      <c r="J370" s="31">
        <f>IF(AND(ISNUMBER(D370),ISNUMBER(G370)),D370-G370,"")</f>
        <v/>
      </c>
      <c r="K370" s="46" t="n">
        <v>0</v>
      </c>
      <c r="L370" s="46" t="n">
        <v>7657.15</v>
      </c>
      <c r="M370" s="38" t="inlineStr">
        <is>
          <t>06 Jun</t>
        </is>
      </c>
    </row>
    <row r="371">
      <c r="A371" s="39" t="n">
        <v>46180</v>
      </c>
      <c r="B371" s="16" t="n">
        <v>0.71</v>
      </c>
      <c r="C371" s="16" t="n">
        <v>0.73</v>
      </c>
      <c r="D371" s="17">
        <f>IF(COUNT(B371:C371)=2,(B371+C371)/2,"")</f>
        <v/>
      </c>
      <c r="E371" s="16" t="n">
        <v>0.26</v>
      </c>
      <c r="F371" s="16" t="n">
        <v>0.3</v>
      </c>
      <c r="G371" s="17">
        <f>IF(COUNT(E371:F371)=2,(E371+F371)/2,"")</f>
        <v/>
      </c>
      <c r="H371" s="17">
        <f>IF(AND(ISNUMBER(D371),ISNUMBER(G371)),D371+G371,"")</f>
        <v/>
      </c>
      <c r="I371" s="20">
        <f>IFERROR(D371/H371,"")</f>
        <v/>
      </c>
      <c r="J371" s="18">
        <f>IF(AND(ISNUMBER(D371),ISNUMBER(G371)),D371-G371,"")</f>
        <v/>
      </c>
      <c r="K371" s="45" t="n">
        <v>0</v>
      </c>
      <c r="L371" s="45" t="n">
        <v>7657.15</v>
      </c>
      <c r="M371" s="26" t="inlineStr">
        <is>
          <t>07 Jun</t>
        </is>
      </c>
    </row>
    <row r="372">
      <c r="A372" s="41" t="n">
        <v>46181</v>
      </c>
      <c r="B372" s="28" t="n">
        <v>0.71</v>
      </c>
      <c r="C372" s="28" t="n">
        <v>0.73</v>
      </c>
      <c r="D372" s="29">
        <f>IF(COUNT(B372:C372)=2,(B372+C372)/2,"")</f>
        <v/>
      </c>
      <c r="E372" s="28" t="n">
        <v>0.26</v>
      </c>
      <c r="F372" s="28" t="n">
        <v>0.3</v>
      </c>
      <c r="G372" s="29">
        <f>IF(COUNT(E372:F372)=2,(E372+F372)/2,"")</f>
        <v/>
      </c>
      <c r="H372" s="29">
        <f>IF(AND(ISNUMBER(D372),ISNUMBER(G372)),D372+G372,"")</f>
        <v/>
      </c>
      <c r="I372" s="30">
        <f>IFERROR(D372/H372,"")</f>
        <v/>
      </c>
      <c r="J372" s="31">
        <f>IF(AND(ISNUMBER(D372),ISNUMBER(G372)),D372-G372,"")</f>
        <v/>
      </c>
      <c r="K372" s="46" t="n">
        <v>0</v>
      </c>
      <c r="L372" s="46" t="n">
        <v>7657.15</v>
      </c>
      <c r="M372" s="38" t="inlineStr">
        <is>
          <t>08 Jun</t>
        </is>
      </c>
    </row>
    <row r="373">
      <c r="A373" s="39" t="n">
        <v>46182</v>
      </c>
      <c r="B373" s="16" t="n">
        <v>0.71</v>
      </c>
      <c r="C373" s="16" t="n">
        <v>0.74</v>
      </c>
      <c r="D373" s="17">
        <f>IF(COUNT(B373:C373)=2,(B373+C373)/2,"")</f>
        <v/>
      </c>
      <c r="E373" s="16" t="n">
        <v>0.26</v>
      </c>
      <c r="F373" s="16" t="n">
        <v>0.3</v>
      </c>
      <c r="G373" s="17">
        <f>IF(COUNT(E373:F373)=2,(E373+F373)/2,"")</f>
        <v/>
      </c>
      <c r="H373" s="17">
        <f>IF(AND(ISNUMBER(D373),ISNUMBER(G373)),D373+G373,"")</f>
        <v/>
      </c>
      <c r="I373" s="20">
        <f>IFERROR(D373/H373,"")</f>
        <v/>
      </c>
      <c r="J373" s="18">
        <f>IF(AND(ISNUMBER(D373),ISNUMBER(G373)),D373-G373,"")</f>
        <v/>
      </c>
      <c r="K373" s="45" t="n">
        <v>13.44</v>
      </c>
      <c r="L373" s="45" t="n">
        <v>7657.15</v>
      </c>
      <c r="M373" s="26" t="inlineStr">
        <is>
          <t>09 Jun</t>
        </is>
      </c>
    </row>
    <row r="374">
      <c r="A374" s="41" t="n">
        <v>46183</v>
      </c>
      <c r="B374" s="28" t="n">
        <v>0.71</v>
      </c>
      <c r="C374" s="28" t="n">
        <v>0.74</v>
      </c>
      <c r="D374" s="29">
        <f>IF(COUNT(B374:C374)=2,(B374+C374)/2,"")</f>
        <v/>
      </c>
      <c r="E374" s="28" t="n">
        <v>0.26</v>
      </c>
      <c r="F374" s="28" t="n">
        <v>0.3</v>
      </c>
      <c r="G374" s="29">
        <f>IF(COUNT(E374:F374)=2,(E374+F374)/2,"")</f>
        <v/>
      </c>
      <c r="H374" s="29">
        <f>IF(AND(ISNUMBER(D374),ISNUMBER(G374)),D374+G374,"")</f>
        <v/>
      </c>
      <c r="I374" s="30">
        <f>IFERROR(D374/H374,"")</f>
        <v/>
      </c>
      <c r="J374" s="31">
        <f>IF(AND(ISNUMBER(D374),ISNUMBER(G374)),D374-G374,"")</f>
        <v/>
      </c>
      <c r="K374" s="46" t="n">
        <v>0</v>
      </c>
      <c r="L374" s="46" t="n">
        <v>7657.15</v>
      </c>
      <c r="M374" s="38" t="inlineStr">
        <is>
          <t>10 Jun</t>
        </is>
      </c>
    </row>
    <row r="375">
      <c r="A375" s="39" t="n">
        <v>46184</v>
      </c>
      <c r="B375" s="16" t="n">
        <v>0.71</v>
      </c>
      <c r="C375" s="16" t="n">
        <v>0.74</v>
      </c>
      <c r="D375" s="17">
        <f>IF(COUNT(B375:C375)=2,(B375+C375)/2,"")</f>
        <v/>
      </c>
      <c r="E375" s="16" t="n">
        <v>0.26</v>
      </c>
      <c r="F375" s="16" t="n">
        <v>0.3</v>
      </c>
      <c r="G375" s="17">
        <f>IF(COUNT(E375:F375)=2,(E375+F375)/2,"")</f>
        <v/>
      </c>
      <c r="H375" s="17">
        <f>IF(AND(ISNUMBER(D375),ISNUMBER(G375)),D375+G375,"")</f>
        <v/>
      </c>
      <c r="I375" s="20">
        <f>IFERROR(D375/H375,"")</f>
        <v/>
      </c>
      <c r="J375" s="18">
        <f>IF(AND(ISNUMBER(D375),ISNUMBER(G375)),D375-G375,"")</f>
        <v/>
      </c>
      <c r="K375" s="45" t="n">
        <v>0</v>
      </c>
      <c r="L375" s="45" t="n">
        <v>7657.15</v>
      </c>
      <c r="M375" s="26" t="inlineStr">
        <is>
          <t>11 Jun</t>
        </is>
      </c>
    </row>
    <row r="376">
      <c r="A376" s="41" t="n">
        <v>46185</v>
      </c>
      <c r="B376" s="28" t="n">
        <v>0.71</v>
      </c>
      <c r="C376" s="28" t="n">
        <v>0.74</v>
      </c>
      <c r="D376" s="29">
        <f>IF(COUNT(B376:C376)=2,(B376+C376)/2,"")</f>
        <v/>
      </c>
      <c r="E376" s="28" t="n">
        <v>0.26</v>
      </c>
      <c r="F376" s="28" t="n">
        <v>0.3</v>
      </c>
      <c r="G376" s="29">
        <f>IF(COUNT(E376:F376)=2,(E376+F376)/2,"")</f>
        <v/>
      </c>
      <c r="H376" s="29">
        <f>IF(AND(ISNUMBER(D376),ISNUMBER(G376)),D376+G376,"")</f>
        <v/>
      </c>
      <c r="I376" s="30">
        <f>IFERROR(D376/H376,"")</f>
        <v/>
      </c>
      <c r="J376" s="31">
        <f>IF(AND(ISNUMBER(D376),ISNUMBER(G376)),D376-G376,"")</f>
        <v/>
      </c>
      <c r="K376" s="46" t="n">
        <v>0</v>
      </c>
      <c r="L376" s="46" t="n">
        <v>7657.15</v>
      </c>
      <c r="M376" s="38" t="inlineStr">
        <is>
          <t>12 Jun</t>
        </is>
      </c>
    </row>
    <row r="377">
      <c r="A377" s="39" t="n">
        <v>46186</v>
      </c>
      <c r="B377" s="16" t="n">
        <v>0.71</v>
      </c>
      <c r="C377" s="16" t="n">
        <v>0.74</v>
      </c>
      <c r="D377" s="17">
        <f>IF(COUNT(B377:C377)=2,(B377+C377)/2,"")</f>
        <v/>
      </c>
      <c r="E377" s="16" t="n"/>
      <c r="F377" s="16" t="n"/>
      <c r="G377" s="17">
        <f>IF(COUNT(E377:F377)=2,(E377+F377)/2,"")</f>
        <v/>
      </c>
      <c r="H377" s="17">
        <f>IF(AND(ISNUMBER(D377),ISNUMBER(G377)),D377+G377,"")</f>
        <v/>
      </c>
      <c r="I377" s="20">
        <f>IFERROR(D377/H377,"")</f>
        <v/>
      </c>
      <c r="J377" s="18">
        <f>IF(AND(ISNUMBER(D377),ISNUMBER(G377)),D377-G377,"")</f>
        <v/>
      </c>
      <c r="K377" s="45" t="n">
        <v>0</v>
      </c>
      <c r="L377" s="45" t="n">
        <v>7657.15</v>
      </c>
      <c r="M377" s="26" t="inlineStr">
        <is>
          <t>13 Jun</t>
        </is>
      </c>
    </row>
    <row r="378">
      <c r="A378" s="41" t="n">
        <v>46187</v>
      </c>
      <c r="B378" s="28" t="n">
        <v>0.71</v>
      </c>
      <c r="C378" s="28" t="n">
        <v>0.74</v>
      </c>
      <c r="D378" s="29">
        <f>IF(COUNT(B378:C378)=2,(B378+C378)/2,"")</f>
        <v/>
      </c>
      <c r="E378" s="28" t="n"/>
      <c r="F378" s="28" t="n"/>
      <c r="G378" s="29">
        <f>IF(COUNT(E378:F378)=2,(E378+F378)/2,"")</f>
        <v/>
      </c>
      <c r="H378" s="29">
        <f>IF(AND(ISNUMBER(D378),ISNUMBER(G378)),D378+G378,"")</f>
        <v/>
      </c>
      <c r="I378" s="30">
        <f>IFERROR(D378/H378,"")</f>
        <v/>
      </c>
      <c r="J378" s="31">
        <f>IF(AND(ISNUMBER(D378),ISNUMBER(G378)),D378-G378,"")</f>
        <v/>
      </c>
      <c r="K378" s="46" t="n">
        <v>0</v>
      </c>
      <c r="L378" s="46" t="n">
        <v>7657.15</v>
      </c>
      <c r="M378" s="38" t="inlineStr">
        <is>
          <t>14 Jun</t>
        </is>
      </c>
    </row>
    <row r="379">
      <c r="A379" s="39" t="n">
        <v>46188</v>
      </c>
      <c r="B379" s="16" t="n">
        <v>0.71</v>
      </c>
      <c r="C379" s="16" t="n">
        <v>0.74</v>
      </c>
      <c r="D379" s="17">
        <f>IF(COUNT(B379:C379)=2,(B379+C379)/2,"")</f>
        <v/>
      </c>
      <c r="E379" s="16" t="n">
        <v>0.26</v>
      </c>
      <c r="F379" s="16" t="n">
        <v>0.3</v>
      </c>
      <c r="G379" s="17">
        <f>IF(COUNT(E379:F379)=2,(E379+F379)/2,"")</f>
        <v/>
      </c>
      <c r="H379" s="17">
        <f>IF(AND(ISNUMBER(D379),ISNUMBER(G379)),D379+G379,"")</f>
        <v/>
      </c>
      <c r="I379" s="20">
        <f>IFERROR(D379/H379,"")</f>
        <v/>
      </c>
      <c r="J379" s="18">
        <f>IF(AND(ISNUMBER(D379),ISNUMBER(G379)),D379-G379,"")</f>
        <v/>
      </c>
      <c r="K379" s="45" t="n">
        <v>3.17</v>
      </c>
      <c r="L379" s="45" t="n">
        <v>7657.15</v>
      </c>
      <c r="M379" s="26" t="inlineStr">
        <is>
          <t>15 Jun</t>
        </is>
      </c>
    </row>
    <row r="380">
      <c r="A380" s="41" t="n">
        <v>46189</v>
      </c>
      <c r="B380" s="28" t="n">
        <v>0.71</v>
      </c>
      <c r="C380" s="28" t="n">
        <v>0.74</v>
      </c>
      <c r="D380" s="29">
        <f>IF(COUNT(B380:C380)=2,(B380+C380)/2,"")</f>
        <v/>
      </c>
      <c r="E380" s="28" t="n"/>
      <c r="F380" s="28" t="n"/>
      <c r="G380" s="29">
        <f>IF(COUNT(E380:F380)=2,(E380+F380)/2,"")</f>
        <v/>
      </c>
      <c r="H380" s="29">
        <f>IF(AND(ISNUMBER(D380),ISNUMBER(G380)),D380+G380,"")</f>
        <v/>
      </c>
      <c r="I380" s="30">
        <f>IFERROR(D380/H380,"")</f>
        <v/>
      </c>
      <c r="J380" s="31">
        <f>IF(AND(ISNUMBER(D380),ISNUMBER(G380)),D380-G380,"")</f>
        <v/>
      </c>
      <c r="K380" s="46" t="n">
        <v>0</v>
      </c>
      <c r="L380" s="46" t="n">
        <v>7657.15</v>
      </c>
      <c r="M380" s="38" t="inlineStr">
        <is>
          <t>16 Jun</t>
        </is>
      </c>
    </row>
    <row r="381">
      <c r="A381" s="39" t="n">
        <v>46190</v>
      </c>
      <c r="B381" s="16" t="n">
        <v>0.7</v>
      </c>
      <c r="C381" s="16" t="n">
        <v>0.74</v>
      </c>
      <c r="D381" s="17">
        <f>IF(COUNT(B381:C381)=2,(B381+C381)/2,"")</f>
        <v/>
      </c>
      <c r="E381" s="16" t="n"/>
      <c r="F381" s="16" t="n"/>
      <c r="G381" s="17">
        <f>IF(COUNT(E381:F381)=2,(E381+F381)/2,"")</f>
        <v/>
      </c>
      <c r="H381" s="17">
        <f>IF(AND(ISNUMBER(D381),ISNUMBER(G381)),D381+G381,"")</f>
        <v/>
      </c>
      <c r="I381" s="20">
        <f>IFERROR(D381/H381,"")</f>
        <v/>
      </c>
      <c r="J381" s="18">
        <f>IF(AND(ISNUMBER(D381),ISNUMBER(G381)),D381-G381,"")</f>
        <v/>
      </c>
      <c r="K381" s="45" t="n">
        <v>0</v>
      </c>
      <c r="L381" s="45" t="n">
        <v>7657.15</v>
      </c>
      <c r="M381" s="26" t="inlineStr">
        <is>
          <t>17 Jun</t>
        </is>
      </c>
    </row>
    <row r="382">
      <c r="A382" s="41" t="n">
        <v>46193</v>
      </c>
      <c r="B382" s="28" t="n"/>
      <c r="C382" s="28" t="n"/>
      <c r="D382" s="29">
        <f>IF(COUNT(B382:C382)=2,(B382+C382)/2,"")</f>
        <v/>
      </c>
      <c r="E382" s="28" t="n">
        <v>0.26</v>
      </c>
      <c r="F382" s="28" t="n">
        <v>0.3</v>
      </c>
      <c r="G382" s="29">
        <f>IF(COUNT(E382:F382)=2,(E382+F382)/2,"")</f>
        <v/>
      </c>
      <c r="H382" s="29">
        <f>IF(AND(ISNUMBER(D382),ISNUMBER(G382)),D382+G382,"")</f>
        <v/>
      </c>
      <c r="I382" s="30">
        <f>IFERROR(D382/H382,"")</f>
        <v/>
      </c>
      <c r="J382" s="31">
        <f>IF(AND(ISNUMBER(D382),ISNUMBER(G382)),D382-G382,"")</f>
        <v/>
      </c>
      <c r="K382" s="46" t="n">
        <v>1.46</v>
      </c>
      <c r="L382" s="46" t="n">
        <v>6550.23</v>
      </c>
      <c r="M382" s="38" t="inlineStr">
        <is>
          <t>20 Jun</t>
        </is>
      </c>
    </row>
    <row r="383">
      <c r="A383" s="39" t="n">
        <v>46194</v>
      </c>
      <c r="B383" s="16" t="n">
        <v>0.7</v>
      </c>
      <c r="C383" s="16" t="n">
        <v>0.74</v>
      </c>
      <c r="D383" s="17">
        <f>IF(COUNT(B383:C383)=2,(B383+C383)/2,"")</f>
        <v/>
      </c>
      <c r="E383" s="16" t="n"/>
      <c r="F383" s="16" t="n"/>
      <c r="G383" s="17">
        <f>IF(COUNT(E383:F383)=2,(E383+F383)/2,"")</f>
        <v/>
      </c>
      <c r="H383" s="17">
        <f>IF(AND(ISNUMBER(D383),ISNUMBER(G383)),D383+G383,"")</f>
        <v/>
      </c>
      <c r="I383" s="20">
        <f>IFERROR(D383/H383,"")</f>
        <v/>
      </c>
      <c r="J383" s="18">
        <f>IF(AND(ISNUMBER(D383),ISNUMBER(G383)),D383-G383,"")</f>
        <v/>
      </c>
      <c r="K383" s="45" t="n">
        <v>3</v>
      </c>
      <c r="L383" s="45" t="n">
        <v>7654.15</v>
      </c>
      <c r="M383" s="26" t="inlineStr">
        <is>
          <t>21 Jun</t>
        </is>
      </c>
    </row>
    <row r="384">
      <c r="A384" s="41" t="n">
        <v>46198</v>
      </c>
      <c r="B384" s="28" t="n">
        <v>0.7</v>
      </c>
      <c r="C384" s="28" t="n">
        <v>0.74</v>
      </c>
      <c r="D384" s="29">
        <f>IF(COUNT(B384:C384)=2,(B384+C384)/2,"")</f>
        <v/>
      </c>
      <c r="E384" s="28" t="n">
        <v>0.26</v>
      </c>
      <c r="F384" s="28" t="n">
        <v>0.3</v>
      </c>
      <c r="G384" s="29">
        <f>IF(COUNT(E384:F384)=2,(E384+F384)/2,"")</f>
        <v/>
      </c>
      <c r="H384" s="29">
        <f>IF(AND(ISNUMBER(D384),ISNUMBER(G384)),D384+G384,"")</f>
        <v/>
      </c>
      <c r="I384" s="30">
        <f>IFERROR(D384/H384,"")</f>
        <v/>
      </c>
      <c r="J384" s="31">
        <f>IF(AND(ISNUMBER(D384),ISNUMBER(G384)),D384-G384,"")</f>
        <v/>
      </c>
      <c r="K384" s="46" t="n">
        <v>15.88</v>
      </c>
      <c r="L384" s="46" t="n">
        <v>7654.15</v>
      </c>
      <c r="M384" s="38" t="inlineStr">
        <is>
          <t>25 Jun</t>
        </is>
      </c>
    </row>
    <row r="385">
      <c r="A385" s="39" t="n">
        <v>46201</v>
      </c>
      <c r="B385" s="16" t="n"/>
      <c r="C385" s="16" t="n"/>
      <c r="D385" s="17">
        <f>IF(COUNT(B385:C385)=2,(B385+C385)/2,"")</f>
        <v/>
      </c>
      <c r="E385" s="16" t="n">
        <v>0.26</v>
      </c>
      <c r="F385" s="16" t="n">
        <v>0.3</v>
      </c>
      <c r="G385" s="17">
        <f>IF(COUNT(E385:F385)=2,(E385+F385)/2,"")</f>
        <v/>
      </c>
      <c r="H385" s="17">
        <f>IF(AND(ISNUMBER(D385),ISNUMBER(G385)),D385+G385,"")</f>
        <v/>
      </c>
      <c r="I385" s="20">
        <f>IFERROR(D385/H385,"")</f>
        <v/>
      </c>
      <c r="J385" s="18">
        <f>IF(AND(ISNUMBER(D385),ISNUMBER(G385)),D385-G385,"")</f>
        <v/>
      </c>
      <c r="K385" s="45" t="n">
        <v>43</v>
      </c>
      <c r="L385" s="45" t="n">
        <v>6566.11</v>
      </c>
      <c r="M385" s="26" t="inlineStr">
        <is>
          <t>28 Jun</t>
        </is>
      </c>
    </row>
    <row r="386">
      <c r="A386" s="41" t="n">
        <v>46203</v>
      </c>
      <c r="B386" s="28" t="n">
        <v>0.7</v>
      </c>
      <c r="C386" s="28" t="n">
        <v>0.74</v>
      </c>
      <c r="D386" s="29">
        <f>IF(COUNT(B386:C386)=2,(B386+C386)/2,"")</f>
        <v/>
      </c>
      <c r="E386" s="28" t="n"/>
      <c r="F386" s="28" t="n"/>
      <c r="G386" s="29">
        <f>IF(COUNT(E386:F386)=2,(E386+F386)/2,"")</f>
        <v/>
      </c>
      <c r="H386" s="29">
        <f>IF(AND(ISNUMBER(D386),ISNUMBER(G386)),D386+G386,"")</f>
        <v/>
      </c>
      <c r="I386" s="30">
        <f>IFERROR(D386/H386,"")</f>
        <v/>
      </c>
      <c r="J386" s="31">
        <f>IF(AND(ISNUMBER(D386),ISNUMBER(G386)),D386-G386,"")</f>
        <v/>
      </c>
      <c r="K386" s="46" t="n">
        <v>13.27</v>
      </c>
      <c r="L386" s="46" t="n">
        <v>7667.42</v>
      </c>
      <c r="M386" s="38" t="inlineStr">
        <is>
          <t>30 Jun</t>
        </is>
      </c>
    </row>
    <row r="387">
      <c r="A387" s="39" t="n">
        <v>46206</v>
      </c>
      <c r="B387" s="16" t="n"/>
      <c r="C387" s="16" t="n"/>
      <c r="D387" s="17">
        <f>IF(COUNT(B387:C387)=2,(B387+C387)/2,"")</f>
        <v/>
      </c>
      <c r="E387" s="16" t="n">
        <v>0.26</v>
      </c>
      <c r="F387" s="16" t="n">
        <v>0.29</v>
      </c>
      <c r="G387" s="17">
        <f>IF(COUNT(E387:F387)=2,(E387+F387)/2,"")</f>
        <v/>
      </c>
      <c r="H387" s="17">
        <f>IF(AND(ISNUMBER(D387),ISNUMBER(G387)),D387+G387,"")</f>
        <v/>
      </c>
      <c r="I387" s="20">
        <f>IFERROR(D387/H387,"")</f>
        <v/>
      </c>
      <c r="J387" s="18">
        <f>IF(AND(ISNUMBER(D387),ISNUMBER(G387)),D387-G387,"")</f>
        <v/>
      </c>
      <c r="K387" s="45" t="n">
        <v>0</v>
      </c>
      <c r="L387" s="45" t="n">
        <v>6566.11</v>
      </c>
      <c r="M387" s="26" t="inlineStr">
        <is>
          <t>03 Jul</t>
        </is>
      </c>
    </row>
    <row r="388">
      <c r="A388" s="41" t="n">
        <v>46207</v>
      </c>
      <c r="B388" s="28" t="n"/>
      <c r="C388" s="28" t="n"/>
      <c r="D388" s="29">
        <f>IF(COUNT(B388:C388)=2,(B388+C388)/2,"")</f>
        <v/>
      </c>
      <c r="E388" s="28" t="n">
        <v>0.26</v>
      </c>
      <c r="F388" s="28" t="n">
        <v>0.29</v>
      </c>
      <c r="G388" s="29">
        <f>IF(COUNT(E388:F388)=2,(E388+F388)/2,"")</f>
        <v/>
      </c>
      <c r="H388" s="29">
        <f>IF(AND(ISNUMBER(D388),ISNUMBER(G388)),D388+G388,"")</f>
        <v/>
      </c>
      <c r="I388" s="30">
        <f>IFERROR(D388/H388,"")</f>
        <v/>
      </c>
      <c r="J388" s="31">
        <f>IF(AND(ISNUMBER(D388),ISNUMBER(G388)),D388-G388,"")</f>
        <v/>
      </c>
      <c r="K388" s="46" t="n">
        <v>5</v>
      </c>
      <c r="L388" s="46" t="n">
        <v>6566.11</v>
      </c>
      <c r="M388" s="38" t="inlineStr">
        <is>
          <t>04 Jul</t>
        </is>
      </c>
    </row>
    <row r="389">
      <c r="A389" s="39" t="n">
        <v>46208</v>
      </c>
      <c r="B389" s="16" t="n"/>
      <c r="C389" s="16" t="n"/>
      <c r="D389" s="17">
        <f>IF(COUNT(B389:C389)=2,(B389+C389)/2,"")</f>
        <v/>
      </c>
      <c r="E389" s="16" t="n">
        <v>0.26</v>
      </c>
      <c r="F389" s="16" t="n">
        <v>0.29</v>
      </c>
      <c r="G389" s="17">
        <f>IF(COUNT(E389:F389)=2,(E389+F389)/2,"")</f>
        <v/>
      </c>
      <c r="H389" s="17">
        <f>IF(AND(ISNUMBER(D389),ISNUMBER(G389)),D389+G389,"")</f>
        <v/>
      </c>
      <c r="I389" s="20">
        <f>IFERROR(D389/H389,"")</f>
        <v/>
      </c>
      <c r="J389" s="18">
        <f>IF(AND(ISNUMBER(D389),ISNUMBER(G389)),D389-G389,"")</f>
        <v/>
      </c>
      <c r="K389" s="45" t="n">
        <v>15.88</v>
      </c>
      <c r="L389" s="45" t="n">
        <v>6550.23</v>
      </c>
      <c r="M389" s="26" t="inlineStr">
        <is>
          <t>05 Jul</t>
        </is>
      </c>
    </row>
    <row r="390">
      <c r="A390" s="41" t="n">
        <v>46209</v>
      </c>
      <c r="B390" s="28" t="n">
        <v>0.7</v>
      </c>
      <c r="C390" s="28" t="n">
        <v>0.74</v>
      </c>
      <c r="D390" s="29">
        <f>IF(COUNT(B390:C390)=2,(B390+C390)/2,"")</f>
        <v/>
      </c>
      <c r="E390" s="28" t="n"/>
      <c r="F390" s="28" t="n"/>
      <c r="G390" s="29">
        <f>IF(COUNT(E390:F390)=2,(E390+F390)/2,"")</f>
        <v/>
      </c>
      <c r="H390" s="29">
        <f>IF(AND(ISNUMBER(D390),ISNUMBER(G390)),D390+G390,"")</f>
        <v/>
      </c>
      <c r="I390" s="30">
        <f>IFERROR(D390/H390,"")</f>
        <v/>
      </c>
      <c r="J390" s="31">
        <f>IF(AND(ISNUMBER(D390),ISNUMBER(G390)),D390-G390,"")</f>
        <v/>
      </c>
      <c r="K390" s="46" t="n">
        <v>4</v>
      </c>
      <c r="L390" s="46" t="n">
        <v>7663.42</v>
      </c>
      <c r="M390" s="38" t="inlineStr">
        <is>
          <t>06 Jul</t>
        </is>
      </c>
    </row>
    <row r="391">
      <c r="A391" s="39" t="n">
        <v>46212</v>
      </c>
      <c r="B391" s="16" t="n">
        <v>0.71</v>
      </c>
      <c r="C391" s="16" t="n">
        <v>0.74</v>
      </c>
      <c r="D391" s="17">
        <f>IF(COUNT(B391:C391)=2,(B391+C391)/2,"")</f>
        <v/>
      </c>
      <c r="E391" s="16" t="n">
        <v>0.26</v>
      </c>
      <c r="F391" s="16" t="n">
        <v>0.28</v>
      </c>
      <c r="G391" s="17">
        <f>IF(COUNT(E391:F391)=2,(E391+F391)/2,"")</f>
        <v/>
      </c>
      <c r="H391" s="17">
        <f>IF(AND(ISNUMBER(D391),ISNUMBER(G391)),D391+G391,"")</f>
        <v/>
      </c>
      <c r="I391" s="20">
        <f>IFERROR(D391/H391,"")</f>
        <v/>
      </c>
      <c r="J391" s="18">
        <f>IF(AND(ISNUMBER(D391),ISNUMBER(G391)),D391-G391,"")</f>
        <v/>
      </c>
      <c r="K391" s="45" t="n">
        <v>0</v>
      </c>
      <c r="L391" s="45" t="n">
        <v>7663.42</v>
      </c>
      <c r="M391" s="26" t="inlineStr">
        <is>
          <t>09 Jul</t>
        </is>
      </c>
    </row>
    <row r="392">
      <c r="A392" s="41" t="n">
        <v>46213</v>
      </c>
      <c r="B392" s="28" t="n">
        <v>0.71</v>
      </c>
      <c r="C392" s="28" t="n">
        <v>0.74</v>
      </c>
      <c r="D392" s="29">
        <f>IF(COUNT(B392:C392)=2,(B392+C392)/2,"")</f>
        <v/>
      </c>
      <c r="E392" s="28" t="n"/>
      <c r="F392" s="28" t="n"/>
      <c r="G392" s="29">
        <f>IF(COUNT(E392:F392)=2,(E392+F392)/2,"")</f>
        <v/>
      </c>
      <c r="H392" s="29">
        <f>IF(AND(ISNUMBER(D392),ISNUMBER(G392)),D392+G392,"")</f>
        <v/>
      </c>
      <c r="I392" s="30">
        <f>IFERROR(D392/H392,"")</f>
        <v/>
      </c>
      <c r="J392" s="31">
        <f>IF(AND(ISNUMBER(D392),ISNUMBER(G392)),D392-G392,"")</f>
        <v/>
      </c>
      <c r="K392" s="46" t="n">
        <v>0</v>
      </c>
      <c r="L392" s="46" t="n">
        <v>7663.42</v>
      </c>
      <c r="M392" s="38" t="inlineStr">
        <is>
          <t>10 Jul</t>
        </is>
      </c>
    </row>
    <row r="393">
      <c r="A393" s="39" t="n">
        <v>46214</v>
      </c>
      <c r="B393" s="16" t="n">
        <v>0.71</v>
      </c>
      <c r="C393" s="16" t="n">
        <v>0.74</v>
      </c>
      <c r="D393" s="17">
        <f>IF(COUNT(B393:C393)=2,(B393+C393)/2,"")</f>
        <v/>
      </c>
      <c r="E393" s="16" t="n">
        <v>0.26</v>
      </c>
      <c r="F393" s="16" t="n">
        <v>0.28</v>
      </c>
      <c r="G393" s="17">
        <f>IF(COUNT(E393:F393)=2,(E393+F393)/2,"")</f>
        <v/>
      </c>
      <c r="H393" s="17">
        <f>IF(AND(ISNUMBER(D393),ISNUMBER(G393)),D393+G393,"")</f>
        <v/>
      </c>
      <c r="I393" s="20">
        <f>IFERROR(D393/H393,"")</f>
        <v/>
      </c>
      <c r="J393" s="18">
        <f>IF(AND(ISNUMBER(D393),ISNUMBER(G393)),D393-G393,"")</f>
        <v/>
      </c>
      <c r="K393" s="45" t="n">
        <v>0</v>
      </c>
      <c r="L393" s="45" t="n">
        <v>7663.42</v>
      </c>
      <c r="M393" s="26" t="inlineStr">
        <is>
          <t>11 Jul</t>
        </is>
      </c>
    </row>
    <row r="394">
      <c r="A394" s="41" t="n">
        <v>46215</v>
      </c>
      <c r="B394" s="28" t="n">
        <v>0.71</v>
      </c>
      <c r="C394" s="28" t="n">
        <v>0.74</v>
      </c>
      <c r="D394" s="29">
        <f>IF(COUNT(B394:C394)=2,(B394+C394)/2,"")</f>
        <v/>
      </c>
      <c r="E394" s="28" t="n">
        <v>0.26</v>
      </c>
      <c r="F394" s="28" t="n">
        <v>0.29</v>
      </c>
      <c r="G394" s="29">
        <f>IF(COUNT(E394:F394)=2,(E394+F394)/2,"")</f>
        <v/>
      </c>
      <c r="H394" s="29">
        <f>IF(AND(ISNUMBER(D394),ISNUMBER(G394)),D394+G394,"")</f>
        <v/>
      </c>
      <c r="I394" s="30">
        <f>IFERROR(D394/H394,"")</f>
        <v/>
      </c>
      <c r="J394" s="31">
        <f>IF(AND(ISNUMBER(D394),ISNUMBER(G394)),D394-G394,"")</f>
        <v/>
      </c>
      <c r="K394" s="46" t="n">
        <v>11.32</v>
      </c>
      <c r="L394" s="46" t="n">
        <v>7663.42</v>
      </c>
      <c r="M394" s="38" t="inlineStr">
        <is>
          <t>12 Jul</t>
        </is>
      </c>
    </row>
    <row r="395">
      <c r="A395" s="39" t="n">
        <v>46216</v>
      </c>
      <c r="B395" s="16" t="n">
        <v>0.71</v>
      </c>
      <c r="C395" s="16" t="n">
        <v>0.74</v>
      </c>
      <c r="D395" s="17">
        <f>IF(COUNT(B395:C395)=2,(B395+C395)/2,"")</f>
        <v/>
      </c>
      <c r="E395" s="16" t="n">
        <v>0.26</v>
      </c>
      <c r="F395" s="16" t="n">
        <v>0.29</v>
      </c>
      <c r="G395" s="17">
        <f>IF(COUNT(E395:F395)=2,(E395+F395)/2,"")</f>
        <v/>
      </c>
      <c r="H395" s="17">
        <f>IF(AND(ISNUMBER(D395),ISNUMBER(G395)),D395+G395,"")</f>
        <v/>
      </c>
      <c r="I395" s="20">
        <f>IFERROR(D395/H395,"")</f>
        <v/>
      </c>
      <c r="J395" s="18">
        <f>IF(AND(ISNUMBER(D395),ISNUMBER(G395)),D395-G395,"")</f>
        <v/>
      </c>
      <c r="K395" s="45" t="n">
        <v>0</v>
      </c>
      <c r="L395" s="45" t="n">
        <v>7663.42</v>
      </c>
      <c r="M395" s="26" t="inlineStr">
        <is>
          <t>13 Jul</t>
        </is>
      </c>
    </row>
    <row r="396">
      <c r="A396" s="41" t="n">
        <v>46217</v>
      </c>
      <c r="B396" s="28" t="n">
        <v>0.71</v>
      </c>
      <c r="C396" s="28" t="n">
        <v>0.74</v>
      </c>
      <c r="D396" s="29">
        <f>IF(COUNT(B396:C396)=2,(B396+C396)/2,"")</f>
        <v/>
      </c>
      <c r="E396" s="28" t="n">
        <v>0.26</v>
      </c>
      <c r="F396" s="28" t="n">
        <v>0.29</v>
      </c>
      <c r="G396" s="29">
        <f>IF(COUNT(E396:F396)=2,(E396+F396)/2,"")</f>
        <v/>
      </c>
      <c r="H396" s="29">
        <f>IF(AND(ISNUMBER(D396),ISNUMBER(G396)),D396+G396,"")</f>
        <v/>
      </c>
      <c r="I396" s="30">
        <f>IFERROR(D396/H396,"")</f>
        <v/>
      </c>
      <c r="J396" s="31">
        <f>IF(AND(ISNUMBER(D396),ISNUMBER(G396)),D396-G396,"")</f>
        <v/>
      </c>
      <c r="K396" s="46" t="n">
        <v>0</v>
      </c>
      <c r="L396" s="46" t="n">
        <v>7663.42</v>
      </c>
      <c r="M396" s="38" t="inlineStr">
        <is>
          <t>14 Jul</t>
        </is>
      </c>
    </row>
    <row r="397">
      <c r="A397" s="39" t="n">
        <v>46218</v>
      </c>
      <c r="B397" s="16" t="n">
        <v>0.71</v>
      </c>
      <c r="C397" s="16" t="n">
        <v>0.74</v>
      </c>
      <c r="D397" s="17">
        <f>IF(COUNT(B397:C397)=2,(B397+C397)/2,"")</f>
        <v/>
      </c>
      <c r="E397" s="16" t="n">
        <v>0.26</v>
      </c>
      <c r="F397" s="16" t="n">
        <v>0.29</v>
      </c>
      <c r="G397" s="17">
        <f>IF(COUNT(E397:F397)=2,(E397+F397)/2,"")</f>
        <v/>
      </c>
      <c r="H397" s="17">
        <f>IF(AND(ISNUMBER(D397),ISNUMBER(G397)),D397+G397,"")</f>
        <v/>
      </c>
      <c r="I397" s="20">
        <f>IFERROR(D397/H397,"")</f>
        <v/>
      </c>
      <c r="J397" s="18">
        <f>IF(AND(ISNUMBER(D397),ISNUMBER(G397)),D397-G397,"")</f>
        <v/>
      </c>
      <c r="K397" s="45" t="n">
        <v>0</v>
      </c>
      <c r="L397" s="45" t="n">
        <v>7663.42</v>
      </c>
      <c r="M397" s="26" t="inlineStr">
        <is>
          <t>15 Jul</t>
        </is>
      </c>
    </row>
    <row r="398">
      <c r="A398" s="41" t="n">
        <v>46219</v>
      </c>
      <c r="B398" s="28" t="n">
        <v>0.71</v>
      </c>
      <c r="C398" s="28" t="n">
        <v>0.74</v>
      </c>
      <c r="D398" s="29">
        <f>IF(COUNT(B398:C398)=2,(B398+C398)/2,"")</f>
        <v/>
      </c>
      <c r="E398" s="28" t="n">
        <v>0.26</v>
      </c>
      <c r="F398" s="28" t="n">
        <v>0.29</v>
      </c>
      <c r="G398" s="29">
        <f>IF(COUNT(E398:F398)=2,(E398+F398)/2,"")</f>
        <v/>
      </c>
      <c r="H398" s="29">
        <f>IF(AND(ISNUMBER(D398),ISNUMBER(G398)),D398+G398,"")</f>
        <v/>
      </c>
      <c r="I398" s="30">
        <f>IFERROR(D398/H398,"")</f>
        <v/>
      </c>
      <c r="J398" s="31">
        <f>IF(AND(ISNUMBER(D398),ISNUMBER(G398)),D398-G398,"")</f>
        <v/>
      </c>
      <c r="K398" s="46" t="n">
        <v>1.14</v>
      </c>
      <c r="L398" s="46" t="n">
        <v>7663.42</v>
      </c>
      <c r="M398" s="38" t="inlineStr">
        <is>
          <t>16 Jul</t>
        </is>
      </c>
    </row>
    <row r="399">
      <c r="A399" s="39" t="n">
        <v>46220</v>
      </c>
      <c r="B399" s="16" t="n">
        <v>0.71</v>
      </c>
      <c r="C399" s="16" t="n">
        <v>0.74</v>
      </c>
      <c r="D399" s="17">
        <f>IF(COUNT(B399:C399)=2,(B399+C399)/2,"")</f>
        <v/>
      </c>
      <c r="E399" s="16" t="n">
        <v>0.26</v>
      </c>
      <c r="F399" s="16" t="n">
        <v>0.29</v>
      </c>
      <c r="G399" s="17">
        <f>IF(COUNT(E399:F399)=2,(E399+F399)/2,"")</f>
        <v/>
      </c>
      <c r="H399" s="17">
        <f>IF(AND(ISNUMBER(D399),ISNUMBER(G399)),D399+G399,"")</f>
        <v/>
      </c>
      <c r="I399" s="20">
        <f>IFERROR(D399/H399,"")</f>
        <v/>
      </c>
      <c r="J399" s="18">
        <f>IF(AND(ISNUMBER(D399),ISNUMBER(G399)),D399-G399,"")</f>
        <v/>
      </c>
      <c r="K399" s="45" t="n">
        <v>0.65</v>
      </c>
      <c r="L399" s="45" t="n">
        <v>7663.42</v>
      </c>
      <c r="M399" s="26" t="inlineStr">
        <is>
          <t>17 Jul</t>
        </is>
      </c>
    </row>
    <row r="400">
      <c r="A400" s="41" t="n">
        <v>46221</v>
      </c>
      <c r="B400" s="28" t="n">
        <v>0.7</v>
      </c>
      <c r="C400" s="28" t="n">
        <v>0.74</v>
      </c>
      <c r="D400" s="29">
        <f>IF(COUNT(B400:C400)=2,(B400+C400)/2,"")</f>
        <v/>
      </c>
      <c r="E400" s="28" t="n">
        <v>0.26</v>
      </c>
      <c r="F400" s="28" t="n">
        <v>0.29</v>
      </c>
      <c r="G400" s="29">
        <f>IF(COUNT(E400:F400)=2,(E400+F400)/2,"")</f>
        <v/>
      </c>
      <c r="H400" s="29">
        <f>IF(AND(ISNUMBER(D400),ISNUMBER(G400)),D400+G400,"")</f>
        <v/>
      </c>
      <c r="I400" s="30">
        <f>IFERROR(D400/H400,"")</f>
        <v/>
      </c>
      <c r="J400" s="31">
        <f>IF(AND(ISNUMBER(D400),ISNUMBER(G400)),D400-G400,"")</f>
        <v/>
      </c>
      <c r="K400" s="46" t="n">
        <v>100</v>
      </c>
      <c r="L400" s="46" t="n">
        <v>7565.58</v>
      </c>
      <c r="M400" s="38" t="inlineStr">
        <is>
          <t>18 Jul</t>
        </is>
      </c>
    </row>
    <row r="401">
      <c r="A401" s="39" t="n">
        <v>46222</v>
      </c>
      <c r="B401" s="16" t="n">
        <v>0.7</v>
      </c>
      <c r="C401" s="16" t="n">
        <v>0.74</v>
      </c>
      <c r="D401" s="17">
        <f>IF(COUNT(B401:C401)=2,(B401+C401)/2,"")</f>
        <v/>
      </c>
      <c r="E401" s="16" t="n">
        <v>0.26</v>
      </c>
      <c r="F401" s="16" t="n">
        <v>0.29</v>
      </c>
      <c r="G401" s="17">
        <f>IF(COUNT(E401:F401)=2,(E401+F401)/2,"")</f>
        <v/>
      </c>
      <c r="H401" s="17">
        <f>IF(AND(ISNUMBER(D401),ISNUMBER(G401)),D401+G401,"")</f>
        <v/>
      </c>
      <c r="I401" s="20">
        <f>IFERROR(D401/H401,"")</f>
        <v/>
      </c>
      <c r="J401" s="18">
        <f>IF(AND(ISNUMBER(D401),ISNUMBER(G401)),D401-G401,"")</f>
        <v/>
      </c>
      <c r="K401" s="45" t="n">
        <v>0</v>
      </c>
      <c r="L401" s="45" t="n">
        <v>7565.58</v>
      </c>
      <c r="M401" s="26" t="inlineStr">
        <is>
          <t>19 Jul</t>
        </is>
      </c>
    </row>
    <row r="402">
      <c r="A402" s="41" t="n">
        <v>46223</v>
      </c>
      <c r="B402" s="28" t="n">
        <v>0.7</v>
      </c>
      <c r="C402" s="28" t="n">
        <v>0.74</v>
      </c>
      <c r="D402" s="29">
        <f>IF(COUNT(B402:C402)=2,(B402+C402)/2,"")</f>
        <v/>
      </c>
      <c r="E402" s="28" t="n">
        <v>0.26</v>
      </c>
      <c r="F402" s="28" t="n">
        <v>0.29</v>
      </c>
      <c r="G402" s="29">
        <f>IF(COUNT(E402:F402)=2,(E402+F402)/2,"")</f>
        <v/>
      </c>
      <c r="H402" s="29">
        <f>IF(AND(ISNUMBER(D402),ISNUMBER(G402)),D402+G402,"")</f>
        <v/>
      </c>
      <c r="I402" s="30">
        <f>IFERROR(D402/H402,"")</f>
        <v/>
      </c>
      <c r="J402" s="31">
        <f>IF(AND(ISNUMBER(D402),ISNUMBER(G402)),D402-G402,"")</f>
        <v/>
      </c>
      <c r="K402" s="46" t="n">
        <v>0</v>
      </c>
      <c r="L402" s="46" t="n">
        <v>7565.58</v>
      </c>
      <c r="M402" s="38" t="inlineStr">
        <is>
          <t>20 Jul</t>
        </is>
      </c>
    </row>
    <row r="403">
      <c r="A403" s="39" t="n">
        <v>46224</v>
      </c>
      <c r="B403" s="16" t="n">
        <v>0.71</v>
      </c>
      <c r="C403" s="16" t="n">
        <v>0.74</v>
      </c>
      <c r="D403" s="17">
        <f>IF(COUNT(B403:C403)=2,(B403+C403)/2,"")</f>
        <v/>
      </c>
      <c r="E403" s="16" t="n">
        <v>0.26</v>
      </c>
      <c r="F403" s="16" t="n">
        <v>0.3</v>
      </c>
      <c r="G403" s="17">
        <f>IF(COUNT(E403:F403)=2,(E403+F403)/2,"")</f>
        <v/>
      </c>
      <c r="H403" s="17">
        <f>IF(AND(ISNUMBER(D403),ISNUMBER(G403)),D403+G403,"")</f>
        <v/>
      </c>
      <c r="I403" s="20">
        <f>IFERROR(D403/H403,"")</f>
        <v/>
      </c>
      <c r="J403" s="18">
        <f>IF(AND(ISNUMBER(D403),ISNUMBER(G403)),D403-G403,"")</f>
        <v/>
      </c>
      <c r="K403" s="45" t="n">
        <v>0</v>
      </c>
      <c r="L403" s="45" t="n">
        <v>7565.58</v>
      </c>
      <c r="M403" s="26" t="inlineStr">
        <is>
          <t>21 Jul</t>
        </is>
      </c>
    </row>
    <row r="404">
      <c r="A404" s="41" t="n">
        <v>46225</v>
      </c>
      <c r="B404" s="28" t="n">
        <v>0.71</v>
      </c>
      <c r="C404" s="28" t="n">
        <v>0.74</v>
      </c>
      <c r="D404" s="29">
        <f>IF(COUNT(B404:C404)=2,(B404+C404)/2,"")</f>
        <v/>
      </c>
      <c r="E404" s="28" t="n">
        <v>0.26</v>
      </c>
      <c r="F404" s="28" t="n">
        <v>0.3</v>
      </c>
      <c r="G404" s="29">
        <f>IF(COUNT(E404:F404)=2,(E404+F404)/2,"")</f>
        <v/>
      </c>
      <c r="H404" s="29">
        <f>IF(AND(ISNUMBER(D404),ISNUMBER(G404)),D404+G404,"")</f>
        <v/>
      </c>
      <c r="I404" s="30">
        <f>IFERROR(D404/H404,"")</f>
        <v/>
      </c>
      <c r="J404" s="31">
        <f>IF(AND(ISNUMBER(D404),ISNUMBER(G404)),D404-G404,"")</f>
        <v/>
      </c>
      <c r="K404" s="46" t="n">
        <v>0</v>
      </c>
      <c r="L404" s="46" t="n">
        <v>7565.58</v>
      </c>
      <c r="M404" s="38" t="inlineStr">
        <is>
          <t>22 Jul</t>
        </is>
      </c>
    </row>
    <row r="405">
      <c r="A405" s="39" t="n">
        <v>46226</v>
      </c>
      <c r="B405" s="16" t="n">
        <v>0.7</v>
      </c>
      <c r="C405" s="16" t="n">
        <v>0.74</v>
      </c>
      <c r="D405" s="17">
        <f>IF(COUNT(B405:C405)=2,(B405+C405)/2,"")</f>
        <v/>
      </c>
      <c r="E405" s="16" t="n">
        <v>0.26</v>
      </c>
      <c r="F405" s="16" t="n">
        <v>0.3</v>
      </c>
      <c r="G405" s="17">
        <f>IF(COUNT(E405:F405)=2,(E405+F405)/2,"")</f>
        <v/>
      </c>
      <c r="H405" s="17">
        <f>IF(AND(ISNUMBER(D405),ISNUMBER(G405)),D405+G405,"")</f>
        <v/>
      </c>
      <c r="I405" s="20">
        <f>IFERROR(D405/H405,"")</f>
        <v/>
      </c>
      <c r="J405" s="18">
        <f>IF(AND(ISNUMBER(D405),ISNUMBER(G405)),D405-G405,"")</f>
        <v/>
      </c>
      <c r="K405" s="45" t="n">
        <v>0</v>
      </c>
      <c r="L405" s="45" t="n">
        <v>7565.58</v>
      </c>
      <c r="M405" s="26" t="inlineStr">
        <is>
          <t>23 Jul</t>
        </is>
      </c>
    </row>
    <row r="406">
      <c r="A406" s="41" t="n">
        <v>46227</v>
      </c>
      <c r="B406" s="28" t="n">
        <v>0.71</v>
      </c>
      <c r="C406" s="28" t="n">
        <v>0.74</v>
      </c>
      <c r="D406" s="29">
        <f>IF(COUNT(B406:C406)=2,(B406+C406)/2,"")</f>
        <v/>
      </c>
      <c r="E406" s="28" t="n">
        <v>0.26</v>
      </c>
      <c r="F406" s="28" t="n">
        <v>0.3</v>
      </c>
      <c r="G406" s="29">
        <f>IF(COUNT(E406:F406)=2,(E406+F406)/2,"")</f>
        <v/>
      </c>
      <c r="H406" s="29">
        <f>IF(AND(ISNUMBER(D406),ISNUMBER(G406)),D406+G406,"")</f>
        <v/>
      </c>
      <c r="I406" s="30">
        <f>IFERROR(D406/H406,"")</f>
        <v/>
      </c>
      <c r="J406" s="31">
        <f>IF(AND(ISNUMBER(D406),ISNUMBER(G406)),D406-G406,"")</f>
        <v/>
      </c>
      <c r="K406" s="46" t="n">
        <v>13.27</v>
      </c>
      <c r="L406" s="46" t="n">
        <v>7578.85</v>
      </c>
      <c r="M406" s="38" t="inlineStr">
        <is>
          <t>24 Jul</t>
        </is>
      </c>
    </row>
    <row r="407">
      <c r="A407" s="39" t="n">
        <v>46228</v>
      </c>
      <c r="B407" s="16" t="n">
        <v>0.7</v>
      </c>
      <c r="C407" s="16" t="n">
        <v>0.73</v>
      </c>
      <c r="D407" s="17">
        <f>IF(COUNT(B407:C407)=2,(B407+C407)/2,"")</f>
        <v/>
      </c>
      <c r="E407" s="16" t="n">
        <v>0.27</v>
      </c>
      <c r="F407" s="16" t="n">
        <v>0.3</v>
      </c>
      <c r="G407" s="17">
        <f>IF(COUNT(E407:F407)=2,(E407+F407)/2,"")</f>
        <v/>
      </c>
      <c r="H407" s="17">
        <f>IF(AND(ISNUMBER(D407),ISNUMBER(G407)),D407+G407,"")</f>
        <v/>
      </c>
      <c r="I407" s="20">
        <f>IFERROR(D407/H407,"")</f>
        <v/>
      </c>
      <c r="J407" s="18">
        <f>IF(AND(ISNUMBER(D407),ISNUMBER(G407)),D407-G407,"")</f>
        <v/>
      </c>
      <c r="K407" s="45" t="n">
        <v>0</v>
      </c>
      <c r="L407" s="45" t="n">
        <v>7578.85</v>
      </c>
      <c r="M407" s="26" t="inlineStr">
        <is>
          <t>25 Jul</t>
        </is>
      </c>
    </row>
    <row r="408">
      <c r="A408" s="41" t="n">
        <v>46229</v>
      </c>
      <c r="B408" s="28" t="n">
        <v>0.72</v>
      </c>
      <c r="C408" s="28" t="n">
        <v>0.75</v>
      </c>
      <c r="D408" s="29">
        <f>IF(COUNT(B408:C408)=2,(B408+C408)/2,"")</f>
        <v/>
      </c>
      <c r="E408" s="28" t="n">
        <v>0.27</v>
      </c>
      <c r="F408" s="28" t="n">
        <v>0.29</v>
      </c>
      <c r="G408" s="29">
        <f>IF(COUNT(E408:F408)=2,(E408+F408)/2,"")</f>
        <v/>
      </c>
      <c r="H408" s="29">
        <f>IF(AND(ISNUMBER(D408),ISNUMBER(G408)),D408+G408,"")</f>
        <v/>
      </c>
      <c r="I408" s="30">
        <f>IFERROR(D408/H408,"")</f>
        <v/>
      </c>
      <c r="J408" s="31">
        <f>IF(AND(ISNUMBER(D408),ISNUMBER(G408)),D408-G408,"")</f>
        <v/>
      </c>
      <c r="K408" s="46" t="n">
        <v>341.14</v>
      </c>
      <c r="L408" s="46" t="n">
        <v>7883.27</v>
      </c>
      <c r="M408" s="38" t="inlineStr">
        <is>
          <t>26 Jul</t>
        </is>
      </c>
    </row>
    <row r="409">
      <c r="A409" s="39" t="n">
        <v>46230</v>
      </c>
      <c r="B409" s="16" t="n">
        <v>0.72</v>
      </c>
      <c r="C409" s="16" t="n">
        <v>0.75</v>
      </c>
      <c r="D409" s="17">
        <f>IF(COUNT(B409:C409)=2,(B409+C409)/2,"")</f>
        <v/>
      </c>
      <c r="E409" s="16" t="n">
        <v>0.27</v>
      </c>
      <c r="F409" s="16" t="n">
        <v>0.29</v>
      </c>
      <c r="G409" s="17">
        <f>IF(COUNT(E409:F409)=2,(E409+F409)/2,"")</f>
        <v/>
      </c>
      <c r="H409" s="17">
        <f>IF(AND(ISNUMBER(D409),ISNUMBER(G409)),D409+G409,"")</f>
        <v/>
      </c>
      <c r="I409" s="20">
        <f>IFERROR(D409/H409,"")</f>
        <v/>
      </c>
      <c r="J409" s="18">
        <f>IF(AND(ISNUMBER(D409),ISNUMBER(G409)),D409-G409,"")</f>
        <v/>
      </c>
      <c r="K409" s="45" t="n">
        <v>0</v>
      </c>
      <c r="L409" s="45" t="n">
        <v>7883.27</v>
      </c>
      <c r="M409" s="26" t="inlineStr">
        <is>
          <t>27 Jul</t>
        </is>
      </c>
    </row>
    <row r="410">
      <c r="A410" s="41" t="n">
        <v>46231</v>
      </c>
      <c r="B410" s="28" t="n">
        <v>0.72</v>
      </c>
      <c r="C410" s="28" t="n">
        <v>0.75</v>
      </c>
      <c r="D410" s="29">
        <f>IF(COUNT(B410:C410)=2,(B410+C410)/2,"")</f>
        <v/>
      </c>
      <c r="E410" s="28" t="n">
        <v>0.27</v>
      </c>
      <c r="F410" s="28" t="n">
        <v>0.29</v>
      </c>
      <c r="G410" s="29">
        <f>IF(COUNT(E410:F410)=2,(E410+F410)/2,"")</f>
        <v/>
      </c>
      <c r="H410" s="29">
        <f>IF(AND(ISNUMBER(D410),ISNUMBER(G410)),D410+G410,"")</f>
        <v/>
      </c>
      <c r="I410" s="30">
        <f>IFERROR(D410/H410,"")</f>
        <v/>
      </c>
      <c r="J410" s="31">
        <f>IF(AND(ISNUMBER(D410),ISNUMBER(G410)),D410-G410,"")</f>
        <v/>
      </c>
      <c r="K410" s="46" t="n">
        <v>0</v>
      </c>
      <c r="L410" s="46" t="n">
        <v>7883.27</v>
      </c>
      <c r="M410" s="38" t="inlineStr">
        <is>
          <t>28 Jul</t>
        </is>
      </c>
    </row>
    <row r="411">
      <c r="A411" s="39" t="n">
        <v>46232</v>
      </c>
      <c r="B411" s="16" t="n">
        <v>0.72</v>
      </c>
      <c r="C411" s="16" t="n">
        <v>0.75</v>
      </c>
      <c r="D411" s="17">
        <f>IF(COUNT(B411:C411)=2,(B411+C411)/2,"")</f>
        <v/>
      </c>
      <c r="E411" s="16" t="n">
        <v>0.27</v>
      </c>
      <c r="F411" s="16" t="n">
        <v>0.29</v>
      </c>
      <c r="G411" s="17">
        <f>IF(COUNT(E411:F411)=2,(E411+F411)/2,"")</f>
        <v/>
      </c>
      <c r="H411" s="17">
        <f>IF(AND(ISNUMBER(D411),ISNUMBER(G411)),D411+G411,"")</f>
        <v/>
      </c>
      <c r="I411" s="20">
        <f>IFERROR(D411/H411,"")</f>
        <v/>
      </c>
      <c r="J411" s="18">
        <f>IF(AND(ISNUMBER(D411),ISNUMBER(G411)),D411-G411,"")</f>
        <v/>
      </c>
      <c r="K411" s="45" t="n">
        <v>0</v>
      </c>
      <c r="L411" s="45" t="n">
        <v>7883.27</v>
      </c>
      <c r="M411" s="26" t="inlineStr">
        <is>
          <t>29 Jul</t>
        </is>
      </c>
    </row>
    <row r="412">
      <c r="A412" s="41" t="n">
        <v>46233</v>
      </c>
      <c r="B412" s="28" t="n">
        <v>0.71</v>
      </c>
      <c r="C412" s="28" t="n">
        <v>0.72</v>
      </c>
      <c r="D412" s="29">
        <f>IF(COUNT(B412:C412)=2,(B412+C412)/2,"")</f>
        <v/>
      </c>
      <c r="E412" s="28" t="n">
        <v>0.28</v>
      </c>
      <c r="F412" s="28" t="n">
        <v>0.32</v>
      </c>
      <c r="G412" s="29">
        <f>IF(COUNT(E412:F412)=2,(E412+F412)/2,"")</f>
        <v/>
      </c>
      <c r="H412" s="29">
        <f>IF(AND(ISNUMBER(D412),ISNUMBER(G412)),D412+G412,"")</f>
        <v/>
      </c>
      <c r="I412" s="30">
        <f>IFERROR(D412/H412,"")</f>
        <v/>
      </c>
      <c r="J412" s="31">
        <f>IF(AND(ISNUMBER(D412),ISNUMBER(G412)),D412-G412,"")</f>
        <v/>
      </c>
      <c r="K412" s="46" t="n">
        <v>809.23</v>
      </c>
      <c r="L412" s="46" t="n">
        <v>7883.4</v>
      </c>
      <c r="M412" s="38" t="inlineStr">
        <is>
          <t>30 Jul</t>
        </is>
      </c>
    </row>
    <row r="413">
      <c r="A413" s="39" t="n">
        <v>46234</v>
      </c>
      <c r="B413" s="16" t="n">
        <v>0.71</v>
      </c>
      <c r="C413" s="16" t="n">
        <v>0.72</v>
      </c>
      <c r="D413" s="17">
        <f>IF(COUNT(B413:C413)=2,(B413+C413)/2,"")</f>
        <v/>
      </c>
      <c r="E413" s="16" t="n">
        <v>0.3</v>
      </c>
      <c r="F413" s="16" t="n">
        <v>0.33</v>
      </c>
      <c r="G413" s="17">
        <f>IF(COUNT(E413:F413)=2,(E413+F413)/2,"")</f>
        <v/>
      </c>
      <c r="H413" s="17">
        <f>IF(AND(ISNUMBER(D413),ISNUMBER(G413)),D413+G413,"")</f>
        <v/>
      </c>
      <c r="I413" s="20">
        <f>IFERROR(D413/H413,"")</f>
        <v/>
      </c>
      <c r="J413" s="18">
        <f>IF(AND(ISNUMBER(D413),ISNUMBER(G413)),D413-G413,"")</f>
        <v/>
      </c>
      <c r="K413" s="45" t="n">
        <v>46.12</v>
      </c>
      <c r="L413" s="45" t="n">
        <v>7888.87</v>
      </c>
      <c r="M413" s="26" t="inlineStr">
        <is>
          <t>31 Jul</t>
        </is>
      </c>
    </row>
    <row r="414">
      <c r="A414" s="41" t="n">
        <v>46235</v>
      </c>
      <c r="B414" s="28" t="n">
        <v>0.71</v>
      </c>
      <c r="C414" s="28" t="n">
        <v>0.72</v>
      </c>
      <c r="D414" s="29">
        <f>IF(COUNT(B414:C414)=2,(B414+C414)/2,"")</f>
        <v/>
      </c>
      <c r="E414" s="28" t="n">
        <v>0.28</v>
      </c>
      <c r="F414" s="28" t="n">
        <v>0.33</v>
      </c>
      <c r="G414" s="29">
        <f>IF(COUNT(E414:F414)=2,(E414+F414)/2,"")</f>
        <v/>
      </c>
      <c r="H414" s="29">
        <f>IF(AND(ISNUMBER(D414),ISNUMBER(G414)),D414+G414,"")</f>
        <v/>
      </c>
      <c r="I414" s="30">
        <f>IFERROR(D414/H414,"")</f>
        <v/>
      </c>
      <c r="J414" s="31">
        <f>IF(AND(ISNUMBER(D414),ISNUMBER(G414)),D414-G414,"")</f>
        <v/>
      </c>
      <c r="K414" s="46" t="n">
        <v>0</v>
      </c>
      <c r="L414" s="46" t="n">
        <v>7888.87</v>
      </c>
      <c r="M414" s="38" t="inlineStr">
        <is>
          <t>01 Aug</t>
        </is>
      </c>
    </row>
    <row r="415">
      <c r="A415" s="39" t="n">
        <v>46236</v>
      </c>
      <c r="B415" s="16" t="n">
        <v>0.71</v>
      </c>
      <c r="C415" s="16" t="n">
        <v>0.72</v>
      </c>
      <c r="D415" s="17">
        <f>IF(COUNT(B415:C415)=2,(B415+C415)/2,"")</f>
        <v/>
      </c>
      <c r="E415" s="16" t="n">
        <v>0.28</v>
      </c>
      <c r="F415" s="16" t="n">
        <v>0.33</v>
      </c>
      <c r="G415" s="17">
        <f>IF(COUNT(E415:F415)=2,(E415+F415)/2,"")</f>
        <v/>
      </c>
      <c r="H415" s="17">
        <f>IF(AND(ISNUMBER(D415),ISNUMBER(G415)),D415+G415,"")</f>
        <v/>
      </c>
      <c r="I415" s="20">
        <f>IFERROR(D415/H415,"")</f>
        <v/>
      </c>
      <c r="J415" s="18">
        <f>IF(AND(ISNUMBER(D415),ISNUMBER(G415)),D415-G415,"")</f>
        <v/>
      </c>
      <c r="K415" s="45" t="n">
        <v>0</v>
      </c>
      <c r="L415" s="45" t="n">
        <v>7888.87</v>
      </c>
      <c r="M415" s="26" t="inlineStr">
        <is>
          <t>02 Aug</t>
        </is>
      </c>
    </row>
    <row r="416">
      <c r="A416" s="41" t="n">
        <v>46237</v>
      </c>
      <c r="B416" s="28" t="n">
        <v>0.71</v>
      </c>
      <c r="C416" s="28" t="n">
        <v>0.85</v>
      </c>
      <c r="D416" s="29">
        <f>IF(COUNT(B416:C416)=2,(B416+C416)/2,"")</f>
        <v/>
      </c>
      <c r="E416" s="28" t="n">
        <v>0.27</v>
      </c>
      <c r="F416" s="28" t="n">
        <v>0.31</v>
      </c>
      <c r="G416" s="29">
        <f>IF(COUNT(E416:F416)=2,(E416+F416)/2,"")</f>
        <v/>
      </c>
      <c r="H416" s="29">
        <f>IF(AND(ISNUMBER(D416),ISNUMBER(G416)),D416+G416,"")</f>
        <v/>
      </c>
      <c r="I416" s="30">
        <f>IFERROR(D416/H416,"")</f>
        <v/>
      </c>
      <c r="J416" s="31">
        <f>IF(AND(ISNUMBER(D416),ISNUMBER(G416)),D416-G416,"")</f>
        <v/>
      </c>
      <c r="K416" s="46" t="n">
        <v>250.27</v>
      </c>
      <c r="L416" s="46" t="n">
        <v>8139.14</v>
      </c>
      <c r="M416" s="38" t="inlineStr">
        <is>
          <t>03 Aug</t>
        </is>
      </c>
    </row>
    <row r="417">
      <c r="A417" s="39" t="n">
        <v>46238</v>
      </c>
      <c r="B417" s="16" t="n">
        <v>0.7</v>
      </c>
      <c r="C417" s="16" t="n">
        <v>0.76</v>
      </c>
      <c r="D417" s="17">
        <f>IF(COUNT(B417:C417)=2,(B417+C417)/2,"")</f>
        <v/>
      </c>
      <c r="E417" s="16" t="n">
        <v>0.28</v>
      </c>
      <c r="F417" s="16" t="n">
        <v>0.37</v>
      </c>
      <c r="G417" s="17">
        <f>IF(COUNT(E417:F417)=2,(E417+F417)/2,"")</f>
        <v/>
      </c>
      <c r="H417" s="17">
        <f>IF(AND(ISNUMBER(D417),ISNUMBER(G417)),D417+G417,"")</f>
        <v/>
      </c>
      <c r="I417" s="20">
        <f>IFERROR(D417/H417,"")</f>
        <v/>
      </c>
      <c r="J417" s="18">
        <f>IF(AND(ISNUMBER(D417),ISNUMBER(G417)),D417-G417,"")</f>
        <v/>
      </c>
      <c r="K417" s="45" t="n">
        <v>77.77000000000001</v>
      </c>
      <c r="L417" s="45" t="n">
        <v>8156.4</v>
      </c>
      <c r="M417" s="26" t="inlineStr">
        <is>
          <t>04 Aug</t>
        </is>
      </c>
    </row>
    <row r="418">
      <c r="A418" s="41" t="n">
        <v>46239</v>
      </c>
      <c r="B418" s="28" t="n">
        <v>0.7</v>
      </c>
      <c r="C418" s="28" t="n">
        <v>0.74</v>
      </c>
      <c r="D418" s="29">
        <f>IF(COUNT(B418:C418)=2,(B418+C418)/2,"")</f>
        <v/>
      </c>
      <c r="E418" s="28" t="n">
        <v>0.28</v>
      </c>
      <c r="F418" s="28" t="n">
        <v>0.32</v>
      </c>
      <c r="G418" s="29">
        <f>IF(COUNT(E418:F418)=2,(E418+F418)/2,"")</f>
        <v/>
      </c>
      <c r="H418" s="29">
        <f>IF(AND(ISNUMBER(D418),ISNUMBER(G418)),D418+G418,"")</f>
        <v/>
      </c>
      <c r="I418" s="30">
        <f>IFERROR(D418/H418,"")</f>
        <v/>
      </c>
      <c r="J418" s="31">
        <f>IF(AND(ISNUMBER(D418),ISNUMBER(G418)),D418-G418,"")</f>
        <v/>
      </c>
      <c r="K418" s="46" t="n">
        <v>293.04</v>
      </c>
      <c r="L418" s="46" t="n">
        <v>8447.92</v>
      </c>
      <c r="M418" s="38" t="inlineStr">
        <is>
          <t>05 Aug</t>
        </is>
      </c>
    </row>
    <row r="419">
      <c r="A419" s="39" t="n">
        <v>46240</v>
      </c>
      <c r="B419" s="16" t="n">
        <v>0.7</v>
      </c>
      <c r="C419" s="16" t="n">
        <v>0.73</v>
      </c>
      <c r="D419" s="17">
        <f>IF(COUNT(B419:C419)=2,(B419+C419)/2,"")</f>
        <v/>
      </c>
      <c r="E419" s="16" t="n">
        <v>0.28</v>
      </c>
      <c r="F419" s="16" t="n">
        <v>0.31</v>
      </c>
      <c r="G419" s="17">
        <f>IF(COUNT(E419:F419)=2,(E419+F419)/2,"")</f>
        <v/>
      </c>
      <c r="H419" s="17">
        <f>IF(AND(ISNUMBER(D419),ISNUMBER(G419)),D419+G419,"")</f>
        <v/>
      </c>
      <c r="I419" s="20">
        <f>IFERROR(D419/H419,"")</f>
        <v/>
      </c>
      <c r="J419" s="18">
        <f>IF(AND(ISNUMBER(D419),ISNUMBER(G419)),D419-G419,"")</f>
        <v/>
      </c>
      <c r="K419" s="45" t="n">
        <v>300</v>
      </c>
      <c r="L419" s="45" t="n">
        <v>8447.92</v>
      </c>
      <c r="M419" s="26" t="inlineStr">
        <is>
          <t>06 Aug</t>
        </is>
      </c>
    </row>
    <row r="420">
      <c r="A420" s="41" t="n">
        <v>46241</v>
      </c>
      <c r="B420" s="28" t="n">
        <v>0.7</v>
      </c>
      <c r="C420" s="28" t="n">
        <v>0.74</v>
      </c>
      <c r="D420" s="29">
        <f>IF(COUNT(B420:C420)=2,(B420+C420)/2,"")</f>
        <v/>
      </c>
      <c r="E420" s="28" t="n">
        <v>0.27</v>
      </c>
      <c r="F420" s="28" t="n">
        <v>0.3</v>
      </c>
      <c r="G420" s="29">
        <f>IF(COUNT(E420:F420)=2,(E420+F420)/2,"")</f>
        <v/>
      </c>
      <c r="H420" s="29">
        <f>IF(AND(ISNUMBER(D420),ISNUMBER(G420)),D420+G420,"")</f>
        <v/>
      </c>
      <c r="I420" s="30">
        <f>IFERROR(D420/H420,"")</f>
        <v/>
      </c>
      <c r="J420" s="31">
        <f>IF(AND(ISNUMBER(D420),ISNUMBER(G420)),D420-G420,"")</f>
        <v/>
      </c>
      <c r="K420" s="46" t="n">
        <v>0</v>
      </c>
      <c r="L420" s="46" t="n">
        <v>8447.92</v>
      </c>
      <c r="M420" s="38" t="inlineStr">
        <is>
          <t>07 Aug</t>
        </is>
      </c>
    </row>
    <row r="421">
      <c r="A421" s="39" t="n">
        <v>46242</v>
      </c>
      <c r="B421" s="16" t="n">
        <v>0.71</v>
      </c>
      <c r="C421" s="16" t="n">
        <v>0.74</v>
      </c>
      <c r="D421" s="17">
        <f>IF(COUNT(B421:C421)=2,(B421+C421)/2,"")</f>
        <v/>
      </c>
      <c r="E421" s="16" t="n">
        <v>0.27</v>
      </c>
      <c r="F421" s="16" t="n">
        <v>0.31</v>
      </c>
      <c r="G421" s="17">
        <f>IF(COUNT(E421:F421)=2,(E421+F421)/2,"")</f>
        <v/>
      </c>
      <c r="H421" s="17">
        <f>IF(AND(ISNUMBER(D421),ISNUMBER(G421)),D421+G421,"")</f>
        <v/>
      </c>
      <c r="I421" s="20">
        <f>IFERROR(D421/H421,"")</f>
        <v/>
      </c>
      <c r="J421" s="18">
        <f>IF(AND(ISNUMBER(D421),ISNUMBER(G421)),D421-G421,"")</f>
        <v/>
      </c>
      <c r="K421" s="45" t="n">
        <v>0</v>
      </c>
      <c r="L421" s="45" t="n">
        <v>8447.92</v>
      </c>
      <c r="M421" s="26" t="inlineStr">
        <is>
          <t>08 Aug</t>
        </is>
      </c>
    </row>
    <row r="422">
      <c r="A422" s="41" t="n">
        <v>46243</v>
      </c>
      <c r="B422" s="28" t="n">
        <v>0.71</v>
      </c>
      <c r="C422" s="28" t="n">
        <v>0.74</v>
      </c>
      <c r="D422" s="29">
        <f>IF(COUNT(B422:C422)=2,(B422+C422)/2,"")</f>
        <v/>
      </c>
      <c r="E422" s="28" t="n">
        <v>0.27</v>
      </c>
      <c r="F422" s="28" t="n">
        <v>0.31</v>
      </c>
      <c r="G422" s="29">
        <f>IF(COUNT(E422:F422)=2,(E422+F422)/2,"")</f>
        <v/>
      </c>
      <c r="H422" s="29">
        <f>IF(AND(ISNUMBER(D422),ISNUMBER(G422)),D422+G422,"")</f>
        <v/>
      </c>
      <c r="I422" s="30">
        <f>IFERROR(D422/H422,"")</f>
        <v/>
      </c>
      <c r="J422" s="31">
        <f>IF(AND(ISNUMBER(D422),ISNUMBER(G422)),D422-G422,"")</f>
        <v/>
      </c>
      <c r="K422" s="46" t="n">
        <v>7.95</v>
      </c>
      <c r="L422" s="46" t="n">
        <v>8455.870000000001</v>
      </c>
      <c r="M422" s="38" t="inlineStr">
        <is>
          <t>09 Aug</t>
        </is>
      </c>
    </row>
    <row r="423">
      <c r="A423" s="39" t="n">
        <v>46244</v>
      </c>
      <c r="B423" s="16" t="n">
        <v>0.7</v>
      </c>
      <c r="C423" s="16" t="n">
        <v>0.73</v>
      </c>
      <c r="D423" s="17">
        <f>IF(COUNT(B423:C423)=2,(B423+C423)/2,"")</f>
        <v/>
      </c>
      <c r="E423" s="16" t="n">
        <v>0.28</v>
      </c>
      <c r="F423" s="16" t="n">
        <v>0.31</v>
      </c>
      <c r="G423" s="17">
        <f>IF(COUNT(E423:F423)=2,(E423+F423)/2,"")</f>
        <v/>
      </c>
      <c r="H423" s="17">
        <f>IF(AND(ISNUMBER(D423),ISNUMBER(G423)),D423+G423,"")</f>
        <v/>
      </c>
      <c r="I423" s="20">
        <f>IFERROR(D423/H423,"")</f>
        <v/>
      </c>
      <c r="J423" s="18">
        <f>IF(AND(ISNUMBER(D423),ISNUMBER(G423)),D423-G423,"")</f>
        <v/>
      </c>
      <c r="K423" s="45" t="n">
        <v>7.96</v>
      </c>
      <c r="L423" s="45" t="n">
        <v>8463.83</v>
      </c>
      <c r="M423" s="26" t="inlineStr">
        <is>
          <t>10 Aug</t>
        </is>
      </c>
    </row>
    <row r="424">
      <c r="A424" s="41" t="n">
        <v>46245</v>
      </c>
      <c r="B424" s="28" t="n">
        <v>0.7</v>
      </c>
      <c r="C424" s="28" t="n">
        <v>0.74</v>
      </c>
      <c r="D424" s="29">
        <f>IF(COUNT(B424:C424)=2,(B424+C424)/2,"")</f>
        <v/>
      </c>
      <c r="E424" s="28" t="n">
        <v>0.28</v>
      </c>
      <c r="F424" s="28" t="n">
        <v>0.29</v>
      </c>
      <c r="G424" s="29">
        <f>IF(COUNT(E424:F424)=2,(E424+F424)/2,"")</f>
        <v/>
      </c>
      <c r="H424" s="29">
        <f>IF(AND(ISNUMBER(D424),ISNUMBER(G424)),D424+G424,"")</f>
        <v/>
      </c>
      <c r="I424" s="30">
        <f>IFERROR(D424/H424,"")</f>
        <v/>
      </c>
      <c r="J424" s="31">
        <f>IF(AND(ISNUMBER(D424),ISNUMBER(G424)),D424-G424,"")</f>
        <v/>
      </c>
      <c r="K424" s="46" t="n">
        <v>8641.09</v>
      </c>
      <c r="L424" s="46" t="n">
        <v>11249.64</v>
      </c>
      <c r="M424" s="38" t="inlineStr">
        <is>
          <t>11 Aug</t>
        </is>
      </c>
    </row>
    <row r="425">
      <c r="A425" s="39" t="n">
        <v>46246</v>
      </c>
      <c r="B425" s="16" t="n">
        <v>0.68</v>
      </c>
      <c r="C425" s="16" t="n">
        <v>0.78</v>
      </c>
      <c r="D425" s="17">
        <f>IF(COUNT(B425:C425)=2,(B425+C425)/2,"")</f>
        <v/>
      </c>
      <c r="E425" s="16" t="n">
        <v>0.24</v>
      </c>
      <c r="F425" s="16" t="n">
        <v>0.29</v>
      </c>
      <c r="G425" s="17">
        <f>IF(COUNT(E425:F425)=2,(E425+F425)/2,"")</f>
        <v/>
      </c>
      <c r="H425" s="17">
        <f>IF(AND(ISNUMBER(D425),ISNUMBER(G425)),D425+G425,"")</f>
        <v/>
      </c>
      <c r="I425" s="20">
        <f>IFERROR(D425/H425,"")</f>
        <v/>
      </c>
      <c r="J425" s="18">
        <f>IF(AND(ISNUMBER(D425),ISNUMBER(G425)),D425-G425,"")</f>
        <v/>
      </c>
      <c r="K425" s="45" t="n">
        <v>219.92</v>
      </c>
      <c r="L425" s="45" t="n">
        <v>11254.2</v>
      </c>
      <c r="M425" s="26" t="inlineStr">
        <is>
          <t>12 Aug</t>
        </is>
      </c>
    </row>
    <row r="426">
      <c r="A426" s="41" t="n">
        <v>46247</v>
      </c>
      <c r="B426" s="28" t="n">
        <v>0.64</v>
      </c>
      <c r="C426" s="28" t="n">
        <v>0.85</v>
      </c>
      <c r="D426" s="29">
        <f>IF(COUNT(B426:C426)=2,(B426+C426)/2,"")</f>
        <v/>
      </c>
      <c r="E426" s="28" t="n">
        <v>0.24</v>
      </c>
      <c r="F426" s="28" t="n">
        <v>0.29</v>
      </c>
      <c r="G426" s="29">
        <f>IF(COUNT(E426:F426)=2,(E426+F426)/2,"")</f>
        <v/>
      </c>
      <c r="H426" s="29">
        <f>IF(AND(ISNUMBER(D426),ISNUMBER(G426)),D426+G426,"")</f>
        <v/>
      </c>
      <c r="I426" s="30">
        <f>IFERROR(D426/H426,"")</f>
        <v/>
      </c>
      <c r="J426" s="31">
        <f>IF(AND(ISNUMBER(D426),ISNUMBER(G426)),D426-G426,"")</f>
        <v/>
      </c>
      <c r="K426" s="46" t="n">
        <v>2</v>
      </c>
      <c r="L426" s="46" t="n">
        <v>11254.2</v>
      </c>
      <c r="M426" s="38" t="inlineStr">
        <is>
          <t>13 Aug</t>
        </is>
      </c>
    </row>
    <row r="427">
      <c r="A427" s="39" t="n">
        <v>46248</v>
      </c>
      <c r="B427" s="16" t="n">
        <v>0.04</v>
      </c>
      <c r="C427" s="16" t="n">
        <v>0.84</v>
      </c>
      <c r="D427" s="17">
        <f>IF(COUNT(B427:C427)=2,(B427+C427)/2,"")</f>
        <v/>
      </c>
      <c r="E427" s="16" t="n">
        <v>0.19</v>
      </c>
      <c r="F427" s="16" t="n">
        <v>0.9</v>
      </c>
      <c r="G427" s="17">
        <f>IF(COUNT(E427:F427)=2,(E427+F427)/2,"")</f>
        <v/>
      </c>
      <c r="H427" s="17">
        <f>IF(AND(ISNUMBER(D427),ISNUMBER(G427)),D427+G427,"")</f>
        <v/>
      </c>
      <c r="I427" s="20">
        <f>IFERROR(D427/H427,"")</f>
        <v/>
      </c>
      <c r="J427" s="18">
        <f>IF(AND(ISNUMBER(D427),ISNUMBER(G427)),D427-G427,"")</f>
        <v/>
      </c>
      <c r="K427" s="45" t="n">
        <v>0</v>
      </c>
      <c r="L427" s="45" t="n">
        <v>11254.2</v>
      </c>
      <c r="M427" s="26" t="inlineStr">
        <is>
          <t>14 Aug</t>
        </is>
      </c>
    </row>
    <row r="428">
      <c r="A428" s="41" t="n">
        <v>46249</v>
      </c>
      <c r="B428" s="28" t="n">
        <v>0.02</v>
      </c>
      <c r="C428" s="28" t="n">
        <v>0.84</v>
      </c>
      <c r="D428" s="29">
        <f>IF(COUNT(B428:C428)=2,(B428+C428)/2,"")</f>
        <v/>
      </c>
      <c r="E428" s="28" t="n">
        <v>0.19</v>
      </c>
      <c r="F428" s="28" t="n">
        <v>0.97</v>
      </c>
      <c r="G428" s="29">
        <f>IF(COUNT(E428:F428)=2,(E428+F428)/2,"")</f>
        <v/>
      </c>
      <c r="H428" s="29">
        <f>IF(AND(ISNUMBER(D428),ISNUMBER(G428)),D428+G428,"")</f>
        <v/>
      </c>
      <c r="I428" s="30">
        <f>IFERROR(D428/H428,"")</f>
        <v/>
      </c>
      <c r="J428" s="31">
        <f>IF(AND(ISNUMBER(D428),ISNUMBER(G428)),D428-G428,"")</f>
        <v/>
      </c>
      <c r="K428" s="46" t="n">
        <v>0</v>
      </c>
      <c r="L428" s="46" t="n">
        <v>11254.2</v>
      </c>
      <c r="M428" s="38" t="inlineStr">
        <is>
          <t>15 Aug</t>
        </is>
      </c>
    </row>
    <row r="429">
      <c r="A429" s="39" t="n">
        <v>46250</v>
      </c>
      <c r="B429" s="16" t="n">
        <v>0.66</v>
      </c>
      <c r="C429" s="16" t="n">
        <v>0.84</v>
      </c>
      <c r="D429" s="17">
        <f>IF(COUNT(B429:C429)=2,(B429+C429)/2,"")</f>
        <v/>
      </c>
      <c r="E429" s="16" t="n">
        <v>0.19</v>
      </c>
      <c r="F429" s="16" t="n">
        <v>0.33</v>
      </c>
      <c r="G429" s="17">
        <f>IF(COUNT(E429:F429)=2,(E429+F429)/2,"")</f>
        <v/>
      </c>
      <c r="H429" s="17">
        <f>IF(AND(ISNUMBER(D429),ISNUMBER(G429)),D429+G429,"")</f>
        <v/>
      </c>
      <c r="I429" s="20">
        <f>IFERROR(D429/H429,"")</f>
        <v/>
      </c>
      <c r="J429" s="18">
        <f>IF(AND(ISNUMBER(D429),ISNUMBER(G429)),D429-G429,"")</f>
        <v/>
      </c>
      <c r="K429" s="45" t="n">
        <v>2.17</v>
      </c>
      <c r="L429" s="45" t="n">
        <v>11254.2</v>
      </c>
      <c r="M429" s="26" t="inlineStr">
        <is>
          <t>16 Aug</t>
        </is>
      </c>
    </row>
    <row r="430">
      <c r="A430" s="41" t="n">
        <v>46251</v>
      </c>
      <c r="B430" s="28" t="n">
        <v>0.67</v>
      </c>
      <c r="C430" s="28" t="n">
        <v>0.84</v>
      </c>
      <c r="D430" s="29">
        <f>IF(COUNT(B430:C430)=2,(B430+C430)/2,"")</f>
        <v/>
      </c>
      <c r="E430" s="28" t="n">
        <v>0.23</v>
      </c>
      <c r="F430" s="28" t="n">
        <v>0.33</v>
      </c>
      <c r="G430" s="29">
        <f>IF(COUNT(E430:F430)=2,(E430+F430)/2,"")</f>
        <v/>
      </c>
      <c r="H430" s="29">
        <f>IF(AND(ISNUMBER(D430),ISNUMBER(G430)),D430+G430,"")</f>
        <v/>
      </c>
      <c r="I430" s="30">
        <f>IFERROR(D430/H430,"")</f>
        <v/>
      </c>
      <c r="J430" s="31">
        <f>IF(AND(ISNUMBER(D430),ISNUMBER(G430)),D430-G430,"")</f>
        <v/>
      </c>
      <c r="K430" s="46" t="n">
        <v>2.89</v>
      </c>
      <c r="L430" s="46" t="n">
        <v>11257.09</v>
      </c>
      <c r="M430" s="38" t="inlineStr">
        <is>
          <t>17 Aug</t>
        </is>
      </c>
    </row>
    <row r="431">
      <c r="A431" s="39" t="n">
        <v>46252</v>
      </c>
      <c r="B431" s="16" t="n">
        <v>0.01</v>
      </c>
      <c r="C431" s="16" t="n">
        <v>0.84</v>
      </c>
      <c r="D431" s="17">
        <f>IF(COUNT(B431:C431)=2,(B431+C431)/2,"")</f>
        <v/>
      </c>
      <c r="E431" s="16" t="n">
        <v>0.19</v>
      </c>
      <c r="F431" s="16" t="n">
        <v>0.32</v>
      </c>
      <c r="G431" s="17">
        <f>IF(COUNT(E431:F431)=2,(E431+F431)/2,"")</f>
        <v/>
      </c>
      <c r="H431" s="17">
        <f>IF(AND(ISNUMBER(D431),ISNUMBER(G431)),D431+G431,"")</f>
        <v/>
      </c>
      <c r="I431" s="20">
        <f>IFERROR(D431/H431,"")</f>
        <v/>
      </c>
      <c r="J431" s="18">
        <f>IF(AND(ISNUMBER(D431),ISNUMBER(G431)),D431-G431,"")</f>
        <v/>
      </c>
      <c r="K431" s="45" t="n">
        <v>0</v>
      </c>
      <c r="L431" s="45" t="n">
        <v>11257.09</v>
      </c>
      <c r="M431" s="26" t="inlineStr">
        <is>
          <t>18 Aug</t>
        </is>
      </c>
    </row>
    <row r="432">
      <c r="A432" s="41" t="n">
        <v>46253</v>
      </c>
      <c r="B432" s="28" t="n">
        <v>0.01</v>
      </c>
      <c r="C432" s="28" t="n">
        <v>0.84</v>
      </c>
      <c r="D432" s="29">
        <f>IF(COUNT(B432:C432)=2,(B432+C432)/2,"")</f>
        <v/>
      </c>
      <c r="E432" s="28" t="n">
        <v>0.19</v>
      </c>
      <c r="F432" s="28" t="n">
        <v>0.32</v>
      </c>
      <c r="G432" s="29">
        <f>IF(COUNT(E432:F432)=2,(E432+F432)/2,"")</f>
        <v/>
      </c>
      <c r="H432" s="29">
        <f>IF(AND(ISNUMBER(D432),ISNUMBER(G432)),D432+G432,"")</f>
        <v/>
      </c>
      <c r="I432" s="30">
        <f>IFERROR(D432/H432,"")</f>
        <v/>
      </c>
      <c r="J432" s="31">
        <f>IF(AND(ISNUMBER(D432),ISNUMBER(G432)),D432-G432,"")</f>
        <v/>
      </c>
      <c r="K432" s="46" t="n">
        <v>0</v>
      </c>
      <c r="L432" s="46" t="n">
        <v>11257.09</v>
      </c>
      <c r="M432" s="38" t="inlineStr">
        <is>
          <t>19 Aug</t>
        </is>
      </c>
    </row>
    <row r="433">
      <c r="A433" s="39" t="n">
        <v>46254</v>
      </c>
      <c r="B433" s="16" t="n">
        <v>0.67</v>
      </c>
      <c r="C433" s="16" t="n">
        <v>0.8100000000000001</v>
      </c>
      <c r="D433" s="17">
        <f>IF(COUNT(B433:C433)=2,(B433+C433)/2,"")</f>
        <v/>
      </c>
      <c r="E433" s="16" t="n">
        <v>0.22</v>
      </c>
      <c r="F433" s="16" t="n">
        <v>0.31</v>
      </c>
      <c r="G433" s="17">
        <f>IF(COUNT(E433:F433)=2,(E433+F433)/2,"")</f>
        <v/>
      </c>
      <c r="H433" s="17">
        <f>IF(AND(ISNUMBER(D433),ISNUMBER(G433)),D433+G433,"")</f>
        <v/>
      </c>
      <c r="I433" s="20">
        <f>IFERROR(D433/H433,"")</f>
        <v/>
      </c>
      <c r="J433" s="18">
        <f>IF(AND(ISNUMBER(D433),ISNUMBER(G433)),D433-G433,"")</f>
        <v/>
      </c>
      <c r="K433" s="45" t="n">
        <v>23.28</v>
      </c>
      <c r="L433" s="45" t="n">
        <v>11257.09</v>
      </c>
      <c r="M433" s="26" t="inlineStr">
        <is>
          <t>20 Aug</t>
        </is>
      </c>
    </row>
    <row r="434">
      <c r="A434" s="41" t="n">
        <v>46255</v>
      </c>
      <c r="B434" s="28" t="n">
        <v>0.65</v>
      </c>
      <c r="C434" s="28" t="n">
        <v>0.78</v>
      </c>
      <c r="D434" s="29">
        <f>IF(COUNT(B434:C434)=2,(B434+C434)/2,"")</f>
        <v/>
      </c>
      <c r="E434" s="28" t="n">
        <v>0.15</v>
      </c>
      <c r="F434" s="28" t="n">
        <v>0.35</v>
      </c>
      <c r="G434" s="29">
        <f>IF(COUNT(E434:F434)=2,(E434+F434)/2,"")</f>
        <v/>
      </c>
      <c r="H434" s="29">
        <f>IF(AND(ISNUMBER(D434),ISNUMBER(G434)),D434+G434,"")</f>
        <v/>
      </c>
      <c r="I434" s="30">
        <f>IFERROR(D434/H434,"")</f>
        <v/>
      </c>
      <c r="J434" s="31">
        <f>IF(AND(ISNUMBER(D434),ISNUMBER(G434)),D434-G434,"")</f>
        <v/>
      </c>
      <c r="K434" s="46" t="n">
        <v>99</v>
      </c>
      <c r="L434" s="46" t="n">
        <v>11257.09</v>
      </c>
      <c r="M434" s="38" t="inlineStr">
        <is>
          <t>21 Aug</t>
        </is>
      </c>
    </row>
    <row r="435">
      <c r="A435" s="39" t="n">
        <v>46256</v>
      </c>
      <c r="B435" s="16" t="n">
        <v>0.6899999999999999</v>
      </c>
      <c r="C435" s="16" t="n">
        <v>0.83</v>
      </c>
      <c r="D435" s="17">
        <f>IF(COUNT(B435:C435)=2,(B435+C435)/2,"")</f>
        <v/>
      </c>
      <c r="E435" s="16" t="n">
        <v>0.15</v>
      </c>
      <c r="F435" s="16" t="n">
        <v>0.32</v>
      </c>
      <c r="G435" s="17">
        <f>IF(COUNT(E435:F435)=2,(E435+F435)/2,"")</f>
        <v/>
      </c>
      <c r="H435" s="17">
        <f>IF(AND(ISNUMBER(D435),ISNUMBER(G435)),D435+G435,"")</f>
        <v/>
      </c>
      <c r="I435" s="20">
        <f>IFERROR(D435/H435,"")</f>
        <v/>
      </c>
      <c r="J435" s="18">
        <f>IF(AND(ISNUMBER(D435),ISNUMBER(G435)),D435-G435,"")</f>
        <v/>
      </c>
      <c r="K435" s="45" t="n">
        <v>2125</v>
      </c>
      <c r="L435" s="45" t="n">
        <v>11257.09</v>
      </c>
      <c r="M435" s="26" t="inlineStr">
        <is>
          <t>22 Aug</t>
        </is>
      </c>
    </row>
    <row r="436">
      <c r="A436" s="41" t="n">
        <v>46257</v>
      </c>
      <c r="B436" s="28" t="n">
        <v>0.66</v>
      </c>
      <c r="C436" s="28" t="n">
        <v>0.84</v>
      </c>
      <c r="D436" s="29">
        <f>IF(COUNT(B436:C436)=2,(B436+C436)/2,"")</f>
        <v/>
      </c>
      <c r="E436" s="28" t="n">
        <v>0.17</v>
      </c>
      <c r="F436" s="28" t="n">
        <v>0.34</v>
      </c>
      <c r="G436" s="29">
        <f>IF(COUNT(E436:F436)=2,(E436+F436)/2,"")</f>
        <v/>
      </c>
      <c r="H436" s="29">
        <f>IF(AND(ISNUMBER(D436),ISNUMBER(G436)),D436+G436,"")</f>
        <v/>
      </c>
      <c r="I436" s="30">
        <f>IFERROR(D436/H436,"")</f>
        <v/>
      </c>
      <c r="J436" s="31">
        <f>IF(AND(ISNUMBER(D436),ISNUMBER(G436)),D436-G436,"")</f>
        <v/>
      </c>
      <c r="K436" s="46" t="n">
        <v>0</v>
      </c>
      <c r="L436" s="46" t="n">
        <v>11257.09</v>
      </c>
      <c r="M436" s="38" t="inlineStr">
        <is>
          <t>23 Aug</t>
        </is>
      </c>
    </row>
    <row r="437">
      <c r="A437" s="39" t="n">
        <v>46258</v>
      </c>
      <c r="B437" s="16" t="n">
        <v>0.67</v>
      </c>
      <c r="C437" s="16" t="n">
        <v>0.79</v>
      </c>
      <c r="D437" s="17">
        <f>IF(COUNT(B437:C437)=2,(B437+C437)/2,"")</f>
        <v/>
      </c>
      <c r="E437" s="16" t="n">
        <v>0.23</v>
      </c>
      <c r="F437" s="16" t="n">
        <v>0.33</v>
      </c>
      <c r="G437" s="17">
        <f>IF(COUNT(E437:F437)=2,(E437+F437)/2,"")</f>
        <v/>
      </c>
      <c r="H437" s="17">
        <f>IF(AND(ISNUMBER(D437),ISNUMBER(G437)),D437+G437,"")</f>
        <v/>
      </c>
      <c r="I437" s="20">
        <f>IFERROR(D437/H437,"")</f>
        <v/>
      </c>
      <c r="J437" s="18">
        <f>IF(AND(ISNUMBER(D437),ISNUMBER(G437)),D437-G437,"")</f>
        <v/>
      </c>
      <c r="K437" s="45" t="n">
        <v>0</v>
      </c>
      <c r="L437" s="45" t="n">
        <v>11257.09</v>
      </c>
      <c r="M437" s="26" t="inlineStr">
        <is>
          <t>24 Aug</t>
        </is>
      </c>
    </row>
    <row r="438">
      <c r="A438" s="41" t="n">
        <v>46259</v>
      </c>
      <c r="B438" s="28" t="n">
        <v>0.66</v>
      </c>
      <c r="C438" s="28" t="n">
        <v>0.8</v>
      </c>
      <c r="D438" s="29">
        <f>IF(COUNT(B438:C438)=2,(B438+C438)/2,"")</f>
        <v/>
      </c>
      <c r="E438" s="28" t="n">
        <v>0.2</v>
      </c>
      <c r="F438" s="28" t="n">
        <v>0.32</v>
      </c>
      <c r="G438" s="29">
        <f>IF(COUNT(E438:F438)=2,(E438+F438)/2,"")</f>
        <v/>
      </c>
      <c r="H438" s="29">
        <f>IF(AND(ISNUMBER(D438),ISNUMBER(G438)),D438+G438,"")</f>
        <v/>
      </c>
      <c r="I438" s="30">
        <f>IFERROR(D438/H438,"")</f>
        <v/>
      </c>
      <c r="J438" s="31">
        <f>IF(AND(ISNUMBER(D438),ISNUMBER(G438)),D438-G438,"")</f>
        <v/>
      </c>
      <c r="K438" s="46" t="n">
        <v>1.52</v>
      </c>
      <c r="L438" s="46" t="n">
        <v>11257.09</v>
      </c>
      <c r="M438" s="38" t="inlineStr">
        <is>
          <t>25 Aug</t>
        </is>
      </c>
    </row>
    <row r="439">
      <c r="A439" s="39" t="n">
        <v>46260</v>
      </c>
      <c r="B439" s="16" t="n">
        <v>0.66</v>
      </c>
      <c r="C439" s="16" t="n">
        <v>0.8100000000000001</v>
      </c>
      <c r="D439" s="17">
        <f>IF(COUNT(B439:C439)=2,(B439+C439)/2,"")</f>
        <v/>
      </c>
      <c r="E439" s="16" t="n">
        <v>0.2</v>
      </c>
      <c r="F439" s="16" t="n">
        <v>0.31</v>
      </c>
      <c r="G439" s="17">
        <f>IF(COUNT(E439:F439)=2,(E439+F439)/2,"")</f>
        <v/>
      </c>
      <c r="H439" s="17">
        <f>IF(AND(ISNUMBER(D439),ISNUMBER(G439)),D439+G439,"")</f>
        <v/>
      </c>
      <c r="I439" s="20">
        <f>IFERROR(D439/H439,"")</f>
        <v/>
      </c>
      <c r="J439" s="18">
        <f>IF(AND(ISNUMBER(D439),ISNUMBER(G439)),D439-G439,"")</f>
        <v/>
      </c>
      <c r="K439" s="45" t="n">
        <v>0</v>
      </c>
      <c r="L439" s="45" t="n">
        <v>11257.09</v>
      </c>
      <c r="M439" s="26" t="inlineStr">
        <is>
          <t>26 Aug</t>
        </is>
      </c>
    </row>
    <row r="440">
      <c r="A440" s="41" t="n">
        <v>46261</v>
      </c>
      <c r="B440" s="28" t="n">
        <v>0.7</v>
      </c>
      <c r="C440" s="28" t="n">
        <v>0.74</v>
      </c>
      <c r="D440" s="29">
        <f>IF(COUNT(B440:C440)=2,(B440+C440)/2,"")</f>
        <v/>
      </c>
      <c r="E440" s="28" t="n">
        <v>0.26</v>
      </c>
      <c r="F440" s="28" t="n">
        <v>0.3</v>
      </c>
      <c r="G440" s="29">
        <f>IF(COUNT(E440:F440)=2,(E440+F440)/2,"")</f>
        <v/>
      </c>
      <c r="H440" s="29">
        <f>IF(AND(ISNUMBER(D440),ISNUMBER(G440)),D440+G440,"")</f>
        <v/>
      </c>
      <c r="I440" s="30">
        <f>IFERROR(D440/H440,"")</f>
        <v/>
      </c>
      <c r="J440" s="31">
        <f>IF(AND(ISNUMBER(D440),ISNUMBER(G440)),D440-G440,"")</f>
        <v/>
      </c>
      <c r="K440" s="46" t="n">
        <v>0</v>
      </c>
      <c r="L440" s="46" t="n">
        <v>11257.09</v>
      </c>
      <c r="M440" s="38" t="inlineStr">
        <is>
          <t>27 Aug</t>
        </is>
      </c>
    </row>
    <row r="441">
      <c r="A441" s="39" t="n">
        <v>46262</v>
      </c>
      <c r="B441" s="16" t="n">
        <v>0.72</v>
      </c>
      <c r="C441" s="16" t="n">
        <v>0.75</v>
      </c>
      <c r="D441" s="17">
        <f>IF(COUNT(B441:C441)=2,(B441+C441)/2,"")</f>
        <v/>
      </c>
      <c r="E441" s="16" t="n">
        <v>0.27</v>
      </c>
      <c r="F441" s="16" t="n">
        <v>0.29</v>
      </c>
      <c r="G441" s="17">
        <f>IF(COUNT(E441:F441)=2,(E441+F441)/2,"")</f>
        <v/>
      </c>
      <c r="H441" s="17">
        <f>IF(AND(ISNUMBER(D441),ISNUMBER(G441)),D441+G441,"")</f>
        <v/>
      </c>
      <c r="I441" s="20">
        <f>IFERROR(D441/H441,"")</f>
        <v/>
      </c>
      <c r="J441" s="18">
        <f>IF(AND(ISNUMBER(D441),ISNUMBER(G441)),D441-G441,"")</f>
        <v/>
      </c>
      <c r="K441" s="45" t="n">
        <v>156.52</v>
      </c>
      <c r="L441" s="45" t="n">
        <v>11260.02</v>
      </c>
      <c r="M441" s="26" t="inlineStr">
        <is>
          <t>28 Aug</t>
        </is>
      </c>
    </row>
    <row r="442">
      <c r="A442" s="41" t="n">
        <v>46263</v>
      </c>
      <c r="B442" s="28" t="n">
        <v>0.72</v>
      </c>
      <c r="C442" s="28" t="n">
        <v>0.75</v>
      </c>
      <c r="D442" s="29">
        <f>IF(COUNT(B442:C442)=2,(B442+C442)/2,"")</f>
        <v/>
      </c>
      <c r="E442" s="28" t="n">
        <v>0.26</v>
      </c>
      <c r="F442" s="28" t="n">
        <v>0.3</v>
      </c>
      <c r="G442" s="29">
        <f>IF(COUNT(E442:F442)=2,(E442+F442)/2,"")</f>
        <v/>
      </c>
      <c r="H442" s="29">
        <f>IF(AND(ISNUMBER(D442),ISNUMBER(G442)),D442+G442,"")</f>
        <v/>
      </c>
      <c r="I442" s="30">
        <f>IFERROR(D442/H442,"")</f>
        <v/>
      </c>
      <c r="J442" s="31">
        <f>IF(AND(ISNUMBER(D442),ISNUMBER(G442)),D442-G442,"")</f>
        <v/>
      </c>
      <c r="K442" s="46" t="n">
        <v>63.55</v>
      </c>
      <c r="L442" s="46" t="n">
        <v>11323.57</v>
      </c>
      <c r="M442" s="38" t="inlineStr">
        <is>
          <t>29 Aug</t>
        </is>
      </c>
    </row>
    <row r="443">
      <c r="A443" s="39" t="n">
        <v>46264</v>
      </c>
      <c r="B443" s="16" t="n">
        <v>0.75</v>
      </c>
      <c r="C443" s="16" t="n">
        <v>0.76</v>
      </c>
      <c r="D443" s="17">
        <f>IF(COUNT(B443:C443)=2,(B443+C443)/2,"")</f>
        <v/>
      </c>
      <c r="E443" s="16" t="n">
        <v>0.22</v>
      </c>
      <c r="F443" s="16" t="n">
        <v>0.23</v>
      </c>
      <c r="G443" s="17">
        <f>IF(COUNT(E443:F443)=2,(E443+F443)/2,"")</f>
        <v/>
      </c>
      <c r="H443" s="17">
        <f>IF(AND(ISNUMBER(D443),ISNUMBER(G443)),D443+G443,"")</f>
        <v/>
      </c>
      <c r="I443" s="20">
        <f>IFERROR(D443/H443,"")</f>
        <v/>
      </c>
      <c r="J443" s="18">
        <f>IF(AND(ISNUMBER(D443),ISNUMBER(G443)),D443-G443,"")</f>
        <v/>
      </c>
      <c r="K443" s="45" t="n">
        <v>6631</v>
      </c>
      <c r="L443" s="45" t="n">
        <v>14457.87</v>
      </c>
      <c r="M443" s="26" t="inlineStr">
        <is>
          <t>30 Aug</t>
        </is>
      </c>
    </row>
    <row r="444">
      <c r="A444" s="41" t="n">
        <v>46265</v>
      </c>
      <c r="B444" s="28" t="n">
        <v>0.8</v>
      </c>
      <c r="C444" s="28" t="n">
        <v>0.83</v>
      </c>
      <c r="D444" s="29">
        <f>IF(COUNT(B444:C444)=2,(B444+C444)/2,"")</f>
        <v/>
      </c>
      <c r="E444" s="28" t="n">
        <v>0.15</v>
      </c>
      <c r="F444" s="28" t="n">
        <v>0.18</v>
      </c>
      <c r="G444" s="29">
        <f>IF(COUNT(E444:F444)=2,(E444+F444)/2,"")</f>
        <v/>
      </c>
      <c r="H444" s="29">
        <f>IF(AND(ISNUMBER(D444),ISNUMBER(G444)),D444+G444,"")</f>
        <v/>
      </c>
      <c r="I444" s="30">
        <f>IFERROR(D444/H444,"")</f>
        <v/>
      </c>
      <c r="J444" s="31">
        <f>IF(AND(ISNUMBER(D444),ISNUMBER(G444)),D444-G444,"")</f>
        <v/>
      </c>
      <c r="K444" s="46" t="n">
        <v>744.74</v>
      </c>
      <c r="L444" s="46" t="n">
        <v>14969.51</v>
      </c>
      <c r="M444" s="38" t="inlineStr">
        <is>
          <t>31 Aug</t>
        </is>
      </c>
    </row>
    <row r="445">
      <c r="A445" s="39" t="n">
        <v>46266</v>
      </c>
      <c r="B445" s="16" t="n">
        <v>0.8100000000000001</v>
      </c>
      <c r="C445" s="16" t="n">
        <v>0.82</v>
      </c>
      <c r="D445" s="17">
        <f>IF(COUNT(B445:C445)=2,(B445+C445)/2,"")</f>
        <v/>
      </c>
      <c r="E445" s="16" t="n">
        <v>0.17</v>
      </c>
      <c r="F445" s="16" t="n">
        <v>0.2</v>
      </c>
      <c r="G445" s="17">
        <f>IF(COUNT(E445:F445)=2,(E445+F445)/2,"")</f>
        <v/>
      </c>
      <c r="H445" s="17">
        <f>IF(AND(ISNUMBER(D445),ISNUMBER(G445)),D445+G445,"")</f>
        <v/>
      </c>
      <c r="I445" s="20">
        <f>IFERROR(D445/H445,"")</f>
        <v/>
      </c>
      <c r="J445" s="18">
        <f>IF(AND(ISNUMBER(D445),ISNUMBER(G445)),D445-G445,"")</f>
        <v/>
      </c>
      <c r="K445" s="45" t="n">
        <v>200</v>
      </c>
      <c r="L445" s="45" t="n">
        <v>14969.51</v>
      </c>
      <c r="M445" s="26" t="inlineStr">
        <is>
          <t>01 Sep</t>
        </is>
      </c>
    </row>
    <row r="446">
      <c r="A446" s="41" t="n">
        <v>46267</v>
      </c>
      <c r="B446" s="28" t="n">
        <v>0.77</v>
      </c>
      <c r="C446" s="28" t="n">
        <v>0.8100000000000001</v>
      </c>
      <c r="D446" s="29">
        <f>IF(COUNT(B446:C446)=2,(B446+C446)/2,"")</f>
        <v/>
      </c>
      <c r="E446" s="28" t="n">
        <v>0.2</v>
      </c>
      <c r="F446" s="28" t="n">
        <v>0.21</v>
      </c>
      <c r="G446" s="29">
        <f>IF(COUNT(E446:F446)=2,(E446+F446)/2,"")</f>
        <v/>
      </c>
      <c r="H446" s="29">
        <f>IF(AND(ISNUMBER(D446),ISNUMBER(G446)),D446+G446,"")</f>
        <v/>
      </c>
      <c r="I446" s="30">
        <f>IFERROR(D446/H446,"")</f>
        <v/>
      </c>
      <c r="J446" s="31">
        <f>IF(AND(ISNUMBER(D446),ISNUMBER(G446)),D446-G446,"")</f>
        <v/>
      </c>
      <c r="K446" s="46" t="n">
        <v>2578.81</v>
      </c>
      <c r="L446" s="46" t="n">
        <v>15018.51</v>
      </c>
      <c r="M446" s="38" t="inlineStr">
        <is>
          <t>02 Sep</t>
        </is>
      </c>
    </row>
    <row r="447">
      <c r="A447" s="39" t="n">
        <v>46268</v>
      </c>
      <c r="B447" s="16" t="n">
        <v>0.76</v>
      </c>
      <c r="C447" s="16" t="n">
        <v>0.8</v>
      </c>
      <c r="D447" s="17">
        <f>IF(COUNT(B447:C447)=2,(B447+C447)/2,"")</f>
        <v/>
      </c>
      <c r="E447" s="16" t="n">
        <v>0.17</v>
      </c>
      <c r="F447" s="16" t="n">
        <v>0.21</v>
      </c>
      <c r="G447" s="17">
        <f>IF(COUNT(E447:F447)=2,(E447+F447)/2,"")</f>
        <v/>
      </c>
      <c r="H447" s="17">
        <f>IF(AND(ISNUMBER(D447),ISNUMBER(G447)),D447+G447,"")</f>
        <v/>
      </c>
      <c r="I447" s="20">
        <f>IFERROR(D447/H447,"")</f>
        <v/>
      </c>
      <c r="J447" s="18">
        <f>IF(AND(ISNUMBER(D447),ISNUMBER(G447)),D447-G447,"")</f>
        <v/>
      </c>
      <c r="K447" s="45" t="n">
        <v>0</v>
      </c>
      <c r="L447" s="45" t="n">
        <v>15018.51</v>
      </c>
      <c r="M447" s="26" t="inlineStr">
        <is>
          <t>03 Sep</t>
        </is>
      </c>
    </row>
    <row r="448">
      <c r="A448" s="41" t="n">
        <v>46269</v>
      </c>
      <c r="B448" s="28" t="n">
        <v>0.76</v>
      </c>
      <c r="C448" s="28" t="n">
        <v>0.78</v>
      </c>
      <c r="D448" s="29">
        <f>IF(COUNT(B448:C448)=2,(B448+C448)/2,"")</f>
        <v/>
      </c>
      <c r="E448" s="28" t="n">
        <v>0.22</v>
      </c>
      <c r="F448" s="28" t="n">
        <v>0.23</v>
      </c>
      <c r="G448" s="29">
        <f>IF(COUNT(E448:F448)=2,(E448+F448)/2,"")</f>
        <v/>
      </c>
      <c r="H448" s="29">
        <f>IF(AND(ISNUMBER(D448),ISNUMBER(G448)),D448+G448,"")</f>
        <v/>
      </c>
      <c r="I448" s="30">
        <f>IFERROR(D448/H448,"")</f>
        <v/>
      </c>
      <c r="J448" s="31">
        <f>IF(AND(ISNUMBER(D448),ISNUMBER(G448)),D448-G448,"")</f>
        <v/>
      </c>
      <c r="K448" s="46" t="n">
        <v>50436.32</v>
      </c>
      <c r="L448" s="46" t="n">
        <v>64972.25</v>
      </c>
      <c r="M448" s="38" t="inlineStr">
        <is>
          <t>04 Sep</t>
        </is>
      </c>
    </row>
    <row r="449">
      <c r="A449" s="39" t="n">
        <v>46270</v>
      </c>
      <c r="B449" s="16" t="n">
        <v>0.77</v>
      </c>
      <c r="C449" s="16" t="n">
        <v>0.79</v>
      </c>
      <c r="D449" s="17">
        <f>IF(COUNT(B449:C449)=2,(B449+C449)/2,"")</f>
        <v/>
      </c>
      <c r="E449" s="16" t="n">
        <v>0.21</v>
      </c>
      <c r="F449" s="16" t="n">
        <v>0.23</v>
      </c>
      <c r="G449" s="17">
        <f>IF(COUNT(E449:F449)=2,(E449+F449)/2,"")</f>
        <v/>
      </c>
      <c r="H449" s="17">
        <f>IF(AND(ISNUMBER(D449),ISNUMBER(G449)),D449+G449,"")</f>
        <v/>
      </c>
      <c r="I449" s="20">
        <f>IFERROR(D449/H449,"")</f>
        <v/>
      </c>
      <c r="J449" s="18">
        <f>IF(AND(ISNUMBER(D449),ISNUMBER(G449)),D449-G449,"")</f>
        <v/>
      </c>
      <c r="K449" s="45" t="n">
        <v>862.0699999999999</v>
      </c>
      <c r="L449" s="45" t="n">
        <v>64977.26</v>
      </c>
      <c r="M449" s="26" t="inlineStr">
        <is>
          <t>05 Sep</t>
        </is>
      </c>
    </row>
    <row r="450">
      <c r="A450" s="41" t="n">
        <v>46271</v>
      </c>
      <c r="B450" s="28" t="n">
        <v>0.74</v>
      </c>
      <c r="C450" s="28" t="n">
        <v>0.75</v>
      </c>
      <c r="D450" s="29">
        <f>IF(COUNT(B450:C450)=2,(B450+C450)/2,"")</f>
        <v/>
      </c>
      <c r="E450" s="28" t="n">
        <v>0.25</v>
      </c>
      <c r="F450" s="28" t="n">
        <v>0.26</v>
      </c>
      <c r="G450" s="29">
        <f>IF(COUNT(E450:F450)=2,(E450+F450)/2,"")</f>
        <v/>
      </c>
      <c r="H450" s="29">
        <f>IF(AND(ISNUMBER(D450),ISNUMBER(G450)),D450+G450,"")</f>
        <v/>
      </c>
      <c r="I450" s="30">
        <f>IFERROR(D450/H450,"")</f>
        <v/>
      </c>
      <c r="J450" s="31">
        <f>IF(AND(ISNUMBER(D450),ISNUMBER(G450)),D450-G450,"")</f>
        <v/>
      </c>
      <c r="K450" s="46" t="n">
        <v>26066.55</v>
      </c>
      <c r="L450" s="46" t="n">
        <v>39089.39</v>
      </c>
      <c r="M450" s="38" t="inlineStr">
        <is>
          <t>06 Sep</t>
        </is>
      </c>
    </row>
    <row r="451">
      <c r="A451" s="39" t="n">
        <v>46272</v>
      </c>
      <c r="B451" s="16" t="n">
        <v>0.78</v>
      </c>
      <c r="C451" s="16" t="n">
        <v>0.79</v>
      </c>
      <c r="D451" s="17">
        <f>IF(COUNT(B451:C451)=2,(B451+C451)/2,"")</f>
        <v/>
      </c>
      <c r="E451" s="16" t="n">
        <v>0.2</v>
      </c>
      <c r="F451" s="16" t="n">
        <v>0.21</v>
      </c>
      <c r="G451" s="17">
        <f>IF(COUNT(E451:F451)=2,(E451+F451)/2,"")</f>
        <v/>
      </c>
      <c r="H451" s="17">
        <f>IF(AND(ISNUMBER(D451),ISNUMBER(G451)),D451+G451,"")</f>
        <v/>
      </c>
      <c r="I451" s="20">
        <f>IFERROR(D451/H451,"")</f>
        <v/>
      </c>
      <c r="J451" s="18">
        <f>IF(AND(ISNUMBER(D451),ISNUMBER(G451)),D451-G451,"")</f>
        <v/>
      </c>
      <c r="K451" s="45" t="n">
        <v>36733.97</v>
      </c>
      <c r="L451" s="45" t="n">
        <v>48323.56</v>
      </c>
      <c r="M451" s="26" t="inlineStr">
        <is>
          <t>07 Sep</t>
        </is>
      </c>
    </row>
    <row r="452">
      <c r="A452" s="41" t="n">
        <v>46273</v>
      </c>
      <c r="B452" s="28" t="n">
        <v>0.82</v>
      </c>
      <c r="C452" s="28" t="n">
        <v>0.83</v>
      </c>
      <c r="D452" s="29">
        <f>IF(COUNT(B452:C452)=2,(B452+C452)/2,"")</f>
        <v/>
      </c>
      <c r="E452" s="28" t="n">
        <v>0.17</v>
      </c>
      <c r="F452" s="28" t="n">
        <v>0.18</v>
      </c>
      <c r="G452" s="29">
        <f>IF(COUNT(E452:F452)=2,(E452+F452)/2,"")</f>
        <v/>
      </c>
      <c r="H452" s="29">
        <f>IF(AND(ISNUMBER(D452),ISNUMBER(G452)),D452+G452,"")</f>
        <v/>
      </c>
      <c r="I452" s="30">
        <f>IFERROR(D452/H452,"")</f>
        <v/>
      </c>
      <c r="J452" s="31">
        <f>IF(AND(ISNUMBER(D452),ISNUMBER(G452)),D452-G452,"")</f>
        <v/>
      </c>
      <c r="K452" s="46" t="n">
        <v>920.0400000000001</v>
      </c>
      <c r="L452" s="46" t="n">
        <v>48106.59</v>
      </c>
      <c r="M452" s="38" t="inlineStr">
        <is>
          <t>08 Sep</t>
        </is>
      </c>
    </row>
    <row r="453">
      <c r="A453" s="39" t="n">
        <v>46274</v>
      </c>
      <c r="B453" s="16" t="n">
        <v>0.79</v>
      </c>
      <c r="C453" s="16" t="n">
        <v>0.8</v>
      </c>
      <c r="D453" s="17">
        <f>IF(COUNT(B453:C453)=2,(B453+C453)/2,"")</f>
        <v/>
      </c>
      <c r="E453" s="16" t="n">
        <v>0.18</v>
      </c>
      <c r="F453" s="16" t="n">
        <v>0.2</v>
      </c>
      <c r="G453" s="17">
        <f>IF(COUNT(E453:F453)=2,(E453+F453)/2,"")</f>
        <v/>
      </c>
      <c r="H453" s="17">
        <f>IF(AND(ISNUMBER(D453),ISNUMBER(G453)),D453+G453,"")</f>
        <v/>
      </c>
      <c r="I453" s="20">
        <f>IFERROR(D453/H453,"")</f>
        <v/>
      </c>
      <c r="J453" s="18">
        <f>IF(AND(ISNUMBER(D453),ISNUMBER(G453)),D453-G453,"")</f>
        <v/>
      </c>
      <c r="K453" s="45" t="n">
        <v>365.33</v>
      </c>
      <c r="L453" s="45" t="n">
        <v>48252.59</v>
      </c>
      <c r="M453" s="26" t="inlineStr">
        <is>
          <t>09 Sep</t>
        </is>
      </c>
    </row>
    <row r="454">
      <c r="A454" s="41" t="n">
        <v>46275</v>
      </c>
      <c r="B454" s="28" t="n">
        <v>0.79</v>
      </c>
      <c r="C454" s="28" t="n">
        <v>0.8</v>
      </c>
      <c r="D454" s="29">
        <f>IF(COUNT(B454:C454)=2,(B454+C454)/2,"")</f>
        <v/>
      </c>
      <c r="E454" s="28" t="n">
        <v>0.21</v>
      </c>
      <c r="F454" s="28" t="n">
        <v>0.22</v>
      </c>
      <c r="G454" s="29">
        <f>IF(COUNT(E454:F454)=2,(E454+F454)/2,"")</f>
        <v/>
      </c>
      <c r="H454" s="29">
        <f>IF(AND(ISNUMBER(D454),ISNUMBER(G454)),D454+G454,"")</f>
        <v/>
      </c>
      <c r="I454" s="30">
        <f>IFERROR(D454/H454,"")</f>
        <v/>
      </c>
      <c r="J454" s="31">
        <f>IF(AND(ISNUMBER(D454),ISNUMBER(G454)),D454-G454,"")</f>
        <v/>
      </c>
      <c r="K454" s="46" t="n">
        <v>0.13</v>
      </c>
      <c r="L454" s="46" t="n">
        <v>48252.59</v>
      </c>
      <c r="M454" s="38" t="inlineStr">
        <is>
          <t>10 Sep</t>
        </is>
      </c>
    </row>
    <row r="455">
      <c r="A455" s="39" t="n">
        <v>46276</v>
      </c>
      <c r="B455" s="16" t="n">
        <v>0.79</v>
      </c>
      <c r="C455" s="16" t="n">
        <v>0.8</v>
      </c>
      <c r="D455" s="17">
        <f>IF(COUNT(B455:C455)=2,(B455+C455)/2,"")</f>
        <v/>
      </c>
      <c r="E455" s="16" t="n">
        <v>0.2</v>
      </c>
      <c r="F455" s="16" t="n">
        <v>0.23</v>
      </c>
      <c r="G455" s="17">
        <f>IF(COUNT(E455:F455)=2,(E455+F455)/2,"")</f>
        <v/>
      </c>
      <c r="H455" s="17">
        <f>IF(AND(ISNUMBER(D455),ISNUMBER(G455)),D455+G455,"")</f>
        <v/>
      </c>
      <c r="I455" s="20">
        <f>IFERROR(D455/H455,"")</f>
        <v/>
      </c>
      <c r="J455" s="18">
        <f>IF(AND(ISNUMBER(D455),ISNUMBER(G455)),D455-G455,"")</f>
        <v/>
      </c>
      <c r="K455" s="45" t="n">
        <v>244.43</v>
      </c>
      <c r="L455" s="45" t="n">
        <v>48376.89</v>
      </c>
      <c r="M455" s="26" t="inlineStr">
        <is>
          <t>11 Sep</t>
        </is>
      </c>
    </row>
    <row r="456">
      <c r="A456" s="41" t="n">
        <v>46277</v>
      </c>
      <c r="B456" s="28" t="n">
        <v>0.68</v>
      </c>
      <c r="C456" s="28" t="n">
        <v>0.6899999999999999</v>
      </c>
      <c r="D456" s="29">
        <f>IF(COUNT(B456:C456)=2,(B456+C456)/2,"")</f>
        <v/>
      </c>
      <c r="E456" s="28" t="n">
        <v>0.33</v>
      </c>
      <c r="F456" s="28" t="n">
        <v>0.34</v>
      </c>
      <c r="G456" s="29">
        <f>IF(COUNT(E456:F456)=2,(E456+F456)/2,"")</f>
        <v/>
      </c>
      <c r="H456" s="29">
        <f>IF(AND(ISNUMBER(D456),ISNUMBER(G456)),D456+G456,"")</f>
        <v/>
      </c>
      <c r="I456" s="30">
        <f>IFERROR(D456/H456,"")</f>
        <v/>
      </c>
      <c r="J456" s="31">
        <f>IF(AND(ISNUMBER(D456),ISNUMBER(G456)),D456-G456,"")</f>
        <v/>
      </c>
      <c r="K456" s="46" t="n">
        <v>28191.29</v>
      </c>
      <c r="L456" s="46" t="n">
        <v>65216.13</v>
      </c>
      <c r="M456" s="38" t="inlineStr">
        <is>
          <t>12 Sep</t>
        </is>
      </c>
    </row>
    <row r="457">
      <c r="A457" s="39" t="n">
        <v>46278</v>
      </c>
      <c r="B457" s="16" t="n">
        <v>0.6899999999999999</v>
      </c>
      <c r="C457" s="16" t="n">
        <v>0.7</v>
      </c>
      <c r="D457" s="17">
        <f>IF(COUNT(B457:C457)=2,(B457+C457)/2,"")</f>
        <v/>
      </c>
      <c r="E457" s="16" t="n">
        <v>0.29</v>
      </c>
      <c r="F457" s="16" t="n">
        <v>0.3</v>
      </c>
      <c r="G457" s="17">
        <f>IF(COUNT(E457:F457)=2,(E457+F457)/2,"")</f>
        <v/>
      </c>
      <c r="H457" s="17">
        <f>IF(AND(ISNUMBER(D457),ISNUMBER(G457)),D457+G457,"")</f>
        <v/>
      </c>
      <c r="I457" s="20">
        <f>IFERROR(D457/H457,"")</f>
        <v/>
      </c>
      <c r="J457" s="18">
        <f>IF(AND(ISNUMBER(D457),ISNUMBER(G457)),D457-G457,"")</f>
        <v/>
      </c>
      <c r="K457" s="45" t="n">
        <v>3724.88</v>
      </c>
      <c r="L457" s="45" t="n">
        <v>65404.25</v>
      </c>
      <c r="M457" s="26" t="inlineStr">
        <is>
          <t>13 Sep</t>
        </is>
      </c>
    </row>
    <row r="458">
      <c r="A458" s="41" t="n">
        <v>46279</v>
      </c>
      <c r="B458" s="28" t="n">
        <v>0.6899999999999999</v>
      </c>
      <c r="C458" s="28" t="n">
        <v>0.7</v>
      </c>
      <c r="D458" s="29">
        <f>IF(COUNT(B458:C458)=2,(B458+C458)/2,"")</f>
        <v/>
      </c>
      <c r="E458" s="28" t="n">
        <v>0.3</v>
      </c>
      <c r="F458" s="28" t="n">
        <v>0.32</v>
      </c>
      <c r="G458" s="29">
        <f>IF(COUNT(E458:F458)=2,(E458+F458)/2,"")</f>
        <v/>
      </c>
      <c r="H458" s="29">
        <f>IF(AND(ISNUMBER(D458),ISNUMBER(G458)),D458+G458,"")</f>
        <v/>
      </c>
      <c r="I458" s="30">
        <f>IFERROR(D458/H458,"")</f>
        <v/>
      </c>
      <c r="J458" s="31">
        <f>IF(AND(ISNUMBER(D458),ISNUMBER(G458)),D458-G458,"")</f>
        <v/>
      </c>
      <c r="K458" s="46" t="n">
        <v>319.25</v>
      </c>
      <c r="L458" s="46" t="n">
        <v>65503.03</v>
      </c>
      <c r="M458" s="38" t="inlineStr">
        <is>
          <t>14 Sep</t>
        </is>
      </c>
    </row>
    <row r="459">
      <c r="A459" s="39" t="n">
        <v>46280</v>
      </c>
      <c r="B459" s="16" t="n">
        <v>0.74</v>
      </c>
      <c r="C459" s="16" t="n">
        <v>0.75</v>
      </c>
      <c r="D459" s="17">
        <f>IF(COUNT(B459:C459)=2,(B459+C459)/2,"")</f>
        <v/>
      </c>
      <c r="E459" s="16" t="n">
        <v>0.25</v>
      </c>
      <c r="F459" s="16" t="n">
        <v>0.26</v>
      </c>
      <c r="G459" s="17">
        <f>IF(COUNT(E459:F459)=2,(E459+F459)/2,"")</f>
        <v/>
      </c>
      <c r="H459" s="17">
        <f>IF(AND(ISNUMBER(D459),ISNUMBER(G459)),D459+G459,"")</f>
        <v/>
      </c>
      <c r="I459" s="20">
        <f>IFERROR(D459/H459,"")</f>
        <v/>
      </c>
      <c r="J459" s="18">
        <f>IF(AND(ISNUMBER(D459),ISNUMBER(G459)),D459-G459,"")</f>
        <v/>
      </c>
      <c r="K459" s="45" t="n">
        <v>25483.83</v>
      </c>
      <c r="L459" s="45" t="n">
        <v>48748.62</v>
      </c>
      <c r="M459" s="26" t="inlineStr">
        <is>
          <t>15 Sep</t>
        </is>
      </c>
    </row>
    <row r="460">
      <c r="A460" s="41" t="n">
        <v>46281</v>
      </c>
      <c r="B460" s="28" t="n">
        <v>0.74</v>
      </c>
      <c r="C460" s="28" t="n">
        <v>0.75</v>
      </c>
      <c r="D460" s="29">
        <f>IF(COUNT(B460:C460)=2,(B460+C460)/2,"")</f>
        <v/>
      </c>
      <c r="E460" s="28" t="n">
        <v>0.24</v>
      </c>
      <c r="F460" s="28" t="n">
        <v>0.26</v>
      </c>
      <c r="G460" s="29">
        <f>IF(COUNT(E460:F460)=2,(E460+F460)/2,"")</f>
        <v/>
      </c>
      <c r="H460" s="29">
        <f>IF(AND(ISNUMBER(D460),ISNUMBER(G460)),D460+G460,"")</f>
        <v/>
      </c>
      <c r="I460" s="30">
        <f>IFERROR(D460/H460,"")</f>
        <v/>
      </c>
      <c r="J460" s="31">
        <f>IF(AND(ISNUMBER(D460),ISNUMBER(G460)),D460-G460,"")</f>
        <v/>
      </c>
      <c r="K460" s="46" t="n">
        <v>0</v>
      </c>
      <c r="L460" s="46" t="n">
        <v>48748.62</v>
      </c>
      <c r="M460" s="38" t="inlineStr">
        <is>
          <t>16 Sep</t>
        </is>
      </c>
    </row>
    <row r="461">
      <c r="A461" s="39" t="n">
        <v>46282</v>
      </c>
      <c r="B461" s="16" t="n">
        <v>0.78</v>
      </c>
      <c r="C461" s="16" t="n">
        <v>0.8100000000000001</v>
      </c>
      <c r="D461" s="17">
        <f>IF(COUNT(B461:C461)=2,(B461+C461)/2,"")</f>
        <v/>
      </c>
      <c r="E461" s="16" t="n">
        <v>0.19</v>
      </c>
      <c r="F461" s="16" t="n">
        <v>0.23</v>
      </c>
      <c r="G461" s="17">
        <f>IF(COUNT(E461:F461)=2,(E461+F461)/2,"")</f>
        <v/>
      </c>
      <c r="H461" s="17">
        <f>IF(AND(ISNUMBER(D461),ISNUMBER(G461)),D461+G461,"")</f>
        <v/>
      </c>
      <c r="I461" s="20">
        <f>IFERROR(D461/H461,"")</f>
        <v/>
      </c>
      <c r="J461" s="18">
        <f>IF(AND(ISNUMBER(D461),ISNUMBER(G461)),D461-G461,"")</f>
        <v/>
      </c>
      <c r="K461" s="45" t="n">
        <v>2653.97</v>
      </c>
      <c r="L461" s="45" t="n">
        <v>49741.62</v>
      </c>
      <c r="M461" s="26" t="inlineStr">
        <is>
          <t>17 Sep</t>
        </is>
      </c>
    </row>
    <row r="462">
      <c r="A462" s="41" t="n">
        <v>46283</v>
      </c>
      <c r="B462" s="28" t="n">
        <v>0.78</v>
      </c>
      <c r="C462" s="28" t="n">
        <v>0.79</v>
      </c>
      <c r="D462" s="29">
        <f>IF(COUNT(B462:C462)=2,(B462+C462)/2,"")</f>
        <v/>
      </c>
      <c r="E462" s="28" t="n">
        <v>0.21</v>
      </c>
      <c r="F462" s="28" t="n">
        <v>0.22</v>
      </c>
      <c r="G462" s="29">
        <f>IF(COUNT(E462:F462)=2,(E462+F462)/2,"")</f>
        <v/>
      </c>
      <c r="H462" s="29">
        <f>IF(AND(ISNUMBER(D462),ISNUMBER(G462)),D462+G462,"")</f>
        <v/>
      </c>
      <c r="I462" s="30">
        <f>IFERROR(D462/H462,"")</f>
        <v/>
      </c>
      <c r="J462" s="31">
        <f>IF(AND(ISNUMBER(D462),ISNUMBER(G462)),D462-G462,"")</f>
        <v/>
      </c>
      <c r="K462" s="46" t="n">
        <v>1546.39</v>
      </c>
      <c r="L462" s="46" t="n">
        <v>50311.1</v>
      </c>
      <c r="M462" s="38" t="inlineStr">
        <is>
          <t>18 Sep</t>
        </is>
      </c>
    </row>
    <row r="463">
      <c r="A463" s="39" t="n">
        <v>46284</v>
      </c>
      <c r="B463" s="16" t="n">
        <v>0.8</v>
      </c>
      <c r="C463" s="16" t="n">
        <v>0.8100000000000001</v>
      </c>
      <c r="D463" s="17">
        <f>IF(COUNT(B463:C463)=2,(B463+C463)/2,"")</f>
        <v/>
      </c>
      <c r="E463" s="16" t="n">
        <v>0.2</v>
      </c>
      <c r="F463" s="16" t="n">
        <v>0.21</v>
      </c>
      <c r="G463" s="17">
        <f>IF(COUNT(E463:F463)=2,(E463+F463)/2,"")</f>
        <v/>
      </c>
      <c r="H463" s="17">
        <f>IF(AND(ISNUMBER(D463),ISNUMBER(G463)),D463+G463,"")</f>
        <v/>
      </c>
      <c r="I463" s="20">
        <f>IFERROR(D463/H463,"")</f>
        <v/>
      </c>
      <c r="J463" s="18">
        <f>IF(AND(ISNUMBER(D463),ISNUMBER(G463)),D463-G463,"")</f>
        <v/>
      </c>
      <c r="K463" s="45" t="n">
        <v>20011.85</v>
      </c>
      <c r="L463" s="45" t="n">
        <v>70312.10000000001</v>
      </c>
      <c r="M463" s="26" t="inlineStr">
        <is>
          <t>19 Sep</t>
        </is>
      </c>
    </row>
    <row r="464">
      <c r="A464" s="41" t="n">
        <v>46285</v>
      </c>
      <c r="B464" s="28" t="n">
        <v>0.78</v>
      </c>
      <c r="C464" s="28" t="n">
        <v>0.8</v>
      </c>
      <c r="D464" s="29">
        <f>IF(COUNT(B464:C464)=2,(B464+C464)/2,"")</f>
        <v/>
      </c>
      <c r="E464" s="28" t="n">
        <v>0.19</v>
      </c>
      <c r="F464" s="28" t="n">
        <v>0.21</v>
      </c>
      <c r="G464" s="29">
        <f>IF(COUNT(E464:F464)=2,(E464+F464)/2,"")</f>
        <v/>
      </c>
      <c r="H464" s="29">
        <f>IF(AND(ISNUMBER(D464),ISNUMBER(G464)),D464+G464,"")</f>
        <v/>
      </c>
      <c r="I464" s="30">
        <f>IFERROR(D464/H464,"")</f>
        <v/>
      </c>
      <c r="J464" s="31">
        <f>IF(AND(ISNUMBER(D464),ISNUMBER(G464)),D464-G464,"")</f>
        <v/>
      </c>
      <c r="K464" s="46" t="n">
        <v>533.63</v>
      </c>
      <c r="L464" s="46" t="n">
        <v>70507.13</v>
      </c>
      <c r="M464" s="38" t="inlineStr">
        <is>
          <t>20 Sep</t>
        </is>
      </c>
    </row>
    <row r="465">
      <c r="A465" s="39" t="n">
        <v>46286</v>
      </c>
      <c r="B465" s="16" t="n">
        <v>0.79</v>
      </c>
      <c r="C465" s="16" t="n">
        <v>0.8100000000000001</v>
      </c>
      <c r="D465" s="17">
        <f>IF(COUNT(B465:C465)=2,(B465+C465)/2,"")</f>
        <v/>
      </c>
      <c r="E465" s="16" t="n">
        <v>0.19</v>
      </c>
      <c r="F465" s="16" t="n">
        <v>0.21</v>
      </c>
      <c r="G465" s="17">
        <f>IF(COUNT(E465:F465)=2,(E465+F465)/2,"")</f>
        <v/>
      </c>
      <c r="H465" s="17">
        <f>IF(AND(ISNUMBER(D465),ISNUMBER(G465)),D465+G465,"")</f>
        <v/>
      </c>
      <c r="I465" s="20">
        <f>IFERROR(D465/H465,"")</f>
        <v/>
      </c>
      <c r="J465" s="18">
        <f>IF(AND(ISNUMBER(D465),ISNUMBER(G465)),D465-G465,"")</f>
        <v/>
      </c>
      <c r="K465" s="45" t="n">
        <v>14.65</v>
      </c>
      <c r="L465" s="45" t="n">
        <v>70507.13</v>
      </c>
      <c r="M465" s="26" t="inlineStr">
        <is>
          <t>21 Sep</t>
        </is>
      </c>
    </row>
    <row r="466">
      <c r="A466" s="41" t="n">
        <v>46287</v>
      </c>
      <c r="B466" s="28" t="n">
        <v>0.79</v>
      </c>
      <c r="C466" s="28" t="n">
        <v>0.8</v>
      </c>
      <c r="D466" s="29">
        <f>IF(COUNT(B466:C466)=2,(B466+C466)/2,"")</f>
        <v/>
      </c>
      <c r="E466" s="28" t="n">
        <v>0.19</v>
      </c>
      <c r="F466" s="28" t="n">
        <v>0.2</v>
      </c>
      <c r="G466" s="29">
        <f>IF(COUNT(E466:F466)=2,(E466+F466)/2,"")</f>
        <v/>
      </c>
      <c r="H466" s="29">
        <f>IF(AND(ISNUMBER(D466),ISNUMBER(G466)),D466+G466,"")</f>
        <v/>
      </c>
      <c r="I466" s="30">
        <f>IFERROR(D466/H466,"")</f>
        <v/>
      </c>
      <c r="J466" s="31">
        <f>IF(AND(ISNUMBER(D466),ISNUMBER(G466)),D466-G466,"")</f>
        <v/>
      </c>
      <c r="K466" s="46" t="n">
        <v>6.69</v>
      </c>
      <c r="L466" s="46" t="n">
        <v>70507.13</v>
      </c>
      <c r="M466" s="38" t="inlineStr">
        <is>
          <t>22 Sep</t>
        </is>
      </c>
    </row>
    <row r="467">
      <c r="A467" s="39" t="n">
        <v>46288</v>
      </c>
      <c r="B467" s="16" t="n">
        <v>0.8100000000000001</v>
      </c>
      <c r="C467" s="16" t="n">
        <v>0.82</v>
      </c>
      <c r="D467" s="17">
        <f>IF(COUNT(B467:C467)=2,(B467+C467)/2,"")</f>
        <v/>
      </c>
      <c r="E467" s="16" t="n">
        <v>0.18</v>
      </c>
      <c r="F467" s="16" t="n">
        <v>0.19</v>
      </c>
      <c r="G467" s="17">
        <f>IF(COUNT(E467:F467)=2,(E467+F467)/2,"")</f>
        <v/>
      </c>
      <c r="H467" s="17">
        <f>IF(AND(ISNUMBER(D467),ISNUMBER(G467)),D467+G467,"")</f>
        <v/>
      </c>
      <c r="I467" s="20">
        <f>IFERROR(D467/H467,"")</f>
        <v/>
      </c>
      <c r="J467" s="18">
        <f>IF(AND(ISNUMBER(D467),ISNUMBER(G467)),D467-G467,"")</f>
        <v/>
      </c>
      <c r="K467" s="45" t="n">
        <v>67646.09999999999</v>
      </c>
      <c r="L467" s="45" t="n">
        <v>74807.82000000001</v>
      </c>
      <c r="M467" s="26" t="inlineStr">
        <is>
          <t>23 Sep</t>
        </is>
      </c>
    </row>
    <row r="468">
      <c r="A468" s="41" t="n">
        <v>46289</v>
      </c>
      <c r="B468" s="28" t="n">
        <v>0.82</v>
      </c>
      <c r="C468" s="28" t="n">
        <v>0.83</v>
      </c>
      <c r="D468" s="29">
        <f>IF(COUNT(B468:C468)=2,(B468+C468)/2,"")</f>
        <v/>
      </c>
      <c r="E468" s="28" t="n">
        <v>0.17</v>
      </c>
      <c r="F468" s="28" t="n">
        <v>0.18</v>
      </c>
      <c r="G468" s="29">
        <f>IF(COUNT(E468:F468)=2,(E468+F468)/2,"")</f>
        <v/>
      </c>
      <c r="H468" s="29">
        <f>IF(AND(ISNUMBER(D468),ISNUMBER(G468)),D468+G468,"")</f>
        <v/>
      </c>
      <c r="I468" s="30">
        <f>IFERROR(D468/H468,"")</f>
        <v/>
      </c>
      <c r="J468" s="31">
        <f>IF(AND(ISNUMBER(D468),ISNUMBER(G468)),D468-G468,"")</f>
        <v/>
      </c>
      <c r="K468" s="46" t="n">
        <v>1844.09</v>
      </c>
      <c r="L468" s="46" t="n">
        <v>75796.41</v>
      </c>
      <c r="M468" s="38" t="inlineStr">
        <is>
          <t>24 Sep</t>
        </is>
      </c>
    </row>
    <row r="469">
      <c r="A469" s="39" t="n">
        <v>46290</v>
      </c>
      <c r="B469" s="16" t="n">
        <v>0.82</v>
      </c>
      <c r="C469" s="16" t="n">
        <v>0.83</v>
      </c>
      <c r="D469" s="17">
        <f>IF(COUNT(B469:C469)=2,(B469+C469)/2,"")</f>
        <v/>
      </c>
      <c r="E469" s="16" t="n">
        <v>0.18</v>
      </c>
      <c r="F469" s="16" t="n">
        <v>0.19</v>
      </c>
      <c r="G469" s="17">
        <f>IF(COUNT(E469:F469)=2,(E469+F469)/2,"")</f>
        <v/>
      </c>
      <c r="H469" s="17">
        <f>IF(AND(ISNUMBER(D469),ISNUMBER(G469)),D469+G469,"")</f>
        <v/>
      </c>
      <c r="I469" s="20">
        <f>IFERROR(D469/H469,"")</f>
        <v/>
      </c>
      <c r="J469" s="18">
        <f>IF(AND(ISNUMBER(D469),ISNUMBER(G469)),D469-G469,"")</f>
        <v/>
      </c>
      <c r="K469" s="45" t="n">
        <v>2826.59</v>
      </c>
      <c r="L469" s="45" t="n">
        <v>76393.78999999999</v>
      </c>
      <c r="M469" s="26" t="inlineStr">
        <is>
          <t>25 Sep</t>
        </is>
      </c>
    </row>
    <row r="470">
      <c r="A470" s="41" t="n">
        <v>46291</v>
      </c>
      <c r="B470" s="28" t="n">
        <v>0.83</v>
      </c>
      <c r="C470" s="28" t="n">
        <v>0.84</v>
      </c>
      <c r="D470" s="29">
        <f>IF(COUNT(B470:C470)=2,(B470+C470)/2,"")</f>
        <v/>
      </c>
      <c r="E470" s="28" t="n">
        <v>0.16</v>
      </c>
      <c r="F470" s="28" t="n">
        <v>0.17</v>
      </c>
      <c r="G470" s="29">
        <f>IF(COUNT(E470:F470)=2,(E470+F470)/2,"")</f>
        <v/>
      </c>
      <c r="H470" s="29">
        <f>IF(AND(ISNUMBER(D470),ISNUMBER(G470)),D470+G470,"")</f>
        <v/>
      </c>
      <c r="I470" s="30">
        <f>IFERROR(D470/H470,"")</f>
        <v/>
      </c>
      <c r="J470" s="31">
        <f>IF(AND(ISNUMBER(D470),ISNUMBER(G470)),D470-G470,"")</f>
        <v/>
      </c>
      <c r="K470" s="46" t="n">
        <v>233.88</v>
      </c>
      <c r="L470" s="46" t="n">
        <v>76427.67</v>
      </c>
      <c r="M470" s="38" t="inlineStr">
        <is>
          <t>26 Sep</t>
        </is>
      </c>
    </row>
    <row r="471">
      <c r="A471" s="39" t="n">
        <v>46292</v>
      </c>
      <c r="B471" s="16" t="n">
        <v>0.83</v>
      </c>
      <c r="C471" s="16" t="n">
        <v>0.84</v>
      </c>
      <c r="D471" s="17">
        <f>IF(COUNT(B471:C471)=2,(B471+C471)/2,"")</f>
        <v/>
      </c>
      <c r="E471" s="16" t="n">
        <v>0.16</v>
      </c>
      <c r="F471" s="16" t="n">
        <v>0.17</v>
      </c>
      <c r="G471" s="17">
        <f>IF(COUNT(E471:F471)=2,(E471+F471)/2,"")</f>
        <v/>
      </c>
      <c r="H471" s="17">
        <f>IF(AND(ISNUMBER(D471),ISNUMBER(G471)),D471+G471,"")</f>
        <v/>
      </c>
      <c r="I471" s="20">
        <f>IFERROR(D471/H471,"")</f>
        <v/>
      </c>
      <c r="J471" s="18">
        <f>IF(AND(ISNUMBER(D471),ISNUMBER(G471)),D471-G471,"")</f>
        <v/>
      </c>
      <c r="K471" s="45" t="n">
        <v>1</v>
      </c>
      <c r="L471" s="45" t="n">
        <v>76428.67</v>
      </c>
      <c r="M471" s="26" t="inlineStr">
        <is>
          <t>27 Sep</t>
        </is>
      </c>
    </row>
    <row r="472">
      <c r="A472" s="41" t="n">
        <v>46293</v>
      </c>
      <c r="B472" s="28" t="n">
        <v>0.83</v>
      </c>
      <c r="C472" s="28" t="n">
        <v>0.84</v>
      </c>
      <c r="D472" s="29">
        <f>IF(COUNT(B472:C472)=2,(B472+C472)/2,"")</f>
        <v/>
      </c>
      <c r="E472" s="28" t="n">
        <v>0.16</v>
      </c>
      <c r="F472" s="28" t="n">
        <v>0.17</v>
      </c>
      <c r="G472" s="29">
        <f>IF(COUNT(E472:F472)=2,(E472+F472)/2,"")</f>
        <v/>
      </c>
      <c r="H472" s="29">
        <f>IF(AND(ISNUMBER(D472),ISNUMBER(G472)),D472+G472,"")</f>
        <v/>
      </c>
      <c r="I472" s="30">
        <f>IFERROR(D472/H472,"")</f>
        <v/>
      </c>
      <c r="J472" s="31">
        <f>IF(AND(ISNUMBER(D472),ISNUMBER(G472)),D472-G472,"")</f>
        <v/>
      </c>
      <c r="K472" s="46" t="n">
        <v>0.55</v>
      </c>
      <c r="L472" s="46" t="n">
        <v>76428.67</v>
      </c>
      <c r="M472" s="38" t="inlineStr">
        <is>
          <t>28 Sep</t>
        </is>
      </c>
    </row>
    <row r="473">
      <c r="A473" s="39" t="n">
        <v>46294</v>
      </c>
      <c r="B473" s="16" t="n">
        <v>0.82</v>
      </c>
      <c r="C473" s="16" t="n">
        <v>0.83</v>
      </c>
      <c r="D473" s="17">
        <f>IF(COUNT(B473:C473)=2,(B473+C473)/2,"")</f>
        <v/>
      </c>
      <c r="E473" s="16" t="n">
        <v>0.17</v>
      </c>
      <c r="F473" s="16" t="n">
        <v>0.18</v>
      </c>
      <c r="G473" s="17">
        <f>IF(COUNT(E473:F473)=2,(E473+F473)/2,"")</f>
        <v/>
      </c>
      <c r="H473" s="17">
        <f>IF(AND(ISNUMBER(D473),ISNUMBER(G473)),D473+G473,"")</f>
        <v/>
      </c>
      <c r="I473" s="20">
        <f>IFERROR(D473/H473,"")</f>
        <v/>
      </c>
      <c r="J473" s="18">
        <f>IF(AND(ISNUMBER(D473),ISNUMBER(G473)),D473-G473,"")</f>
        <v/>
      </c>
      <c r="K473" s="45" t="n">
        <v>112.31</v>
      </c>
      <c r="L473" s="45" t="n">
        <v>76428.67</v>
      </c>
      <c r="M473" s="26" t="inlineStr">
        <is>
          <t>29 Sep</t>
        </is>
      </c>
    </row>
    <row r="474">
      <c r="A474" s="41" t="n">
        <v>46295</v>
      </c>
      <c r="B474" s="28" t="n">
        <v>0.82</v>
      </c>
      <c r="C474" s="28" t="n">
        <v>0.83</v>
      </c>
      <c r="D474" s="29">
        <f>IF(COUNT(B474:C474)=2,(B474+C474)/2,"")</f>
        <v/>
      </c>
      <c r="E474" s="28" t="n">
        <v>0.16</v>
      </c>
      <c r="F474" s="28" t="n">
        <v>0.17</v>
      </c>
      <c r="G474" s="29">
        <f>IF(COUNT(E474:F474)=2,(E474+F474)/2,"")</f>
        <v/>
      </c>
      <c r="H474" s="29">
        <f>IF(AND(ISNUMBER(D474),ISNUMBER(G474)),D474+G474,"")</f>
        <v/>
      </c>
      <c r="I474" s="30">
        <f>IFERROR(D474/H474,"")</f>
        <v/>
      </c>
      <c r="J474" s="31">
        <f>IF(AND(ISNUMBER(D474),ISNUMBER(G474)),D474-G474,"")</f>
        <v/>
      </c>
      <c r="K474" s="46" t="n">
        <v>10212.2</v>
      </c>
      <c r="L474" s="46" t="n">
        <v>76428.67</v>
      </c>
      <c r="M474" s="38" t="inlineStr">
        <is>
          <t>30 Sep</t>
        </is>
      </c>
    </row>
    <row r="475">
      <c r="A475" s="39" t="n">
        <v>46296</v>
      </c>
      <c r="B475" s="16" t="n">
        <v>0.84</v>
      </c>
      <c r="C475" s="16" t="n">
        <v>0.85</v>
      </c>
      <c r="D475" s="17">
        <f>IF(COUNT(B475:C475)=2,(B475+C475)/2,"")</f>
        <v/>
      </c>
      <c r="E475" s="16" t="n">
        <v>0.15</v>
      </c>
      <c r="F475" s="16" t="n">
        <v>0.16</v>
      </c>
      <c r="G475" s="17">
        <f>IF(COUNT(E475:F475)=2,(E475+F475)/2,"")</f>
        <v/>
      </c>
      <c r="H475" s="17">
        <f>IF(AND(ISNUMBER(D475),ISNUMBER(G475)),D475+G475,"")</f>
        <v/>
      </c>
      <c r="I475" s="20">
        <f>IFERROR(D475/H475,"")</f>
        <v/>
      </c>
      <c r="J475" s="18">
        <f>IF(AND(ISNUMBER(D475),ISNUMBER(G475)),D475-G475,"")</f>
        <v/>
      </c>
      <c r="K475" s="45" t="n">
        <v>657.88</v>
      </c>
      <c r="L475" s="45" t="n">
        <v>76742.74000000001</v>
      </c>
      <c r="M475" s="26" t="inlineStr">
        <is>
          <t>01 Oct</t>
        </is>
      </c>
    </row>
    <row r="476">
      <c r="A476" s="41" t="n">
        <v>46297</v>
      </c>
      <c r="B476" s="28" t="n">
        <v>0.84</v>
      </c>
      <c r="C476" s="28" t="n">
        <v>0.85</v>
      </c>
      <c r="D476" s="29">
        <f>IF(COUNT(B476:C476)=2,(B476+C476)/2,"")</f>
        <v/>
      </c>
      <c r="E476" s="28" t="n">
        <v>0.14</v>
      </c>
      <c r="F476" s="28" t="n">
        <v>0.16</v>
      </c>
      <c r="G476" s="29">
        <f>IF(COUNT(E476:F476)=2,(E476+F476)/2,"")</f>
        <v/>
      </c>
      <c r="H476" s="29">
        <f>IF(AND(ISNUMBER(D476),ISNUMBER(G476)),D476+G476,"")</f>
        <v/>
      </c>
      <c r="I476" s="30">
        <f>IFERROR(D476/H476,"")</f>
        <v/>
      </c>
      <c r="J476" s="31">
        <f>IF(AND(ISNUMBER(D476),ISNUMBER(G476)),D476-G476,"")</f>
        <v/>
      </c>
      <c r="K476" s="46" t="n">
        <v>26</v>
      </c>
      <c r="L476" s="46" t="n">
        <v>76742.74000000001</v>
      </c>
      <c r="M476" s="38" t="inlineStr">
        <is>
          <t>02 Oct</t>
        </is>
      </c>
    </row>
    <row r="477">
      <c r="A477" s="39" t="n">
        <v>46298</v>
      </c>
      <c r="B477" s="16" t="n">
        <v>0.84</v>
      </c>
      <c r="C477" s="16" t="n">
        <v>0.85</v>
      </c>
      <c r="D477" s="17">
        <f>IF(COUNT(B477:C477)=2,(B477+C477)/2,"")</f>
        <v/>
      </c>
      <c r="E477" s="16" t="n">
        <v>0.15</v>
      </c>
      <c r="F477" s="16" t="n">
        <v>0.16</v>
      </c>
      <c r="G477" s="17">
        <f>IF(COUNT(E477:F477)=2,(E477+F477)/2,"")</f>
        <v/>
      </c>
      <c r="H477" s="17">
        <f>IF(AND(ISNUMBER(D477),ISNUMBER(G477)),D477+G477,"")</f>
        <v/>
      </c>
      <c r="I477" s="20">
        <f>IFERROR(D477/H477,"")</f>
        <v/>
      </c>
      <c r="J477" s="18">
        <f>IF(AND(ISNUMBER(D477),ISNUMBER(G477)),D477-G477,"")</f>
        <v/>
      </c>
      <c r="K477" s="45" t="n">
        <v>562.14</v>
      </c>
      <c r="L477" s="45" t="n">
        <v>76742.74000000001</v>
      </c>
      <c r="M477" s="26" t="inlineStr">
        <is>
          <t>03 Oct</t>
        </is>
      </c>
    </row>
    <row r="478">
      <c r="A478" s="41" t="n">
        <v>46299</v>
      </c>
      <c r="B478" s="28" t="n">
        <v>0.84</v>
      </c>
      <c r="C478" s="28" t="n">
        <v>0.85</v>
      </c>
      <c r="D478" s="29">
        <f>IF(COUNT(B478:C478)=2,(B478+C478)/2,"")</f>
        <v/>
      </c>
      <c r="E478" s="28" t="n">
        <v>0.15</v>
      </c>
      <c r="F478" s="28" t="n">
        <v>0.16</v>
      </c>
      <c r="G478" s="29">
        <f>IF(COUNT(E478:F478)=2,(E478+F478)/2,"")</f>
        <v/>
      </c>
      <c r="H478" s="29">
        <f>IF(AND(ISNUMBER(D478),ISNUMBER(G478)),D478+G478,"")</f>
        <v/>
      </c>
      <c r="I478" s="30">
        <f>IFERROR(D478/H478,"")</f>
        <v/>
      </c>
      <c r="J478" s="31">
        <f>IF(AND(ISNUMBER(D478),ISNUMBER(G478)),D478-G478,"")</f>
        <v/>
      </c>
      <c r="K478" s="46" t="n">
        <v>0.12</v>
      </c>
      <c r="L478" s="46" t="n">
        <v>76742.86</v>
      </c>
      <c r="M478" s="38" t="inlineStr">
        <is>
          <t>04 Oct</t>
        </is>
      </c>
    </row>
    <row r="479">
      <c r="A479" s="39" t="n">
        <v>46300</v>
      </c>
      <c r="B479" s="16" t="n">
        <v>0.84</v>
      </c>
      <c r="C479" s="16" t="n">
        <v>0.86</v>
      </c>
      <c r="D479" s="17">
        <f>IF(COUNT(B479:C479)=2,(B479+C479)/2,"")</f>
        <v/>
      </c>
      <c r="E479" s="16" t="n">
        <v>0.14</v>
      </c>
      <c r="F479" s="16" t="n">
        <v>0.15</v>
      </c>
      <c r="G479" s="17">
        <f>IF(COUNT(E479:F479)=2,(E479+F479)/2,"")</f>
        <v/>
      </c>
      <c r="H479" s="17">
        <f>IF(AND(ISNUMBER(D479),ISNUMBER(G479)),D479+G479,"")</f>
        <v/>
      </c>
      <c r="I479" s="20">
        <f>IFERROR(D479/H479,"")</f>
        <v/>
      </c>
      <c r="J479" s="18">
        <f>IF(AND(ISNUMBER(D479),ISNUMBER(G479)),D479-G479,"")</f>
        <v/>
      </c>
      <c r="K479" s="45" t="n">
        <v>105.18</v>
      </c>
      <c r="L479" s="45" t="n">
        <v>76844.74000000001</v>
      </c>
      <c r="M479" s="26" t="inlineStr">
        <is>
          <t>05 Oct</t>
        </is>
      </c>
    </row>
    <row r="480">
      <c r="A480" s="41" t="n">
        <v>46301</v>
      </c>
      <c r="B480" s="28" t="n">
        <v>0.85</v>
      </c>
      <c r="C480" s="28" t="n">
        <v>0.86</v>
      </c>
      <c r="D480" s="29">
        <f>IF(COUNT(B480:C480)=2,(B480+C480)/2,"")</f>
        <v/>
      </c>
      <c r="E480" s="28" t="n">
        <v>0.13</v>
      </c>
      <c r="F480" s="28" t="n">
        <v>0.15</v>
      </c>
      <c r="G480" s="29">
        <f>IF(COUNT(E480:F480)=2,(E480+F480)/2,"")</f>
        <v/>
      </c>
      <c r="H480" s="29">
        <f>IF(AND(ISNUMBER(D480),ISNUMBER(G480)),D480+G480,"")</f>
        <v/>
      </c>
      <c r="I480" s="30">
        <f>IFERROR(D480/H480,"")</f>
        <v/>
      </c>
      <c r="J480" s="31">
        <f>IF(AND(ISNUMBER(D480),ISNUMBER(G480)),D480-G480,"")</f>
        <v/>
      </c>
      <c r="K480" s="46" t="n">
        <v>660.77</v>
      </c>
      <c r="L480" s="46" t="n">
        <v>76844.74000000001</v>
      </c>
      <c r="M480" s="38" t="inlineStr">
        <is>
          <t>06 Oct</t>
        </is>
      </c>
    </row>
    <row r="481">
      <c r="A481" s="39" t="n">
        <v>46302</v>
      </c>
      <c r="B481" s="16" t="n">
        <v>0.86</v>
      </c>
      <c r="C481" s="16" t="n">
        <v>0.87</v>
      </c>
      <c r="D481" s="17">
        <f>IF(COUNT(B481:C481)=2,(B481+C481)/2,"")</f>
        <v/>
      </c>
      <c r="E481" s="16" t="n">
        <v>0.13</v>
      </c>
      <c r="F481" s="16" t="n">
        <v>0.14</v>
      </c>
      <c r="G481" s="17">
        <f>IF(COUNT(E481:F481)=2,(E481+F481)/2,"")</f>
        <v/>
      </c>
      <c r="H481" s="17">
        <f>IF(AND(ISNUMBER(D481),ISNUMBER(G481)),D481+G481,"")</f>
        <v/>
      </c>
      <c r="I481" s="20">
        <f>IFERROR(D481/H481,"")</f>
        <v/>
      </c>
      <c r="J481" s="18">
        <f>IF(AND(ISNUMBER(D481),ISNUMBER(G481)),D481-G481,"")</f>
        <v/>
      </c>
      <c r="K481" s="45" t="n">
        <v>2315.72</v>
      </c>
      <c r="L481" s="45" t="n">
        <v>77342.39999999999</v>
      </c>
      <c r="M481" s="26" t="inlineStr">
        <is>
          <t>07 Oct</t>
        </is>
      </c>
    </row>
    <row r="482">
      <c r="A482" s="41" t="n">
        <v>46303</v>
      </c>
      <c r="B482" s="28" t="n">
        <v>0.86</v>
      </c>
      <c r="C482" s="28" t="n">
        <v>0.87</v>
      </c>
      <c r="D482" s="29">
        <f>IF(COUNT(B482:C482)=2,(B482+C482)/2,"")</f>
        <v/>
      </c>
      <c r="E482" s="28" t="n">
        <v>0.13</v>
      </c>
      <c r="F482" s="28" t="n">
        <v>0.14</v>
      </c>
      <c r="G482" s="29">
        <f>IF(COUNT(E482:F482)=2,(E482+F482)/2,"")</f>
        <v/>
      </c>
      <c r="H482" s="29">
        <f>IF(AND(ISNUMBER(D482),ISNUMBER(G482)),D482+G482,"")</f>
        <v/>
      </c>
      <c r="I482" s="30">
        <f>IFERROR(D482/H482,"")</f>
        <v/>
      </c>
      <c r="J482" s="31">
        <f>IF(AND(ISNUMBER(D482),ISNUMBER(G482)),D482-G482,"")</f>
        <v/>
      </c>
      <c r="K482" s="46" t="n">
        <v>1413.04</v>
      </c>
      <c r="L482" s="46" t="n">
        <v>77342.50999999999</v>
      </c>
      <c r="M482" s="38" t="inlineStr">
        <is>
          <t>08 Oct</t>
        </is>
      </c>
    </row>
    <row r="483">
      <c r="A483" s="39" t="n">
        <v>46304</v>
      </c>
      <c r="B483" s="16" t="n">
        <v>0.86</v>
      </c>
      <c r="C483" s="16" t="n">
        <v>0.87</v>
      </c>
      <c r="D483" s="17">
        <f>IF(COUNT(B483:C483)=2,(B483+C483)/2,"")</f>
        <v/>
      </c>
      <c r="E483" s="16" t="n">
        <v>0.12</v>
      </c>
      <c r="F483" s="16" t="n">
        <v>0.13</v>
      </c>
      <c r="G483" s="17">
        <f>IF(COUNT(E483:F483)=2,(E483+F483)/2,"")</f>
        <v/>
      </c>
      <c r="H483" s="17">
        <f>IF(AND(ISNUMBER(D483),ISNUMBER(G483)),D483+G483,"")</f>
        <v/>
      </c>
      <c r="I483" s="20">
        <f>IFERROR(D483/H483,"")</f>
        <v/>
      </c>
      <c r="J483" s="18">
        <f>IF(AND(ISNUMBER(D483),ISNUMBER(G483)),D483-G483,"")</f>
        <v/>
      </c>
      <c r="K483" s="45" t="n">
        <v>10016.65</v>
      </c>
      <c r="L483" s="45" t="n">
        <v>77343.75999999999</v>
      </c>
      <c r="M483" s="26" t="inlineStr">
        <is>
          <t>09 Oct</t>
        </is>
      </c>
    </row>
    <row r="484">
      <c r="A484" s="41" t="n">
        <v>46305</v>
      </c>
      <c r="B484" s="28" t="n">
        <v>0.86</v>
      </c>
      <c r="C484" s="28" t="n">
        <v>0.87</v>
      </c>
      <c r="D484" s="29">
        <f>IF(COUNT(B484:C484)=2,(B484+C484)/2,"")</f>
        <v/>
      </c>
      <c r="E484" s="28" t="n">
        <v>0.13</v>
      </c>
      <c r="F484" s="28" t="n">
        <v>0.14</v>
      </c>
      <c r="G484" s="29">
        <f>IF(COUNT(E484:F484)=2,(E484+F484)/2,"")</f>
        <v/>
      </c>
      <c r="H484" s="29">
        <f>IF(AND(ISNUMBER(D484),ISNUMBER(G484)),D484+G484,"")</f>
        <v/>
      </c>
      <c r="I484" s="30">
        <f>IFERROR(D484/H484,"")</f>
        <v/>
      </c>
      <c r="J484" s="31">
        <f>IF(AND(ISNUMBER(D484),ISNUMBER(G484)),D484-G484,"")</f>
        <v/>
      </c>
      <c r="K484" s="46" t="n">
        <v>806.74</v>
      </c>
      <c r="L484" s="46" t="n">
        <v>77437.62</v>
      </c>
      <c r="M484" s="38" t="inlineStr">
        <is>
          <t>10 Oct</t>
        </is>
      </c>
    </row>
    <row r="485">
      <c r="A485" s="39" t="n">
        <v>46306</v>
      </c>
      <c r="B485" s="16" t="n">
        <v>0.85</v>
      </c>
      <c r="C485" s="16" t="n">
        <v>0.86</v>
      </c>
      <c r="D485" s="17">
        <f>IF(COUNT(B485:C485)=2,(B485+C485)/2,"")</f>
        <v/>
      </c>
      <c r="E485" s="16" t="n">
        <v>0.13</v>
      </c>
      <c r="F485" s="16" t="n">
        <v>0.14</v>
      </c>
      <c r="G485" s="17">
        <f>IF(COUNT(E485:F485)=2,(E485+F485)/2,"")</f>
        <v/>
      </c>
      <c r="H485" s="17">
        <f>IF(AND(ISNUMBER(D485),ISNUMBER(G485)),D485+G485,"")</f>
        <v/>
      </c>
      <c r="I485" s="20">
        <f>IFERROR(D485/H485,"")</f>
        <v/>
      </c>
      <c r="J485" s="18">
        <f>IF(AND(ISNUMBER(D485),ISNUMBER(G485)),D485-G485,"")</f>
        <v/>
      </c>
      <c r="K485" s="45" t="n">
        <v>0</v>
      </c>
      <c r="L485" s="45" t="n">
        <v>77437.62</v>
      </c>
      <c r="M485" s="26" t="inlineStr">
        <is>
          <t>11 Oct</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105"/>
  <sheetViews>
    <sheetView showGridLines="0" workbookViewId="0">
      <pane xSplit="1" ySplit="42" topLeftCell="B43"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3" customWidth="1" min="6" max="6"/>
    <col width="13" customWidth="1" min="7" max="7"/>
    <col width="12" customWidth="1" min="8" max="8"/>
    <col width="13" customWidth="1" min="9" max="9"/>
    <col width="13" customWidth="1" min="10" max="10"/>
    <col width="13" customWidth="1" min="11" max="11"/>
  </cols>
  <sheetData>
    <row r="1">
      <c r="A1" s="1" t="inlineStr">
        <is>
          <t>Margin of Victory — PA-07 (Polymarket)</t>
        </is>
      </c>
    </row>
    <row r="2">
      <c r="A2" s="2" t="inlineStr">
        <is>
          <t>The PA-07 winning margin, quoted on BOTH venues: Polymarket as exclusive brackets (below) and Kalshi as nested thresholds (further down, with the two compared). Pulled 2026-10-12 02:24 UTC.</t>
        </is>
      </c>
    </row>
    <row r="4">
      <c r="A4" s="3" t="inlineStr">
        <is>
          <t>MARKET METADATA</t>
        </is>
      </c>
      <c r="B4" s="4" t="n"/>
      <c r="C4" s="4" t="n"/>
      <c r="D4" s="4" t="n"/>
      <c r="E4" s="4" t="n"/>
      <c r="F4" s="4" t="n"/>
      <c r="G4" s="4" t="n"/>
      <c r="H4" s="4" t="n"/>
      <c r="I4" s="4" t="n"/>
      <c r="J4" s="4" t="n"/>
    </row>
    <row r="5">
      <c r="A5" s="6" t="inlineStr">
        <is>
          <t>Event</t>
        </is>
      </c>
      <c r="B5" s="26" t="inlineStr">
        <is>
          <t>PA-07 House Election Margin of Victory</t>
        </is>
      </c>
      <c r="C5" s="66" t="n"/>
      <c r="D5" s="66" t="n"/>
      <c r="E5" s="66" t="n"/>
      <c r="F5" s="67" t="n"/>
    </row>
    <row r="6">
      <c r="A6" s="6" t="inlineStr">
        <is>
          <t>Slug</t>
        </is>
      </c>
      <c r="B6" s="26" t="inlineStr">
        <is>
          <t>pa-07-house-margin-of-victory-2026</t>
        </is>
      </c>
      <c r="C6" s="66" t="n"/>
      <c r="D6" s="66" t="n"/>
      <c r="E6" s="66" t="n"/>
      <c r="F6" s="67" t="n"/>
    </row>
    <row r="7">
      <c r="A7" s="6" t="inlineStr">
        <is>
          <t>Event id</t>
        </is>
      </c>
      <c r="B7" s="45" t="n">
        <v>834502</v>
      </c>
      <c r="C7" s="66" t="n"/>
      <c r="D7" s="66" t="n"/>
      <c r="E7" s="66" t="n"/>
      <c r="F7" s="67" t="n"/>
    </row>
    <row r="8">
      <c r="A8" s="6" t="inlineStr">
        <is>
          <t>Opened</t>
        </is>
      </c>
      <c r="B8" s="26" t="inlineStr">
        <is>
          <t>2026-08-11</t>
        </is>
      </c>
      <c r="C8" s="66" t="n"/>
      <c r="D8" s="66" t="n"/>
      <c r="E8" s="66" t="n"/>
      <c r="F8" s="67" t="n"/>
    </row>
    <row r="9">
      <c r="A9" s="6" t="inlineStr">
        <is>
          <t>Resolution date</t>
        </is>
      </c>
      <c r="B9" s="26" t="inlineStr">
        <is>
          <t>2026-11-04</t>
        </is>
      </c>
      <c r="C9" s="66" t="n"/>
      <c r="D9" s="66" t="n"/>
      <c r="E9" s="66" t="n"/>
      <c r="F9" s="67" t="n"/>
    </row>
    <row r="10">
      <c r="A10" s="6" t="inlineStr">
        <is>
          <t>Volume ($)</t>
        </is>
      </c>
      <c r="B10" s="19" t="n">
        <v>15737.081728</v>
      </c>
      <c r="C10" s="66" t="n"/>
      <c r="D10" s="66" t="n"/>
      <c r="E10" s="66" t="n"/>
      <c r="F10" s="67" t="n"/>
    </row>
    <row r="11">
      <c r="A11" s="6" t="inlineStr">
        <is>
          <t>Liquidity ($)</t>
        </is>
      </c>
      <c r="B11" s="19" t="n">
        <v>162275.80173</v>
      </c>
      <c r="C11" s="66" t="n"/>
      <c r="D11" s="66" t="n"/>
      <c r="E11" s="66" t="n"/>
      <c r="F11" s="67" t="n"/>
    </row>
    <row r="12">
      <c r="A12" s="6" t="inlineStr">
        <is>
          <t>Brackets listed</t>
        </is>
      </c>
      <c r="B12" s="45" t="n">
        <v>10</v>
      </c>
      <c r="C12" s="66" t="n"/>
      <c r="D12" s="66" t="n"/>
      <c r="E12" s="66" t="n"/>
      <c r="F12" s="67" t="n"/>
    </row>
    <row r="14">
      <c r="A14" s="3" t="inlineStr">
        <is>
          <t>LIVE BRACKET LADDER</t>
        </is>
      </c>
      <c r="B14" s="4" t="n"/>
      <c r="C14" s="4" t="n"/>
      <c r="D14" s="4" t="n"/>
      <c r="E14" s="4" t="n"/>
      <c r="F14" s="4" t="n"/>
      <c r="G14" s="4" t="n"/>
      <c r="H14" s="4" t="n"/>
      <c r="I14" s="4" t="n"/>
      <c r="J14" s="4" t="n"/>
    </row>
    <row r="15" ht="30" customHeight="1">
      <c r="A15" s="5" t="inlineStr">
        <is>
          <t>Bracket</t>
        </is>
      </c>
      <c r="B15" s="5" t="inlineStr">
        <is>
          <t>Signed Midpoint (pts)</t>
        </is>
      </c>
      <c r="C15" s="5" t="inlineStr">
        <is>
          <t>Best Bid</t>
        </is>
      </c>
      <c r="D15" s="5" t="inlineStr">
        <is>
          <t>Best Ask</t>
        </is>
      </c>
      <c r="E15" s="5" t="inlineStr">
        <is>
          <t>Mid</t>
        </is>
      </c>
      <c r="F15" s="5" t="inlineStr">
        <is>
          <t>Normalised Prob</t>
        </is>
      </c>
      <c r="G15" s="5" t="inlineStr">
        <is>
          <t>Cumulative</t>
        </is>
      </c>
      <c r="H15" s="5" t="inlineStr">
        <is>
          <t>Volume ($)</t>
        </is>
      </c>
      <c r="I15" s="5" t="inlineStr">
        <is>
          <t>Liquidity ($)</t>
        </is>
      </c>
      <c r="J15" s="5" t="inlineStr">
        <is>
          <t>Prob × Midpoint</t>
        </is>
      </c>
    </row>
    <row r="16">
      <c r="A16" s="21" t="inlineStr">
        <is>
          <t>Republican 6%+</t>
        </is>
      </c>
      <c r="B16" s="78" t="n">
        <v>-8</v>
      </c>
      <c r="C16" s="16" t="n">
        <v>0.016</v>
      </c>
      <c r="D16" s="16" t="n">
        <v>0.078</v>
      </c>
      <c r="E16" s="17">
        <f>IF(COUNT(C16:D16)=2,(C16+D16)/2,"")</f>
        <v/>
      </c>
      <c r="F16" s="17">
        <f>IFERROR(E16/$E$26,"")</f>
        <v/>
      </c>
      <c r="G16" s="20">
        <f>IFERROR(SUM($F$16:F16),"")</f>
        <v/>
      </c>
      <c r="H16" s="19" t="n">
        <v>1219.891173</v>
      </c>
      <c r="I16" s="19" t="n">
        <v>20139.61618</v>
      </c>
      <c r="J16" s="75">
        <f>IFERROR(F16*B16,"")</f>
        <v/>
      </c>
    </row>
    <row r="17">
      <c r="A17" s="21" t="inlineStr">
        <is>
          <t>Republican 3-6%</t>
        </is>
      </c>
      <c r="B17" s="78" t="n">
        <v>-4.5</v>
      </c>
      <c r="C17" s="16" t="n">
        <v>0.04</v>
      </c>
      <c r="D17" s="16" t="n">
        <v>0.041</v>
      </c>
      <c r="E17" s="17">
        <f>IF(COUNT(C17:D17)=2,(C17+D17)/2,"")</f>
        <v/>
      </c>
      <c r="F17" s="17">
        <f>IFERROR(E17/$E$26,"")</f>
        <v/>
      </c>
      <c r="G17" s="20">
        <f>IFERROR(SUM($F$16:F17),"")</f>
        <v/>
      </c>
      <c r="H17" s="19" t="n">
        <v>934.0398600000001</v>
      </c>
      <c r="I17" s="19" t="n">
        <v>20510.61268</v>
      </c>
      <c r="J17" s="75">
        <f>IFERROR(F17*B17,"")</f>
        <v/>
      </c>
    </row>
    <row r="18">
      <c r="A18" s="21" t="inlineStr">
        <is>
          <t>Republican 0-3%</t>
        </is>
      </c>
      <c r="B18" s="78" t="n">
        <v>-1.5</v>
      </c>
      <c r="C18" s="16" t="n">
        <v>0.09</v>
      </c>
      <c r="D18" s="16" t="n">
        <v>0.1</v>
      </c>
      <c r="E18" s="17">
        <f>IF(COUNT(C18:D18)=2,(C18+D18)/2,"")</f>
        <v/>
      </c>
      <c r="F18" s="17">
        <f>IFERROR(E18/$E$26,"")</f>
        <v/>
      </c>
      <c r="G18" s="20">
        <f>IFERROR(SUM($F$16:F18),"")</f>
        <v/>
      </c>
      <c r="H18" s="19" t="n">
        <v>816.6729300000001</v>
      </c>
      <c r="I18" s="19" t="n">
        <v>18363.7756</v>
      </c>
      <c r="J18" s="75">
        <f>IFERROR(F18*B18,"")</f>
        <v/>
      </c>
    </row>
    <row r="19">
      <c r="A19" s="15" t="inlineStr">
        <is>
          <t>Democrat 0-3%</t>
        </is>
      </c>
      <c r="B19" s="78" t="n">
        <v>1.5</v>
      </c>
      <c r="C19" s="16" t="n">
        <v>0.11</v>
      </c>
      <c r="D19" s="16" t="n">
        <v>0.13</v>
      </c>
      <c r="E19" s="17">
        <f>IF(COUNT(C19:D19)=2,(C19+D19)/2,"")</f>
        <v/>
      </c>
      <c r="F19" s="17">
        <f>IFERROR(E19/$E$26,"")</f>
        <v/>
      </c>
      <c r="G19" s="20">
        <f>IFERROR(SUM($F$16:F19),"")</f>
        <v/>
      </c>
      <c r="H19" s="19" t="n">
        <v>4100.826502</v>
      </c>
      <c r="I19" s="19" t="n">
        <v>20514.0474</v>
      </c>
      <c r="J19" s="75">
        <f>IFERROR(F19*B19,"")</f>
        <v/>
      </c>
    </row>
    <row r="20">
      <c r="A20" s="15" t="inlineStr">
        <is>
          <t>Democrat 3-6%</t>
        </is>
      </c>
      <c r="B20" s="78" t="n">
        <v>4.5</v>
      </c>
      <c r="C20" s="16" t="n">
        <v>0.27</v>
      </c>
      <c r="D20" s="16" t="n">
        <v>0.28</v>
      </c>
      <c r="E20" s="17">
        <f>IF(COUNT(C20:D20)=2,(C20+D20)/2,"")</f>
        <v/>
      </c>
      <c r="F20" s="17">
        <f>IFERROR(E20/$E$26,"")</f>
        <v/>
      </c>
      <c r="G20" s="20">
        <f>IFERROR(SUM($F$16:F20),"")</f>
        <v/>
      </c>
      <c r="H20" s="19" t="n">
        <v>2122.977173</v>
      </c>
      <c r="I20" s="19" t="n">
        <v>20684.7194</v>
      </c>
      <c r="J20" s="75">
        <f>IFERROR(F20*B20,"")</f>
        <v/>
      </c>
    </row>
    <row r="21">
      <c r="A21" s="15" t="inlineStr">
        <is>
          <t>Democrat 6-9%</t>
        </is>
      </c>
      <c r="B21" s="78" t="n">
        <v>7.5</v>
      </c>
      <c r="C21" s="16" t="n">
        <v>0.167</v>
      </c>
      <c r="D21" s="16" t="n">
        <v>0.177</v>
      </c>
      <c r="E21" s="17">
        <f>IF(COUNT(C21:D21)=2,(C21+D21)/2,"")</f>
        <v/>
      </c>
      <c r="F21" s="17">
        <f>IFERROR(E21/$E$26,"")</f>
        <v/>
      </c>
      <c r="G21" s="20">
        <f>IFERROR(SUM($F$16:F21),"")</f>
        <v/>
      </c>
      <c r="H21" s="19" t="n">
        <v>2661.034211</v>
      </c>
      <c r="I21" s="19" t="n">
        <v>19229.33351</v>
      </c>
      <c r="J21" s="75">
        <f>IFERROR(F21*B21,"")</f>
        <v/>
      </c>
    </row>
    <row r="22">
      <c r="A22" s="15" t="inlineStr">
        <is>
          <t>Democrat 9-12%</t>
        </is>
      </c>
      <c r="B22" s="78" t="n">
        <v>10.5</v>
      </c>
      <c r="C22" s="16" t="n">
        <v>0.014</v>
      </c>
      <c r="D22" s="16" t="n">
        <v>0.207</v>
      </c>
      <c r="E22" s="17">
        <f>IF(COUNT(C22:D22)=2,(C22+D22)/2,"")</f>
        <v/>
      </c>
      <c r="F22" s="17">
        <f>IFERROR(E22/$E$26,"")</f>
        <v/>
      </c>
      <c r="G22" s="20">
        <f>IFERROR(SUM($F$16:F22),"")</f>
        <v/>
      </c>
      <c r="H22" s="19" t="n">
        <v>986.2873609999999</v>
      </c>
      <c r="I22" s="19" t="n">
        <v>10644.01174</v>
      </c>
      <c r="J22" s="75">
        <f>IFERROR(F22*B22,"")</f>
        <v/>
      </c>
    </row>
    <row r="23">
      <c r="A23" s="15" t="inlineStr">
        <is>
          <t>Democrat 12-15%</t>
        </is>
      </c>
      <c r="B23" s="78" t="n">
        <v>13.5</v>
      </c>
      <c r="C23" s="16" t="n">
        <v>0.04</v>
      </c>
      <c r="D23" s="16" t="n">
        <v>0.08</v>
      </c>
      <c r="E23" s="17">
        <f>IF(COUNT(C23:D23)=2,(C23+D23)/2,"")</f>
        <v/>
      </c>
      <c r="F23" s="17">
        <f>IFERROR(E23/$E$26,"")</f>
        <v/>
      </c>
      <c r="G23" s="20">
        <f>IFERROR(SUM($F$16:F23),"")</f>
        <v/>
      </c>
      <c r="H23" s="19" t="n">
        <v>1014.991625</v>
      </c>
      <c r="I23" s="19" t="n">
        <v>11808.6546</v>
      </c>
      <c r="J23" s="75">
        <f>IFERROR(F23*B23,"")</f>
        <v/>
      </c>
    </row>
    <row r="24">
      <c r="A24" s="15" t="inlineStr">
        <is>
          <t>Democrat 15-18%</t>
        </is>
      </c>
      <c r="B24" s="78" t="n">
        <v>16.5</v>
      </c>
      <c r="C24" s="16" t="n">
        <v>0.016</v>
      </c>
      <c r="D24" s="16" t="n">
        <v>0.25</v>
      </c>
      <c r="E24" s="17">
        <f>IF(COUNT(C24:D24)=2,(C24+D24)/2,"")</f>
        <v/>
      </c>
      <c r="F24" s="17">
        <f>IFERROR(E24/$E$26,"")</f>
        <v/>
      </c>
      <c r="G24" s="20">
        <f>IFERROR(SUM($F$16:F24),"")</f>
        <v/>
      </c>
      <c r="H24" s="19" t="n">
        <v>813.455333</v>
      </c>
      <c r="I24" s="19" t="n">
        <v>520.95803</v>
      </c>
      <c r="J24" s="75">
        <f>IFERROR(F24*B24,"")</f>
        <v/>
      </c>
    </row>
    <row r="25">
      <c r="A25" s="15" t="inlineStr">
        <is>
          <t>Democrat 18%+</t>
        </is>
      </c>
      <c r="B25" s="78" t="n">
        <v>20</v>
      </c>
      <c r="C25" s="16" t="n">
        <v>0.031</v>
      </c>
      <c r="D25" s="16" t="n">
        <v>0.044</v>
      </c>
      <c r="E25" s="17">
        <f>IF(COUNT(C25:D25)=2,(C25+D25)/2,"")</f>
        <v/>
      </c>
      <c r="F25" s="17">
        <f>IFERROR(E25/$E$26,"")</f>
        <v/>
      </c>
      <c r="G25" s="20">
        <f>IFERROR(SUM($F$16:F25),"")</f>
        <v/>
      </c>
      <c r="H25" s="19" t="n">
        <v>1066.90556</v>
      </c>
      <c r="I25" s="19" t="n">
        <v>19972.95091</v>
      </c>
      <c r="J25" s="75">
        <f>IFERROR(F25*B25,"")</f>
        <v/>
      </c>
    </row>
    <row r="26">
      <c r="A26" s="22" t="inlineStr">
        <is>
          <t>TOTAL</t>
        </is>
      </c>
      <c r="E26" s="23">
        <f>SUM(E16:E25)</f>
        <v/>
      </c>
      <c r="F26" s="79">
        <f>SUM(F16:F25)</f>
        <v/>
      </c>
      <c r="H26" s="80">
        <f>SUM(H16:H25)</f>
        <v/>
      </c>
      <c r="I26" s="80">
        <f>SUM(I16:I25)</f>
        <v/>
      </c>
      <c r="J26" s="81">
        <f>SUM(J16:J25)</f>
        <v/>
      </c>
    </row>
    <row r="28">
      <c r="A28" s="3" t="inlineStr">
        <is>
          <t>IMPLIED DISTRIBUTION</t>
        </is>
      </c>
      <c r="B28" s="4" t="n"/>
      <c r="C28" s="4" t="n"/>
      <c r="D28" s="4" t="n"/>
      <c r="E28" s="4" t="n"/>
      <c r="F28" s="4" t="n"/>
      <c r="G28" s="4" t="n"/>
      <c r="H28" s="4" t="n"/>
      <c r="I28" s="4" t="n"/>
      <c r="J28" s="4" t="n"/>
    </row>
    <row r="29">
      <c r="A29" s="6" t="inlineStr">
        <is>
          <t>P(Democrat wins) — from ladder</t>
        </is>
      </c>
      <c r="B29" s="82">
        <f>IFERROR(SUMIF($A$16:$A$25,"Democrat*",$F$16:$F$25),"")</f>
        <v/>
      </c>
    </row>
    <row r="30">
      <c r="A30" s="6" t="inlineStr">
        <is>
          <t>P(Republican wins) — from ladder</t>
        </is>
      </c>
      <c r="B30" s="83">
        <f>IFERROR(SUMIF($A$16:$A$25,"Republican*",$F$16:$F$25),"")</f>
        <v/>
      </c>
    </row>
    <row r="31">
      <c r="A31" s="6" t="inlineStr">
        <is>
          <t>Expected margin (D−R)</t>
        </is>
      </c>
      <c r="B31" s="84">
        <f>IFERROR(SUM(J16:J25),"")</f>
        <v/>
      </c>
    </row>
    <row r="32">
      <c r="A32" s="6" t="inlineStr">
        <is>
          <t>P(margin under 3 pts either way)</t>
        </is>
      </c>
      <c r="B32" s="17">
        <f>IFERROR(SUMIFS($F$16:$F$25,$B$16:$B$25,"&gt;-3",$B$16:$B$25,"&lt;3"),"")</f>
        <v/>
      </c>
    </row>
    <row r="33">
      <c r="A33" s="6" t="inlineStr">
        <is>
          <t>P(margin under 6 pts either way)</t>
        </is>
      </c>
      <c r="B33" s="17">
        <f>IFERROR(SUMIFS($F$16:$F$25,$B$16:$B$25,"&gt;-6",$B$16:$B$25,"&lt;6"),"")</f>
        <v/>
      </c>
    </row>
    <row r="35">
      <c r="A35" s="3" t="inlineStr">
        <is>
          <t>CROSS-CHECK vs THE WINNER MARKET</t>
        </is>
      </c>
      <c r="B35" s="4" t="n"/>
      <c r="C35" s="4" t="n"/>
      <c r="D35" s="4" t="n"/>
      <c r="E35" s="4" t="n"/>
      <c r="F35" s="4" t="n"/>
      <c r="G35" s="4" t="n"/>
      <c r="H35" s="4" t="n"/>
      <c r="I35" s="4" t="n"/>
      <c r="J35" s="4" t="n"/>
    </row>
    <row r="36">
      <c r="A36" s="6" t="inlineStr">
        <is>
          <t>Winner market — Polymarket Dem mid</t>
        </is>
      </c>
      <c r="B36" s="85">
        <f>Polymarket!D19</f>
        <v/>
      </c>
    </row>
    <row r="37">
      <c r="A37" s="6" t="inlineStr">
        <is>
          <t>Margin ladder — P(Democrat wins)</t>
        </is>
      </c>
      <c r="B37" s="17">
        <f>B29</f>
        <v/>
      </c>
    </row>
    <row r="38">
      <c r="A38" s="6" t="inlineStr">
        <is>
          <t>Discrepancy (ladder − winner)</t>
        </is>
      </c>
      <c r="B38" s="57">
        <f>IFERROR(B29-B36,"")</f>
        <v/>
      </c>
    </row>
    <row r="39">
      <c r="A39" s="2" t="inlineStr">
        <is>
          <t>Both markets describe the same event on the same venue, so a large gap is a sign the thin margin ladder is mispriced rather than a signal about the race. The winner market carries far more volume; trust it first.</t>
        </is>
      </c>
    </row>
    <row r="41">
      <c r="A41" s="3" t="inlineStr">
        <is>
          <t>DAILY BRACKET HISTORY</t>
        </is>
      </c>
      <c r="B41" s="4" t="n"/>
      <c r="C41" s="4" t="n"/>
      <c r="D41" s="4" t="n"/>
      <c r="E41" s="4" t="n"/>
      <c r="F41" s="4" t="n"/>
      <c r="G41" s="4" t="n"/>
      <c r="H41" s="4" t="n"/>
      <c r="I41" s="4" t="n"/>
      <c r="J41" s="4" t="n"/>
      <c r="K41" s="4" t="n"/>
    </row>
    <row r="42" ht="30" customHeight="1">
      <c r="A42" s="5" t="inlineStr">
        <is>
          <t>Date</t>
        </is>
      </c>
      <c r="B42" s="5" t="inlineStr">
        <is>
          <t>Republican 6%+</t>
        </is>
      </c>
      <c r="C42" s="5" t="inlineStr">
        <is>
          <t>Republican 3-6%</t>
        </is>
      </c>
      <c r="D42" s="5" t="inlineStr">
        <is>
          <t>Republican 0-3%</t>
        </is>
      </c>
      <c r="E42" s="5" t="inlineStr">
        <is>
          <t>Democrat 0-3%</t>
        </is>
      </c>
      <c r="F42" s="5" t="inlineStr">
        <is>
          <t>Democrat 3-6%</t>
        </is>
      </c>
      <c r="G42" s="5" t="inlineStr">
        <is>
          <t>Democrat 6-9%</t>
        </is>
      </c>
      <c r="H42" s="5" t="inlineStr">
        <is>
          <t>Democrat 9-12%</t>
        </is>
      </c>
      <c r="I42" s="5" t="inlineStr">
        <is>
          <t>Democrat 12-15%</t>
        </is>
      </c>
      <c r="J42" s="5" t="inlineStr">
        <is>
          <t>Democrat 15-18%</t>
        </is>
      </c>
      <c r="K42" s="5" t="inlineStr">
        <is>
          <t>Democrat 18%+</t>
        </is>
      </c>
    </row>
    <row r="43">
      <c r="A43" s="39" t="n">
        <v>46246</v>
      </c>
      <c r="B43" s="16" t="n">
        <v>0.365</v>
      </c>
      <c r="C43" s="16" t="n">
        <v>0.365</v>
      </c>
      <c r="D43" s="16" t="n">
        <v>0.365</v>
      </c>
      <c r="E43" s="16" t="n">
        <v>0.365</v>
      </c>
      <c r="F43" s="16" t="n">
        <v>0.365</v>
      </c>
      <c r="G43" s="16" t="n">
        <v>0.365</v>
      </c>
      <c r="H43" s="16" t="n">
        <v>0.365</v>
      </c>
      <c r="I43" s="16" t="n">
        <v>0.365</v>
      </c>
      <c r="J43" s="16" t="n">
        <v>0.365</v>
      </c>
      <c r="K43" s="16" t="n">
        <v>0.365</v>
      </c>
    </row>
    <row r="44">
      <c r="A44" s="41" t="n">
        <v>46247</v>
      </c>
      <c r="B44" s="28" t="n">
        <v>0.365</v>
      </c>
      <c r="C44" s="28" t="n">
        <v>0.365</v>
      </c>
      <c r="D44" s="28" t="n">
        <v>0.365</v>
      </c>
      <c r="E44" s="28" t="n">
        <v>0.365</v>
      </c>
      <c r="F44" s="28" t="n">
        <v>0.365</v>
      </c>
      <c r="G44" s="28" t="n">
        <v>0.365</v>
      </c>
      <c r="H44" s="28" t="n">
        <v>0.365</v>
      </c>
      <c r="I44" s="28" t="n">
        <v>0.365</v>
      </c>
      <c r="J44" s="28" t="n">
        <v>0.365</v>
      </c>
      <c r="K44" s="28" t="n">
        <v>0.365</v>
      </c>
    </row>
    <row r="45">
      <c r="A45" s="39" t="n">
        <v>46248</v>
      </c>
      <c r="B45" s="16" t="n">
        <v>0.37</v>
      </c>
      <c r="C45" s="16" t="n">
        <v>0.37</v>
      </c>
      <c r="D45" s="16" t="n">
        <v>0.37</v>
      </c>
      <c r="E45" s="16" t="n">
        <v>0.37</v>
      </c>
      <c r="F45" s="16" t="n">
        <v>0.365</v>
      </c>
      <c r="G45" s="16" t="n">
        <v>0.365</v>
      </c>
      <c r="H45" s="16" t="n">
        <v>0.37</v>
      </c>
      <c r="I45" s="16" t="n">
        <v>0.37</v>
      </c>
      <c r="J45" s="16" t="n">
        <v>0.37</v>
      </c>
      <c r="K45" s="16" t="n">
        <v>0.37</v>
      </c>
    </row>
    <row r="46">
      <c r="A46" s="41" t="n">
        <v>46249</v>
      </c>
      <c r="B46" s="28" t="n">
        <v>0.365</v>
      </c>
      <c r="C46" s="28" t="n">
        <v>0.365</v>
      </c>
      <c r="D46" s="28" t="n">
        <v>0.365</v>
      </c>
      <c r="E46" s="28" t="n">
        <v>0.365</v>
      </c>
      <c r="F46" s="28" t="n">
        <v>0.365</v>
      </c>
      <c r="G46" s="28" t="n">
        <v>0.365</v>
      </c>
      <c r="H46" s="28" t="n">
        <v>0.365</v>
      </c>
      <c r="I46" s="28" t="n">
        <v>0.365</v>
      </c>
      <c r="J46" s="28" t="n">
        <v>0.365</v>
      </c>
      <c r="K46" s="28" t="n">
        <v>0.365</v>
      </c>
    </row>
    <row r="47">
      <c r="A47" s="39" t="n">
        <v>46250</v>
      </c>
      <c r="B47" s="16" t="n">
        <v>0.365</v>
      </c>
      <c r="C47" s="16" t="n">
        <v>0.365</v>
      </c>
      <c r="D47" s="16" t="n">
        <v>0.365</v>
      </c>
      <c r="E47" s="16" t="n">
        <v>0.365</v>
      </c>
      <c r="F47" s="16" t="n">
        <v>0.365</v>
      </c>
      <c r="G47" s="16" t="n">
        <v>0.365</v>
      </c>
      <c r="H47" s="16" t="n">
        <v>0.365</v>
      </c>
      <c r="I47" s="16" t="n">
        <v>0.365</v>
      </c>
      <c r="J47" s="16" t="n">
        <v>0.365</v>
      </c>
      <c r="K47" s="16" t="n">
        <v>0.365</v>
      </c>
    </row>
    <row r="48">
      <c r="A48" s="41" t="n">
        <v>46251</v>
      </c>
      <c r="B48" s="28" t="n">
        <v>0.365</v>
      </c>
      <c r="C48" s="28" t="n">
        <v>0.365</v>
      </c>
      <c r="D48" s="28" t="n">
        <v>0.365</v>
      </c>
      <c r="E48" s="28" t="n">
        <v>0.375</v>
      </c>
      <c r="F48" s="28" t="n">
        <v>0.365</v>
      </c>
      <c r="G48" s="28" t="n">
        <v>0.37</v>
      </c>
      <c r="H48" s="28" t="n">
        <v>0.365</v>
      </c>
      <c r="I48" s="28" t="n">
        <v>0.36</v>
      </c>
      <c r="J48" s="28" t="n">
        <v>0.365</v>
      </c>
      <c r="K48" s="28" t="n">
        <v>0.365</v>
      </c>
    </row>
    <row r="49">
      <c r="A49" s="39" t="n">
        <v>46252</v>
      </c>
      <c r="B49" s="16" t="n">
        <v>0.365</v>
      </c>
      <c r="C49" s="16" t="n">
        <v>0.365</v>
      </c>
      <c r="D49" s="16" t="n">
        <v>0.365</v>
      </c>
      <c r="E49" s="16" t="n">
        <v>0.365</v>
      </c>
      <c r="F49" s="16" t="n">
        <v>0.365</v>
      </c>
      <c r="G49" s="16" t="n">
        <v>0.365</v>
      </c>
      <c r="H49" s="16" t="n">
        <v>0.37</v>
      </c>
      <c r="I49" s="16" t="n">
        <v>0.375</v>
      </c>
      <c r="J49" s="16" t="n">
        <v>0.37</v>
      </c>
      <c r="K49" s="16" t="n">
        <v>0.37</v>
      </c>
    </row>
    <row r="50">
      <c r="A50" s="41" t="n">
        <v>46253</v>
      </c>
      <c r="B50" s="28" t="n">
        <v>0.365</v>
      </c>
      <c r="C50" s="28" t="n">
        <v>0.365</v>
      </c>
      <c r="D50" s="28" t="n">
        <v>0.365</v>
      </c>
      <c r="E50" s="28" t="n">
        <v>0.365</v>
      </c>
      <c r="F50" s="28" t="n">
        <v>0.365</v>
      </c>
      <c r="G50" s="28" t="n">
        <v>0.365</v>
      </c>
      <c r="H50" s="28" t="n">
        <v>0.365</v>
      </c>
      <c r="I50" s="28" t="n">
        <v>0.365</v>
      </c>
      <c r="J50" s="28" t="n">
        <v>0.365</v>
      </c>
      <c r="K50" s="28" t="n">
        <v>0.365</v>
      </c>
    </row>
    <row r="51">
      <c r="A51" s="39" t="n">
        <v>46254</v>
      </c>
      <c r="B51" s="16" t="n">
        <v>0.355</v>
      </c>
      <c r="C51" s="16" t="n">
        <v>0.365</v>
      </c>
      <c r="D51" s="16" t="n">
        <v>0.365</v>
      </c>
      <c r="E51" s="16" t="n">
        <v>0.355</v>
      </c>
      <c r="F51" s="16" t="n">
        <v>0.365</v>
      </c>
      <c r="G51" s="16" t="n">
        <v>0.365</v>
      </c>
      <c r="H51" s="16" t="n">
        <v>0.365</v>
      </c>
      <c r="I51" s="16" t="n">
        <v>0.365</v>
      </c>
      <c r="J51" s="16" t="n">
        <v>0.365</v>
      </c>
      <c r="K51" s="16" t="n">
        <v>0.345</v>
      </c>
    </row>
    <row r="52">
      <c r="A52" s="41" t="n">
        <v>46255</v>
      </c>
      <c r="B52" s="28" t="n">
        <v>0.105</v>
      </c>
      <c r="C52" s="28" t="n">
        <v>0.115</v>
      </c>
      <c r="D52" s="28" t="n">
        <v>0.11</v>
      </c>
      <c r="E52" s="28" t="n">
        <v>0.295</v>
      </c>
      <c r="F52" s="28" t="n">
        <v>0.25</v>
      </c>
      <c r="G52" s="28" t="n">
        <v>0.27</v>
      </c>
      <c r="H52" s="28" t="n">
        <v>0.315</v>
      </c>
      <c r="I52" s="28" t="n">
        <v>0.255</v>
      </c>
      <c r="J52" s="28" t="n">
        <v>0.255</v>
      </c>
      <c r="K52" s="28" t="n">
        <v>0.24</v>
      </c>
    </row>
    <row r="53">
      <c r="A53" s="39" t="n">
        <v>46256</v>
      </c>
      <c r="B53" s="16" t="n">
        <v>0.08</v>
      </c>
      <c r="C53" s="16" t="n">
        <v>0.4</v>
      </c>
      <c r="D53" s="16" t="n">
        <v>0.29</v>
      </c>
      <c r="E53" s="16" t="n">
        <v>0.36</v>
      </c>
      <c r="F53" s="16" t="n">
        <v>0.375</v>
      </c>
      <c r="G53" s="16" t="n">
        <v>0.265</v>
      </c>
      <c r="H53" s="16" t="n">
        <v>0.235</v>
      </c>
      <c r="I53" s="16" t="n">
        <v>0.375</v>
      </c>
      <c r="J53" s="16" t="n">
        <v>0.345</v>
      </c>
      <c r="K53" s="16" t="n">
        <v>0.355</v>
      </c>
    </row>
    <row r="54">
      <c r="A54" s="41" t="n">
        <v>46257</v>
      </c>
      <c r="B54" s="28" t="n">
        <v>0.08</v>
      </c>
      <c r="C54" s="28" t="n">
        <v>0.31</v>
      </c>
      <c r="D54" s="28" t="n">
        <v>0.315</v>
      </c>
      <c r="E54" s="28" t="n">
        <v>0.27</v>
      </c>
      <c r="F54" s="28" t="n">
        <v>0.38</v>
      </c>
      <c r="G54" s="28" t="n">
        <v>0.13</v>
      </c>
      <c r="H54" s="28" t="n">
        <v>0.245</v>
      </c>
      <c r="I54" s="28" t="n">
        <v>0.29</v>
      </c>
      <c r="J54" s="28" t="n">
        <v>0.295</v>
      </c>
      <c r="K54" s="28" t="n">
        <v>0.37</v>
      </c>
    </row>
    <row r="55">
      <c r="A55" s="39" t="n">
        <v>46258</v>
      </c>
      <c r="B55" s="16" t="n">
        <v>0.095</v>
      </c>
      <c r="C55" s="16" t="n">
        <v>0.13</v>
      </c>
      <c r="D55" s="16" t="n">
        <v>0.2</v>
      </c>
      <c r="E55" s="16" t="n">
        <v>0.2</v>
      </c>
      <c r="F55" s="16" t="n">
        <v>0.195</v>
      </c>
      <c r="G55" s="16" t="n">
        <v>0.135</v>
      </c>
      <c r="H55" s="16" t="n">
        <v>0.195</v>
      </c>
      <c r="I55" s="16" t="n">
        <v>0.34</v>
      </c>
      <c r="J55" s="16" t="n">
        <v>0.27</v>
      </c>
      <c r="K55" s="16" t="n">
        <v>0.3</v>
      </c>
    </row>
    <row r="56">
      <c r="A56" s="41" t="n">
        <v>46259</v>
      </c>
      <c r="B56" s="28" t="n">
        <v>0.1</v>
      </c>
      <c r="C56" s="28" t="n">
        <v>0.14</v>
      </c>
      <c r="D56" s="28" t="n">
        <v>0.165</v>
      </c>
      <c r="E56" s="28" t="n">
        <v>0.23</v>
      </c>
      <c r="F56" s="28" t="n">
        <v>0.155</v>
      </c>
      <c r="G56" s="28" t="n">
        <v>0.202</v>
      </c>
      <c r="H56" s="28" t="n">
        <v>0.33</v>
      </c>
      <c r="I56" s="28" t="n">
        <v>0.16</v>
      </c>
      <c r="J56" s="28" t="n">
        <v>0.15</v>
      </c>
      <c r="K56" s="28" t="n">
        <v>0.145</v>
      </c>
    </row>
    <row r="57">
      <c r="A57" s="39" t="n">
        <v>46260</v>
      </c>
      <c r="B57" s="16" t="n">
        <v>0.13</v>
      </c>
      <c r="C57" s="16" t="n">
        <v>0.05</v>
      </c>
      <c r="D57" s="16" t="n">
        <v>0.145</v>
      </c>
      <c r="E57" s="16" t="n">
        <v>0.15</v>
      </c>
      <c r="F57" s="16" t="n">
        <v>0.14</v>
      </c>
      <c r="G57" s="16" t="n">
        <v>0.155</v>
      </c>
      <c r="H57" s="16" t="n">
        <v>0.145</v>
      </c>
      <c r="I57" s="16" t="n">
        <v>0.155</v>
      </c>
      <c r="J57" s="16" t="n">
        <v>0.125</v>
      </c>
      <c r="K57" s="16" t="n">
        <v>0.15</v>
      </c>
    </row>
    <row r="58">
      <c r="A58" s="41" t="n">
        <v>46261</v>
      </c>
      <c r="B58" s="28" t="n">
        <v>0.125</v>
      </c>
      <c r="C58" s="28" t="n">
        <v>0.055</v>
      </c>
      <c r="D58" s="28" t="n">
        <v>0.13</v>
      </c>
      <c r="E58" s="28" t="n">
        <v>0.145</v>
      </c>
      <c r="F58" s="28" t="n">
        <v>0.15</v>
      </c>
      <c r="G58" s="28" t="n">
        <v>0.117</v>
      </c>
      <c r="H58" s="28" t="n">
        <v>0.14</v>
      </c>
      <c r="I58" s="28" t="n">
        <v>0.14</v>
      </c>
      <c r="J58" s="28" t="n">
        <v>0.09</v>
      </c>
      <c r="K58" s="28" t="n">
        <v>0.125</v>
      </c>
    </row>
    <row r="59">
      <c r="A59" s="39" t="n">
        <v>46262</v>
      </c>
      <c r="B59" s="16" t="n">
        <v>0.12</v>
      </c>
      <c r="C59" s="16" t="n">
        <v>0.052</v>
      </c>
      <c r="D59" s="16" t="n">
        <v>0.13</v>
      </c>
      <c r="E59" s="16" t="n">
        <v>0.145</v>
      </c>
      <c r="F59" s="16" t="n">
        <v>0.11</v>
      </c>
      <c r="G59" s="16" t="n">
        <v>0.1855</v>
      </c>
      <c r="H59" s="16" t="n">
        <v>0.135</v>
      </c>
      <c r="I59" s="16" t="n">
        <v>0.16</v>
      </c>
      <c r="J59" s="16" t="n">
        <v>0.07000000000000001</v>
      </c>
      <c r="K59" s="16" t="n">
        <v>0.145</v>
      </c>
    </row>
    <row r="60">
      <c r="A60" s="41" t="n">
        <v>46263</v>
      </c>
      <c r="B60" s="28" t="n">
        <v>0.16</v>
      </c>
      <c r="C60" s="28" t="n">
        <v>0.0545</v>
      </c>
      <c r="D60" s="28" t="n">
        <v>0.125</v>
      </c>
      <c r="E60" s="28" t="n">
        <v>0.145</v>
      </c>
      <c r="F60" s="28" t="n">
        <v>0.075</v>
      </c>
      <c r="G60" s="28" t="n">
        <v>0.137</v>
      </c>
      <c r="H60" s="28" t="n">
        <v>0.12</v>
      </c>
      <c r="I60" s="28" t="n">
        <v>0.16</v>
      </c>
      <c r="J60" s="28" t="n">
        <v>0.07000000000000001</v>
      </c>
      <c r="K60" s="28" t="n">
        <v>0.19</v>
      </c>
    </row>
    <row r="61">
      <c r="A61" s="39" t="n">
        <v>46264</v>
      </c>
      <c r="B61" s="16" t="n">
        <v>0.165</v>
      </c>
      <c r="C61" s="16" t="n">
        <v>0.0605</v>
      </c>
      <c r="D61" s="16" t="n">
        <v>0.13</v>
      </c>
      <c r="E61" s="16" t="n">
        <v>0.15</v>
      </c>
      <c r="F61" s="16" t="n">
        <v>0.125</v>
      </c>
      <c r="G61" s="16" t="n">
        <v>0.183</v>
      </c>
      <c r="H61" s="16" t="n">
        <v>0.125</v>
      </c>
      <c r="I61" s="16" t="n">
        <v>0.065</v>
      </c>
      <c r="J61" s="16" t="n">
        <v>0.07000000000000001</v>
      </c>
      <c r="K61" s="16" t="n">
        <v>0.095</v>
      </c>
    </row>
    <row r="62">
      <c r="A62" s="41" t="n">
        <v>46265</v>
      </c>
      <c r="B62" s="28" t="n">
        <v>0.115</v>
      </c>
      <c r="C62" s="28" t="n">
        <v>0.083</v>
      </c>
      <c r="D62" s="28" t="n">
        <v>0.15</v>
      </c>
      <c r="E62" s="28" t="n">
        <v>0.16</v>
      </c>
      <c r="F62" s="28" t="n">
        <v>0.145</v>
      </c>
      <c r="G62" s="28" t="n">
        <v>0.1475</v>
      </c>
      <c r="H62" s="28" t="n">
        <v>0.11</v>
      </c>
      <c r="I62" s="28" t="n">
        <v>0.075</v>
      </c>
      <c r="J62" s="28" t="n">
        <v>0.05</v>
      </c>
      <c r="K62" s="28" t="n">
        <v>0.055</v>
      </c>
    </row>
    <row r="63">
      <c r="A63" s="39" t="n">
        <v>46266</v>
      </c>
      <c r="B63" s="16" t="n">
        <v>0.075</v>
      </c>
      <c r="C63" s="16" t="n">
        <v>0.1035</v>
      </c>
      <c r="D63" s="16" t="n">
        <v>0.15</v>
      </c>
      <c r="E63" s="16" t="n">
        <v>0.165</v>
      </c>
      <c r="F63" s="16" t="n">
        <v>0.145</v>
      </c>
      <c r="G63" s="16" t="n">
        <v>0.1345</v>
      </c>
      <c r="H63" s="16" t="n">
        <v>0.11</v>
      </c>
      <c r="I63" s="16" t="n">
        <v>0.07000000000000001</v>
      </c>
      <c r="J63" s="16" t="n">
        <v>0.045</v>
      </c>
      <c r="K63" s="16" t="n">
        <v>0.065</v>
      </c>
    </row>
    <row r="64">
      <c r="A64" s="41" t="n">
        <v>46267</v>
      </c>
      <c r="B64" s="28" t="n">
        <v>0.06</v>
      </c>
      <c r="C64" s="28" t="n">
        <v>0.095</v>
      </c>
      <c r="D64" s="28" t="n">
        <v>0.15</v>
      </c>
      <c r="E64" s="28" t="n">
        <v>0.16</v>
      </c>
      <c r="F64" s="28" t="n">
        <v>0.145</v>
      </c>
      <c r="G64" s="28" t="n">
        <v>0.1355</v>
      </c>
      <c r="H64" s="28" t="n">
        <v>0.1</v>
      </c>
      <c r="I64" s="28" t="n">
        <v>0.07000000000000001</v>
      </c>
      <c r="J64" s="28" t="n">
        <v>0.045</v>
      </c>
      <c r="K64" s="28" t="n">
        <v>0.06</v>
      </c>
    </row>
    <row r="65">
      <c r="A65" s="39" t="n">
        <v>46268</v>
      </c>
      <c r="B65" s="16" t="n">
        <v>0.09</v>
      </c>
      <c r="C65" s="16" t="n">
        <v>0.095</v>
      </c>
      <c r="D65" s="16" t="n">
        <v>0.15</v>
      </c>
      <c r="E65" s="16" t="n">
        <v>0.16</v>
      </c>
      <c r="F65" s="16" t="n">
        <v>0.145</v>
      </c>
      <c r="G65" s="16" t="n">
        <v>0.1045</v>
      </c>
      <c r="H65" s="16" t="n">
        <v>0.11</v>
      </c>
      <c r="I65" s="16" t="n">
        <v>0.07000000000000001</v>
      </c>
      <c r="J65" s="16" t="n">
        <v>0.04</v>
      </c>
      <c r="K65" s="16" t="n">
        <v>0.065</v>
      </c>
    </row>
    <row r="66">
      <c r="A66" s="41" t="n">
        <v>46269</v>
      </c>
      <c r="B66" s="28" t="n">
        <v>0.11</v>
      </c>
      <c r="C66" s="28" t="n">
        <v>0.0555</v>
      </c>
      <c r="D66" s="28" t="n">
        <v>0.15</v>
      </c>
      <c r="E66" s="28" t="n">
        <v>0.16</v>
      </c>
      <c r="F66" s="28" t="n">
        <v>0.145</v>
      </c>
      <c r="G66" s="28" t="n">
        <v>0.055</v>
      </c>
      <c r="H66" s="28" t="n">
        <v>0.105</v>
      </c>
      <c r="I66" s="28" t="n">
        <v>0.07000000000000001</v>
      </c>
      <c r="J66" s="28" t="n">
        <v>0.04</v>
      </c>
      <c r="K66" s="28" t="n">
        <v>0.065</v>
      </c>
    </row>
    <row r="67">
      <c r="A67" s="39" t="n">
        <v>46270</v>
      </c>
      <c r="B67" s="16" t="n">
        <v>0.13</v>
      </c>
      <c r="C67" s="16" t="n">
        <v>0.1305</v>
      </c>
      <c r="D67" s="16" t="n">
        <v>0.155</v>
      </c>
      <c r="E67" s="16" t="n">
        <v>0.165</v>
      </c>
      <c r="F67" s="16" t="n">
        <v>0.135</v>
      </c>
      <c r="G67" s="16" t="n">
        <v>0.091</v>
      </c>
      <c r="H67" s="16" t="n">
        <v>0.11</v>
      </c>
      <c r="I67" s="16" t="n">
        <v>0.055</v>
      </c>
      <c r="J67" s="16" t="n">
        <v>0.05</v>
      </c>
      <c r="K67" s="16" t="n">
        <v>0.08</v>
      </c>
    </row>
    <row r="68">
      <c r="A68" s="41" t="n">
        <v>46271</v>
      </c>
      <c r="B68" s="28" t="n">
        <v>0.135</v>
      </c>
      <c r="C68" s="28" t="n">
        <v>0.135</v>
      </c>
      <c r="D68" s="28" t="n">
        <v>0.155</v>
      </c>
      <c r="E68" s="28" t="n">
        <v>0.165</v>
      </c>
      <c r="F68" s="28" t="n">
        <v>0.135</v>
      </c>
      <c r="G68" s="28" t="n">
        <v>0.0915</v>
      </c>
      <c r="H68" s="28" t="n">
        <v>0.09</v>
      </c>
      <c r="I68" s="28" t="n">
        <v>0.055</v>
      </c>
      <c r="J68" s="28" t="n">
        <v>0.0635</v>
      </c>
      <c r="K68" s="28" t="n">
        <v>0.065</v>
      </c>
    </row>
    <row r="69">
      <c r="A69" s="39" t="n">
        <v>46272</v>
      </c>
      <c r="B69" s="16" t="n">
        <v>0.13</v>
      </c>
      <c r="C69" s="16" t="n">
        <v>0.1305</v>
      </c>
      <c r="D69" s="16" t="n">
        <v>0.155</v>
      </c>
      <c r="E69" s="16" t="n">
        <v>0.165</v>
      </c>
      <c r="F69" s="16" t="n">
        <v>0.135</v>
      </c>
      <c r="G69" s="16" t="n">
        <v>0.0915</v>
      </c>
      <c r="H69" s="16" t="n">
        <v>0.095</v>
      </c>
      <c r="I69" s="16" t="n">
        <v>0.055</v>
      </c>
      <c r="J69" s="16" t="n">
        <v>0.062</v>
      </c>
      <c r="K69" s="16" t="n">
        <v>0.08500000000000001</v>
      </c>
    </row>
    <row r="70">
      <c r="A70" s="41" t="n">
        <v>46273</v>
      </c>
      <c r="B70" s="28" t="n">
        <v>0.135</v>
      </c>
      <c r="C70" s="28" t="n">
        <v>0.1305</v>
      </c>
      <c r="D70" s="28" t="n">
        <v>0.155</v>
      </c>
      <c r="E70" s="28" t="n">
        <v>0.165</v>
      </c>
      <c r="F70" s="28" t="n">
        <v>0.135</v>
      </c>
      <c r="G70" s="28" t="n">
        <v>0.0915</v>
      </c>
      <c r="H70" s="28" t="n">
        <v>0.095</v>
      </c>
      <c r="I70" s="28" t="n">
        <v>0.055</v>
      </c>
      <c r="J70" s="28" t="n">
        <v>0.056</v>
      </c>
      <c r="K70" s="28" t="n">
        <v>0.065</v>
      </c>
    </row>
    <row r="71">
      <c r="A71" s="39" t="n">
        <v>46274</v>
      </c>
      <c r="B71" s="16" t="n">
        <v>0.13</v>
      </c>
      <c r="C71" s="16" t="n">
        <v>0.1345</v>
      </c>
      <c r="D71" s="16" t="n">
        <v>0.15</v>
      </c>
      <c r="E71" s="16" t="n">
        <v>0.165</v>
      </c>
      <c r="F71" s="16" t="n">
        <v>0.135</v>
      </c>
      <c r="G71" s="16" t="n">
        <v>0.0915</v>
      </c>
      <c r="H71" s="16" t="n">
        <v>0.095</v>
      </c>
      <c r="I71" s="16" t="n">
        <v>0.045</v>
      </c>
      <c r="J71" s="16" t="n">
        <v>0.055</v>
      </c>
      <c r="K71" s="16" t="n">
        <v>0.1</v>
      </c>
    </row>
    <row r="72">
      <c r="A72" s="41" t="n">
        <v>46275</v>
      </c>
      <c r="B72" s="28" t="n">
        <v>0.13</v>
      </c>
      <c r="C72" s="28" t="n">
        <v>0.1325</v>
      </c>
      <c r="D72" s="28" t="n">
        <v>0.15</v>
      </c>
      <c r="E72" s="28" t="n">
        <v>0.165</v>
      </c>
      <c r="F72" s="28" t="n">
        <v>0.135</v>
      </c>
      <c r="G72" s="28" t="n">
        <v>0.0915</v>
      </c>
      <c r="H72" s="28" t="n">
        <v>0.095</v>
      </c>
      <c r="I72" s="28" t="n">
        <v>0.05</v>
      </c>
      <c r="J72" s="28" t="n">
        <v>0.055</v>
      </c>
      <c r="K72" s="28" t="n">
        <v>0.1</v>
      </c>
    </row>
    <row r="73">
      <c r="A73" s="39" t="n">
        <v>46276</v>
      </c>
      <c r="B73" s="16" t="n">
        <v>0.13</v>
      </c>
      <c r="C73" s="16" t="n">
        <v>0.1335</v>
      </c>
      <c r="D73" s="16" t="n">
        <v>0.15</v>
      </c>
      <c r="E73" s="16" t="n">
        <v>0.165</v>
      </c>
      <c r="F73" s="16" t="n">
        <v>0.135</v>
      </c>
      <c r="G73" s="16" t="n">
        <v>0.0915</v>
      </c>
      <c r="H73" s="16" t="n">
        <v>0.09</v>
      </c>
      <c r="I73" s="16" t="n">
        <v>0.05</v>
      </c>
      <c r="J73" s="16" t="n">
        <v>0.0545</v>
      </c>
      <c r="K73" s="16" t="n">
        <v>0.055</v>
      </c>
    </row>
    <row r="74">
      <c r="A74" s="41" t="n">
        <v>46277</v>
      </c>
      <c r="B74" s="28" t="n">
        <v>0.11</v>
      </c>
      <c r="C74" s="28" t="n">
        <v>0.1125</v>
      </c>
      <c r="D74" s="28" t="n">
        <v>0.145</v>
      </c>
      <c r="E74" s="28" t="n">
        <v>0.135</v>
      </c>
      <c r="F74" s="28" t="n">
        <v>0.125</v>
      </c>
      <c r="G74" s="28" t="n">
        <v>0.0915</v>
      </c>
      <c r="H74" s="28" t="n">
        <v>0.06</v>
      </c>
      <c r="I74" s="28" t="n">
        <v>0.05</v>
      </c>
      <c r="J74" s="28" t="n">
        <v>0.055</v>
      </c>
      <c r="K74" s="28" t="n">
        <v>0.075</v>
      </c>
    </row>
    <row r="75">
      <c r="A75" s="39" t="n">
        <v>46278</v>
      </c>
      <c r="B75" s="16" t="n">
        <v>0.1</v>
      </c>
      <c r="C75" s="16" t="n">
        <v>0.1115</v>
      </c>
      <c r="D75" s="16" t="n">
        <v>0.09</v>
      </c>
      <c r="E75" s="16" t="n">
        <v>0.13</v>
      </c>
      <c r="F75" s="16" t="n">
        <v>0.12</v>
      </c>
      <c r="G75" s="16" t="n">
        <v>0.0915</v>
      </c>
      <c r="H75" s="16" t="n">
        <v>0.06</v>
      </c>
      <c r="I75" s="16" t="n">
        <v>0.05</v>
      </c>
      <c r="J75" s="16" t="n">
        <v>0.055</v>
      </c>
      <c r="K75" s="16" t="n">
        <v>0.095</v>
      </c>
    </row>
    <row r="76">
      <c r="A76" s="41" t="n">
        <v>46279</v>
      </c>
      <c r="B76" s="28" t="n">
        <v>0.11</v>
      </c>
      <c r="C76" s="28" t="n">
        <v>0.1075</v>
      </c>
      <c r="D76" s="28" t="n">
        <v>0.09</v>
      </c>
      <c r="E76" s="28" t="n">
        <v>0.13</v>
      </c>
      <c r="F76" s="28" t="n">
        <v>0.12</v>
      </c>
      <c r="G76" s="28" t="n">
        <v>0.0915</v>
      </c>
      <c r="H76" s="28" t="n">
        <v>0.065</v>
      </c>
      <c r="I76" s="28" t="n">
        <v>0.05</v>
      </c>
      <c r="J76" s="28" t="n">
        <v>0.055</v>
      </c>
      <c r="K76" s="28" t="n">
        <v>0.095</v>
      </c>
    </row>
    <row r="77">
      <c r="A77" s="39" t="n">
        <v>46280</v>
      </c>
      <c r="B77" s="16" t="n">
        <v>0.145</v>
      </c>
      <c r="C77" s="16" t="n">
        <v>0.1055</v>
      </c>
      <c r="D77" s="16" t="n">
        <v>0.09</v>
      </c>
      <c r="E77" s="16" t="n">
        <v>0.135</v>
      </c>
      <c r="F77" s="16" t="n">
        <v>0.12</v>
      </c>
      <c r="G77" s="16" t="n">
        <v>0.091</v>
      </c>
      <c r="H77" s="16" t="n">
        <v>0.075</v>
      </c>
      <c r="I77" s="16" t="n">
        <v>0.05</v>
      </c>
      <c r="J77" s="16" t="n">
        <v>0.055</v>
      </c>
      <c r="K77" s="16" t="n">
        <v>0.095</v>
      </c>
    </row>
    <row r="78">
      <c r="A78" s="41" t="n">
        <v>46281</v>
      </c>
      <c r="B78" s="28" t="n">
        <v>0.19</v>
      </c>
      <c r="C78" s="28" t="n">
        <v>0.119</v>
      </c>
      <c r="D78" s="28" t="n">
        <v>0.08500000000000001</v>
      </c>
      <c r="E78" s="28" t="n">
        <v>0.115</v>
      </c>
      <c r="F78" s="28" t="n">
        <v>0.125</v>
      </c>
      <c r="G78" s="28" t="n">
        <v>0.091</v>
      </c>
      <c r="H78" s="28" t="n">
        <v>0.075</v>
      </c>
      <c r="I78" s="28" t="n">
        <v>0.045</v>
      </c>
      <c r="J78" s="28" t="n">
        <v>0.053</v>
      </c>
      <c r="K78" s="28" t="n">
        <v>0.07000000000000001</v>
      </c>
    </row>
    <row r="79">
      <c r="A79" s="39" t="n">
        <v>46282</v>
      </c>
      <c r="B79" s="16" t="n">
        <v>0.14</v>
      </c>
      <c r="C79" s="16" t="n">
        <v>0.12</v>
      </c>
      <c r="D79" s="16" t="n">
        <v>0.095</v>
      </c>
      <c r="E79" s="16" t="n">
        <v>0.14</v>
      </c>
      <c r="F79" s="16" t="n">
        <v>0.125</v>
      </c>
      <c r="G79" s="16" t="n">
        <v>0.2005</v>
      </c>
      <c r="H79" s="16" t="n">
        <v>0.07000000000000001</v>
      </c>
      <c r="I79" s="16" t="n">
        <v>0.045</v>
      </c>
      <c r="J79" s="16" t="n">
        <v>0.0535</v>
      </c>
      <c r="K79" s="16" t="n">
        <v>0.215</v>
      </c>
    </row>
    <row r="80">
      <c r="A80" s="41" t="n">
        <v>46283</v>
      </c>
      <c r="B80" s="28" t="n">
        <v>0.12</v>
      </c>
      <c r="C80" s="28" t="n">
        <v>0.1125</v>
      </c>
      <c r="D80" s="28" t="n">
        <v>0.08</v>
      </c>
      <c r="E80" s="28" t="n">
        <v>0.14</v>
      </c>
      <c r="F80" s="28" t="n">
        <v>0.125</v>
      </c>
      <c r="G80" s="28" t="n">
        <v>0.194</v>
      </c>
      <c r="H80" s="28" t="n">
        <v>0.07000000000000001</v>
      </c>
      <c r="I80" s="28" t="n">
        <v>0.045</v>
      </c>
      <c r="J80" s="28" t="n">
        <v>0.053</v>
      </c>
      <c r="K80" s="28" t="n">
        <v>0.1</v>
      </c>
    </row>
    <row r="81">
      <c r="A81" s="39" t="n">
        <v>46284</v>
      </c>
      <c r="B81" s="16" t="n">
        <v>0.21</v>
      </c>
      <c r="C81" s="16" t="n">
        <v>0.12</v>
      </c>
      <c r="D81" s="16" t="n">
        <v>0.08</v>
      </c>
      <c r="E81" s="16" t="n">
        <v>0.145</v>
      </c>
      <c r="F81" s="16" t="n">
        <v>0.135</v>
      </c>
      <c r="G81" s="16" t="n">
        <v>0.251</v>
      </c>
      <c r="H81" s="16" t="n">
        <v>0.09</v>
      </c>
      <c r="I81" s="16" t="n">
        <v>0.04</v>
      </c>
      <c r="J81" s="16" t="n">
        <v>0.051</v>
      </c>
      <c r="K81" s="16" t="n">
        <v>0.27</v>
      </c>
    </row>
    <row r="82">
      <c r="A82" s="41" t="n">
        <v>46285</v>
      </c>
      <c r="B82" s="28" t="n">
        <v>0.115</v>
      </c>
      <c r="C82" s="28" t="n">
        <v>0.1165</v>
      </c>
      <c r="D82" s="28" t="n">
        <v>0.08500000000000001</v>
      </c>
      <c r="E82" s="28" t="n">
        <v>0.155</v>
      </c>
      <c r="F82" s="28" t="n">
        <v>0.135</v>
      </c>
      <c r="G82" s="28" t="n">
        <v>0.166</v>
      </c>
      <c r="H82" s="28" t="n">
        <v>0.067</v>
      </c>
      <c r="I82" s="28" t="n">
        <v>0.045</v>
      </c>
      <c r="J82" s="28" t="n">
        <v>0.051</v>
      </c>
      <c r="K82" s="28" t="n">
        <v>0.105</v>
      </c>
    </row>
    <row r="83">
      <c r="A83" s="39" t="n">
        <v>46286</v>
      </c>
      <c r="B83" s="16" t="n">
        <v>0.1</v>
      </c>
      <c r="C83" s="16" t="n">
        <v>0.09</v>
      </c>
      <c r="D83" s="16" t="n">
        <v>0.115</v>
      </c>
      <c r="E83" s="16" t="n">
        <v>0.155</v>
      </c>
      <c r="F83" s="16" t="n">
        <v>0.135</v>
      </c>
      <c r="G83" s="16" t="n">
        <v>0.2395</v>
      </c>
      <c r="H83" s="16" t="n">
        <v>0.0385</v>
      </c>
      <c r="I83" s="16" t="n">
        <v>0.045</v>
      </c>
      <c r="J83" s="16" t="n">
        <v>0.053</v>
      </c>
      <c r="K83" s="16" t="n">
        <v>0.11</v>
      </c>
    </row>
    <row r="84">
      <c r="A84" s="41" t="n">
        <v>46287</v>
      </c>
      <c r="B84" s="28" t="n">
        <v>0.125</v>
      </c>
      <c r="C84" s="28" t="n">
        <v>0.1155</v>
      </c>
      <c r="D84" s="28" t="n">
        <v>0.135</v>
      </c>
      <c r="E84" s="28" t="n">
        <v>0.165</v>
      </c>
      <c r="F84" s="28" t="n">
        <v>0.135</v>
      </c>
      <c r="G84" s="28" t="n">
        <v>0.208</v>
      </c>
      <c r="H84" s="28" t="n">
        <v>0.0415</v>
      </c>
      <c r="I84" s="28" t="n">
        <v>0.045</v>
      </c>
      <c r="J84" s="28" t="n">
        <v>0.0535</v>
      </c>
      <c r="K84" s="28" t="n">
        <v>0.065</v>
      </c>
    </row>
    <row r="85">
      <c r="A85" s="39" t="n">
        <v>46288</v>
      </c>
      <c r="B85" s="16" t="n">
        <v>0.036</v>
      </c>
      <c r="C85" s="16" t="n">
        <v>0.074</v>
      </c>
      <c r="D85" s="16" t="n">
        <v>0.185</v>
      </c>
      <c r="E85" s="16" t="n">
        <v>0.185</v>
      </c>
      <c r="F85" s="16" t="n">
        <v>0.255</v>
      </c>
      <c r="G85" s="16" t="n">
        <v>0.1715</v>
      </c>
      <c r="H85" s="16" t="n">
        <v>0.0485</v>
      </c>
      <c r="I85" s="16" t="n">
        <v>0.11</v>
      </c>
      <c r="J85" s="16" t="n">
        <v>0.053</v>
      </c>
      <c r="K85" s="16" t="n">
        <v>0.0215</v>
      </c>
    </row>
    <row r="86">
      <c r="A86" s="41" t="n">
        <v>46289</v>
      </c>
      <c r="B86" s="28" t="n">
        <v>0.0325</v>
      </c>
      <c r="C86" s="28" t="n">
        <v>0.074</v>
      </c>
      <c r="D86" s="28" t="n">
        <v>0.185</v>
      </c>
      <c r="E86" s="28" t="n">
        <v>0.185</v>
      </c>
      <c r="F86" s="28" t="n">
        <v>0.265</v>
      </c>
      <c r="G86" s="28" t="n">
        <v>0.183</v>
      </c>
      <c r="H86" s="28" t="n">
        <v>0.0575</v>
      </c>
      <c r="I86" s="28" t="n">
        <v>0.11</v>
      </c>
      <c r="J86" s="28" t="n">
        <v>0.055</v>
      </c>
      <c r="K86" s="28" t="n">
        <v>0.022</v>
      </c>
    </row>
    <row r="87">
      <c r="A87" s="39" t="n">
        <v>46290</v>
      </c>
      <c r="B87" s="16" t="n">
        <v>0.0335</v>
      </c>
      <c r="C87" s="16" t="n">
        <v>0.0675</v>
      </c>
      <c r="D87" s="16" t="n">
        <v>0.17</v>
      </c>
      <c r="E87" s="16" t="n">
        <v>0.185</v>
      </c>
      <c r="F87" s="16" t="n">
        <v>0.285</v>
      </c>
      <c r="G87" s="16" t="n">
        <v>0.179</v>
      </c>
      <c r="H87" s="16" t="n">
        <v>0.0345</v>
      </c>
      <c r="I87" s="16" t="n">
        <v>0.125</v>
      </c>
      <c r="J87" s="16" t="n">
        <v>0.0355</v>
      </c>
      <c r="K87" s="16" t="n">
        <v>0.0215</v>
      </c>
    </row>
    <row r="88">
      <c r="A88" s="41" t="n">
        <v>46291</v>
      </c>
      <c r="B88" s="28" t="n">
        <v>0.0245</v>
      </c>
      <c r="C88" s="28" t="n">
        <v>0.0605</v>
      </c>
      <c r="D88" s="28" t="n">
        <v>0.16</v>
      </c>
      <c r="E88" s="28" t="n">
        <v>0.175</v>
      </c>
      <c r="F88" s="28" t="n">
        <v>0.355</v>
      </c>
      <c r="G88" s="28" t="n">
        <v>0.165</v>
      </c>
      <c r="H88" s="28" t="n">
        <v>0.0495</v>
      </c>
      <c r="I88" s="28" t="n">
        <v>0.105</v>
      </c>
      <c r="J88" s="28" t="n">
        <v>0.0585</v>
      </c>
      <c r="K88" s="28" t="n">
        <v>0.0215</v>
      </c>
    </row>
    <row r="89">
      <c r="A89" s="39" t="n">
        <v>46292</v>
      </c>
      <c r="B89" s="16" t="n">
        <v>0.0245</v>
      </c>
      <c r="C89" s="16" t="n">
        <v>0.067</v>
      </c>
      <c r="D89" s="16" t="n">
        <v>0.155</v>
      </c>
      <c r="E89" s="16" t="n">
        <v>0.16</v>
      </c>
      <c r="F89" s="16" t="n">
        <v>0.28</v>
      </c>
      <c r="G89" s="16" t="n">
        <v>0.2015</v>
      </c>
      <c r="H89" s="16" t="n">
        <v>0.0185</v>
      </c>
      <c r="I89" s="16" t="n">
        <v>0.105</v>
      </c>
      <c r="J89" s="16" t="n">
        <v>0.073</v>
      </c>
      <c r="K89" s="16" t="n">
        <v>0.021</v>
      </c>
    </row>
    <row r="90">
      <c r="A90" s="41" t="n">
        <v>46293</v>
      </c>
      <c r="B90" s="28" t="n">
        <v>0.023</v>
      </c>
      <c r="C90" s="28" t="n">
        <v>0.0675</v>
      </c>
      <c r="D90" s="28" t="n">
        <v>0.165</v>
      </c>
      <c r="E90" s="28" t="n">
        <v>0.18</v>
      </c>
      <c r="F90" s="28" t="n">
        <v>0.245</v>
      </c>
      <c r="G90" s="28" t="n">
        <v>0.1995</v>
      </c>
      <c r="H90" s="28" t="n">
        <v>0.07149999999999999</v>
      </c>
      <c r="I90" s="28" t="n">
        <v>0.11</v>
      </c>
      <c r="J90" s="28" t="n">
        <v>0.0145</v>
      </c>
      <c r="K90" s="28" t="n">
        <v>0.022</v>
      </c>
    </row>
    <row r="91">
      <c r="A91" s="39" t="n">
        <v>46294</v>
      </c>
      <c r="B91" s="16" t="n">
        <v>0.031</v>
      </c>
      <c r="C91" s="16" t="n">
        <v>0.037</v>
      </c>
      <c r="D91" s="16" t="n">
        <v>0.155</v>
      </c>
      <c r="E91" s="16" t="n">
        <v>0.165</v>
      </c>
      <c r="F91" s="16" t="n">
        <v>0.275</v>
      </c>
      <c r="G91" s="16" t="n">
        <v>0.145</v>
      </c>
      <c r="H91" s="16" t="n">
        <v>0.105</v>
      </c>
      <c r="I91" s="16" t="n">
        <v>0.08500000000000001</v>
      </c>
      <c r="J91" s="16" t="n">
        <v>0.08799999999999999</v>
      </c>
      <c r="K91" s="16" t="n">
        <v>0.008999999999999999</v>
      </c>
    </row>
    <row r="92">
      <c r="A92" s="41" t="n">
        <v>46295</v>
      </c>
      <c r="B92" s="28" t="n">
        <v>0.0275</v>
      </c>
      <c r="C92" s="28" t="n">
        <v>0.038</v>
      </c>
      <c r="D92" s="28" t="n">
        <v>0.13</v>
      </c>
      <c r="E92" s="28" t="n">
        <v>0.14</v>
      </c>
      <c r="F92" s="28" t="n">
        <v>0.275</v>
      </c>
      <c r="G92" s="28" t="n">
        <v>0.1445</v>
      </c>
      <c r="H92" s="28" t="n">
        <v>0.106</v>
      </c>
      <c r="I92" s="28" t="n">
        <v>0.08</v>
      </c>
      <c r="J92" s="28" t="n">
        <v>0.1755</v>
      </c>
      <c r="K92" s="28" t="n">
        <v>0.07149999999999999</v>
      </c>
    </row>
    <row r="93">
      <c r="A93" s="39" t="n">
        <v>46296</v>
      </c>
      <c r="B93" s="16" t="n">
        <v>0.03</v>
      </c>
      <c r="C93" s="16" t="n">
        <v>0.044</v>
      </c>
      <c r="D93" s="16" t="n">
        <v>0.105</v>
      </c>
      <c r="E93" s="16" t="n">
        <v>0.185</v>
      </c>
      <c r="F93" s="16" t="n">
        <v>0.265</v>
      </c>
      <c r="G93" s="16" t="n">
        <v>0.151</v>
      </c>
      <c r="H93" s="16" t="n">
        <v>0.1265</v>
      </c>
      <c r="I93" s="16" t="n">
        <v>0.105</v>
      </c>
      <c r="J93" s="16" t="n">
        <v>0.132</v>
      </c>
      <c r="K93" s="16" t="n">
        <v>0.035</v>
      </c>
    </row>
    <row r="94">
      <c r="A94" s="41" t="n">
        <v>46297</v>
      </c>
      <c r="B94" s="28" t="n">
        <v>0.0315</v>
      </c>
      <c r="C94" s="28" t="n">
        <v>0.044</v>
      </c>
      <c r="D94" s="28" t="n">
        <v>0.08500000000000001</v>
      </c>
      <c r="E94" s="28" t="n">
        <v>0.19</v>
      </c>
      <c r="F94" s="28" t="n">
        <v>0.275</v>
      </c>
      <c r="G94" s="28" t="n">
        <v>0.1535</v>
      </c>
      <c r="H94" s="28" t="n">
        <v>0.0955</v>
      </c>
      <c r="I94" s="28" t="n">
        <v>0.105</v>
      </c>
      <c r="J94" s="28" t="n">
        <v>0.129</v>
      </c>
      <c r="K94" s="28" t="n">
        <v>0.035</v>
      </c>
    </row>
    <row r="95">
      <c r="A95" s="39" t="n">
        <v>46298</v>
      </c>
      <c r="B95" s="16" t="n">
        <v>0.03</v>
      </c>
      <c r="C95" s="16" t="n">
        <v>0.044</v>
      </c>
      <c r="D95" s="16" t="n">
        <v>0.14</v>
      </c>
      <c r="E95" s="16" t="n">
        <v>0.185</v>
      </c>
      <c r="F95" s="16" t="n">
        <v>0.275</v>
      </c>
      <c r="G95" s="16" t="n">
        <v>0.1715</v>
      </c>
      <c r="H95" s="16" t="n">
        <v>0.1015</v>
      </c>
      <c r="I95" s="16" t="n">
        <v>0.115</v>
      </c>
      <c r="J95" s="16" t="n">
        <v>0.095</v>
      </c>
      <c r="K95" s="16" t="n">
        <v>0.035</v>
      </c>
    </row>
    <row r="96">
      <c r="A96" s="41" t="n">
        <v>46299</v>
      </c>
      <c r="B96" s="28" t="n">
        <v>0.0315</v>
      </c>
      <c r="C96" s="28" t="n">
        <v>0.044</v>
      </c>
      <c r="D96" s="28" t="n">
        <v>0.115</v>
      </c>
      <c r="E96" s="28" t="n">
        <v>0.18</v>
      </c>
      <c r="F96" s="28" t="n">
        <v>0.265</v>
      </c>
      <c r="G96" s="28" t="n">
        <v>0.1725</v>
      </c>
      <c r="H96" s="28" t="n">
        <v>0.0985</v>
      </c>
      <c r="I96" s="28" t="n">
        <v>0.11</v>
      </c>
      <c r="J96" s="28" t="n">
        <v>0.0895</v>
      </c>
      <c r="K96" s="28" t="n">
        <v>0.035</v>
      </c>
    </row>
    <row r="97">
      <c r="A97" s="39" t="n">
        <v>46300</v>
      </c>
      <c r="B97" s="16" t="n">
        <v>0.0305</v>
      </c>
      <c r="C97" s="16" t="n">
        <v>0.0365</v>
      </c>
      <c r="D97" s="16" t="n">
        <v>0.1</v>
      </c>
      <c r="E97" s="16" t="n">
        <v>0.165</v>
      </c>
      <c r="F97" s="16" t="n">
        <v>0.265</v>
      </c>
      <c r="G97" s="16" t="n">
        <v>0.1775</v>
      </c>
      <c r="H97" s="16" t="n">
        <v>0.0835</v>
      </c>
      <c r="I97" s="16" t="n">
        <v>0.11</v>
      </c>
      <c r="J97" s="16" t="n">
        <v>0.1305</v>
      </c>
      <c r="K97" s="16" t="n">
        <v>0.035</v>
      </c>
    </row>
    <row r="98">
      <c r="A98" s="41" t="n">
        <v>46301</v>
      </c>
      <c r="B98" s="28" t="n">
        <v>0.03</v>
      </c>
      <c r="C98" s="28" t="n">
        <v>0.0365</v>
      </c>
      <c r="D98" s="28" t="n">
        <v>0.1</v>
      </c>
      <c r="E98" s="28" t="n">
        <v>0.165</v>
      </c>
      <c r="F98" s="28" t="n">
        <v>0.265</v>
      </c>
      <c r="G98" s="28" t="n">
        <v>0.1775</v>
      </c>
      <c r="H98" s="28" t="n">
        <v>0.089</v>
      </c>
      <c r="I98" s="28" t="n">
        <v>0.105</v>
      </c>
      <c r="J98" s="28" t="n">
        <v>0.112</v>
      </c>
      <c r="K98" s="28" t="n">
        <v>0.035</v>
      </c>
    </row>
    <row r="99">
      <c r="A99" s="39" t="n">
        <v>46302</v>
      </c>
      <c r="B99" s="16" t="n">
        <v>0.058</v>
      </c>
      <c r="C99" s="16" t="n">
        <v>0.0365</v>
      </c>
      <c r="D99" s="16" t="n">
        <v>0.1</v>
      </c>
      <c r="E99" s="16" t="n">
        <v>0.165</v>
      </c>
      <c r="F99" s="16" t="n">
        <v>0.265</v>
      </c>
      <c r="G99" s="16" t="n">
        <v>0.176</v>
      </c>
      <c r="H99" s="16" t="n">
        <v>0.103</v>
      </c>
      <c r="I99" s="16" t="n">
        <v>0.105</v>
      </c>
      <c r="J99" s="16" t="n">
        <v>0.099</v>
      </c>
      <c r="K99" s="16" t="n">
        <v>0.035</v>
      </c>
    </row>
    <row r="100">
      <c r="A100" s="41" t="n">
        <v>46303</v>
      </c>
      <c r="B100" s="28" t="n">
        <v>0.058</v>
      </c>
      <c r="C100" s="28" t="n">
        <v>0.0365</v>
      </c>
      <c r="D100" s="28" t="n">
        <v>0.1</v>
      </c>
      <c r="E100" s="28" t="n">
        <v>0.165</v>
      </c>
      <c r="F100" s="28" t="n"/>
      <c r="G100" s="28" t="n">
        <v>0.178</v>
      </c>
      <c r="H100" s="28" t="n">
        <v>0.077</v>
      </c>
      <c r="I100" s="28" t="n">
        <v>0.1</v>
      </c>
      <c r="J100" s="28" t="n">
        <v>0.18</v>
      </c>
      <c r="K100" s="28" t="n">
        <v>0.035</v>
      </c>
    </row>
    <row r="101">
      <c r="A101" s="39" t="n">
        <v>46304</v>
      </c>
      <c r="B101" s="16" t="n">
        <v>0.0605</v>
      </c>
      <c r="C101" s="16" t="n">
        <v>0.0365</v>
      </c>
      <c r="D101" s="16" t="n">
        <v>0.1</v>
      </c>
      <c r="E101" s="16" t="n">
        <v>0.275</v>
      </c>
      <c r="F101" s="16" t="n"/>
      <c r="G101" s="16" t="n">
        <v>0.196</v>
      </c>
      <c r="H101" s="16" t="n">
        <v>0.077</v>
      </c>
      <c r="I101" s="16" t="n">
        <v>0.08500000000000001</v>
      </c>
      <c r="J101" s="16" t="n"/>
      <c r="K101" s="16" t="n">
        <v>0.0345</v>
      </c>
    </row>
    <row r="102">
      <c r="A102" s="41" t="n">
        <v>46305</v>
      </c>
      <c r="B102" s="28" t="n">
        <v>0.0575</v>
      </c>
      <c r="C102" s="28" t="n">
        <v>0.0175</v>
      </c>
      <c r="D102" s="28" t="n">
        <v>0.055</v>
      </c>
      <c r="E102" s="28" t="n">
        <v>0.26</v>
      </c>
      <c r="F102" s="28" t="n">
        <v>0.265</v>
      </c>
      <c r="G102" s="28" t="n">
        <v>0.173</v>
      </c>
      <c r="H102" s="28" t="n">
        <v>0.074</v>
      </c>
      <c r="I102" s="28" t="n">
        <v>0.08500000000000001</v>
      </c>
      <c r="J102" s="28" t="n">
        <v>0.119</v>
      </c>
      <c r="K102" s="28" t="n">
        <v>0.0615</v>
      </c>
    </row>
    <row r="103">
      <c r="A103" s="39" t="n">
        <v>46306</v>
      </c>
      <c r="B103" s="16" t="n">
        <v>0.0545</v>
      </c>
      <c r="C103" s="16" t="n">
        <v>0.045</v>
      </c>
      <c r="D103" s="16" t="n">
        <v>0.08</v>
      </c>
      <c r="E103" s="16" t="n">
        <v>0.23</v>
      </c>
      <c r="F103" s="16" t="n">
        <v>0.265</v>
      </c>
      <c r="G103" s="16" t="n">
        <v>0.1395</v>
      </c>
      <c r="H103" s="16" t="n">
        <v>0.0735</v>
      </c>
      <c r="I103" s="16" t="n">
        <v>0.065</v>
      </c>
      <c r="J103" s="16" t="n">
        <v>0.08649999999999999</v>
      </c>
      <c r="K103" s="16" t="n">
        <v>0.0505</v>
      </c>
    </row>
    <row r="104">
      <c r="A104" s="41" t="n">
        <v>46307</v>
      </c>
      <c r="B104" s="28" t="n">
        <v>0.047</v>
      </c>
      <c r="C104" s="28" t="n">
        <v>0.0405</v>
      </c>
      <c r="D104" s="28" t="n">
        <v>0.095</v>
      </c>
      <c r="E104" s="28" t="n">
        <v>0.12</v>
      </c>
      <c r="F104" s="28" t="n">
        <v>0.275</v>
      </c>
      <c r="G104" s="28" t="n">
        <v>0.172</v>
      </c>
      <c r="H104" s="28" t="n">
        <v>0.1105</v>
      </c>
      <c r="I104" s="28" t="n">
        <v>0.06</v>
      </c>
      <c r="J104" s="28" t="n">
        <v>0.1365</v>
      </c>
      <c r="K104" s="28" t="n">
        <v>0.0375</v>
      </c>
    </row>
    <row r="105">
      <c r="A105" s="2" t="inlineStr">
        <is>
          <t>All ten brackets, daily closes from CLOB /prices-history at fidelity=1440. The market opened 11 Aug 2026, so the series is only 62 days long and the brackets are thin — read it as a sanity check on the ladder above, not as a trend.</t>
        </is>
      </c>
    </row>
  </sheetData>
  <mergeCells count="10">
    <mergeCell ref="A105:K105"/>
    <mergeCell ref="B12:F12"/>
    <mergeCell ref="B7:F7"/>
    <mergeCell ref="B6:F6"/>
    <mergeCell ref="B10:F10"/>
    <mergeCell ref="B11:F11"/>
    <mergeCell ref="B5:F5"/>
    <mergeCell ref="A39:J39"/>
    <mergeCell ref="B8:F8"/>
    <mergeCell ref="B9:F9"/>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85"/>
  <sheetViews>
    <sheetView showGridLines="0" workbookViewId="0">
      <pane xSplit="1" ySplit="33" topLeftCell="B3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5" customWidth="1" min="2" max="2"/>
    <col width="12" customWidth="1" min="3" max="3"/>
    <col width="12" customWidth="1" min="4" max="4"/>
    <col width="17" customWidth="1" min="5" max="5"/>
    <col width="18" customWidth="1" min="6" max="6"/>
    <col width="14" customWidth="1" min="7" max="7"/>
    <col width="18" customWidth="1" min="8" max="8"/>
    <col width="15" customWidth="1" min="9" max="9"/>
    <col width="13" customWidth="1" min="10" max="10"/>
  </cols>
  <sheetData>
    <row r="1">
      <c r="A1" s="1" t="inlineStr">
        <is>
          <t>Voter Turnout — PA-07 (Kalshi)</t>
        </is>
      </c>
    </row>
    <row r="2">
      <c r="A2" s="2" t="inlineStr">
        <is>
          <t>Kalshi KXMIDTERMVOTETURN-PA07: how many ballots the PA-07 House race draws on 3 Nov 2026, quoted as thresholds. Pulled 2026-10-12 02:24 UTC.</t>
        </is>
      </c>
    </row>
    <row r="4">
      <c r="A4" s="3" t="inlineStr">
        <is>
          <t>MARKET METADATA</t>
        </is>
      </c>
      <c r="B4" s="4" t="n"/>
      <c r="C4" s="4" t="n"/>
      <c r="D4" s="4" t="n"/>
      <c r="E4" s="4" t="n"/>
      <c r="F4" s="4" t="n"/>
      <c r="G4" s="4" t="n"/>
      <c r="H4" s="4" t="n"/>
      <c r="I4" s="4" t="n"/>
      <c r="J4" s="4" t="n"/>
    </row>
    <row r="5">
      <c r="A5" s="6" t="inlineStr">
        <is>
          <t>Event</t>
        </is>
      </c>
      <c r="B5" s="26" t="inlineStr">
        <is>
          <t>KXMIDTERMVOTETURN-PA07</t>
        </is>
      </c>
      <c r="C5" s="66" t="n"/>
      <c r="D5" s="66" t="n"/>
      <c r="E5" s="66" t="n"/>
      <c r="F5" s="66" t="n"/>
      <c r="G5" s="67" t="n"/>
    </row>
    <row r="6">
      <c r="A6" s="6" t="inlineStr">
        <is>
          <t>Series</t>
        </is>
      </c>
      <c r="B6" s="26" t="inlineStr">
        <is>
          <t>KXMIDTERMVOTETURN</t>
        </is>
      </c>
      <c r="C6" s="66" t="n"/>
      <c r="D6" s="66" t="n"/>
      <c r="E6" s="66" t="n"/>
      <c r="F6" s="66" t="n"/>
      <c r="G6" s="67" t="n"/>
    </row>
    <row r="7">
      <c r="A7" s="6" t="inlineStr">
        <is>
          <t>Question</t>
        </is>
      </c>
      <c r="B7" s="26" t="inlineStr">
        <is>
          <t>Pennsylvania 07 House General Election: voter turnout</t>
        </is>
      </c>
      <c r="C7" s="66" t="n"/>
      <c r="D7" s="66" t="n"/>
      <c r="E7" s="66" t="n"/>
      <c r="F7" s="66" t="n"/>
      <c r="G7" s="67" t="n"/>
    </row>
    <row r="8">
      <c r="A8" s="6" t="inlineStr">
        <is>
          <t>Resolution</t>
        </is>
      </c>
      <c r="B8" s="26" t="inlineStr">
        <is>
          <t>3 Nov 2026</t>
        </is>
      </c>
      <c r="C8" s="66" t="n"/>
      <c r="D8" s="66" t="n"/>
      <c r="E8" s="66" t="n"/>
      <c r="F8" s="66" t="n"/>
      <c r="G8" s="67" t="n"/>
    </row>
    <row r="9">
      <c r="A9" s="6" t="inlineStr">
        <is>
          <t>Thresholds quoted</t>
        </is>
      </c>
      <c r="B9" s="45" t="n">
        <v>8</v>
      </c>
      <c r="C9" s="66" t="n"/>
      <c r="D9" s="66" t="n"/>
      <c r="E9" s="66" t="n"/>
      <c r="F9" s="66" t="n"/>
      <c r="G9" s="67" t="n"/>
    </row>
    <row r="11">
      <c r="A11" s="3" t="inlineStr">
        <is>
          <t>THRESHOLD LADDER</t>
        </is>
      </c>
      <c r="B11" s="4" t="n"/>
      <c r="C11" s="4" t="n"/>
      <c r="D11" s="4" t="n"/>
      <c r="E11" s="4" t="n"/>
      <c r="F11" s="4" t="n"/>
      <c r="G11" s="4" t="n"/>
      <c r="H11" s="4" t="n"/>
      <c r="I11" s="4" t="n"/>
      <c r="J11" s="4" t="n"/>
    </row>
    <row r="12" ht="30" customHeight="1">
      <c r="A12" s="5" t="inlineStr">
        <is>
          <t>Rung</t>
        </is>
      </c>
      <c r="B12" s="5" t="inlineStr">
        <is>
          <t>Threshold</t>
        </is>
      </c>
      <c r="C12" s="5" t="inlineStr">
        <is>
          <t>YES Bid</t>
        </is>
      </c>
      <c r="D12" s="5" t="inlineStr">
        <is>
          <t>YES Ask</t>
        </is>
      </c>
      <c r="E12" s="5" t="inlineStr">
        <is>
          <t>Mid P(turnout ≥ strike)</t>
        </is>
      </c>
      <c r="F12" s="5" t="inlineStr">
        <is>
          <t>Bucket</t>
        </is>
      </c>
      <c r="G12" s="5" t="inlineStr">
        <is>
          <t>Bucket Prob</t>
        </is>
      </c>
      <c r="H12" s="5" t="inlineStr">
        <is>
          <t>Representative Turnout</t>
        </is>
      </c>
      <c r="I12" s="5" t="inlineStr">
        <is>
          <t>Prob × Turnout</t>
        </is>
      </c>
      <c r="J12" s="5" t="inlineStr"/>
    </row>
    <row r="13">
      <c r="A13" s="22" t="inlineStr">
        <is>
          <t>Below 220K</t>
        </is>
      </c>
      <c r="F13" s="59" t="inlineStr">
        <is>
          <t>under 220K</t>
        </is>
      </c>
      <c r="G13" s="17">
        <f>IFERROR(MAX(0,1-E14),"")</f>
        <v/>
      </c>
      <c r="H13" s="91" t="n">
        <v>295000</v>
      </c>
      <c r="I13" s="92">
        <f>IFERROR(G13*H13,"")</f>
        <v/>
      </c>
    </row>
    <row r="14">
      <c r="A14" s="6" t="inlineStr">
        <is>
          <t>Above 220K</t>
        </is>
      </c>
      <c r="B14" s="91" t="n">
        <v>220000</v>
      </c>
      <c r="C14" s="16" t="n">
        <v>0.9399999999999999</v>
      </c>
      <c r="D14" s="16" t="n">
        <v>0.99</v>
      </c>
      <c r="E14" s="17">
        <f>IF(COUNT(C14:D14)=2,(C14+D14)/2,"")</f>
        <v/>
      </c>
      <c r="F14" s="59" t="inlineStr">
        <is>
          <t>220K–260K</t>
        </is>
      </c>
      <c r="G14" s="17">
        <f>IFERROR(MAX(0,E14-E15),"")</f>
        <v/>
      </c>
      <c r="H14" s="91" t="n">
        <v>240000</v>
      </c>
      <c r="I14" s="92">
        <f>IFERROR(G14*H14,"")</f>
        <v/>
      </c>
    </row>
    <row r="15">
      <c r="A15" s="6" t="inlineStr">
        <is>
          <t>Above 260K</t>
        </is>
      </c>
      <c r="B15" s="91" t="n">
        <v>260000</v>
      </c>
      <c r="C15" s="16" t="n">
        <v>0.78</v>
      </c>
      <c r="D15" s="16" t="n">
        <v>0.87</v>
      </c>
      <c r="E15" s="17">
        <f>IF(COUNT(C15:D15)=2,(C15+D15)/2,"")</f>
        <v/>
      </c>
      <c r="F15" s="59" t="inlineStr">
        <is>
          <t>260K–280K</t>
        </is>
      </c>
      <c r="G15" s="17">
        <f>IFERROR(MAX(0,E15-E16),"")</f>
        <v/>
      </c>
      <c r="H15" s="91" t="n">
        <v>270000</v>
      </c>
      <c r="I15" s="92">
        <f>IFERROR(G15*H15,"")</f>
        <v/>
      </c>
    </row>
    <row r="16">
      <c r="A16" s="6" t="inlineStr">
        <is>
          <t>Above 280K</t>
        </is>
      </c>
      <c r="B16" s="91" t="n">
        <v>280000</v>
      </c>
      <c r="C16" s="16" t="n">
        <v>0.64</v>
      </c>
      <c r="D16" s="16" t="n">
        <v>0.73</v>
      </c>
      <c r="E16" s="17">
        <f>IF(COUNT(C16:D16)=2,(C16+D16)/2,"")</f>
        <v/>
      </c>
      <c r="F16" s="59" t="inlineStr">
        <is>
          <t>280K–310K</t>
        </is>
      </c>
      <c r="G16" s="17">
        <f>IFERROR(MAX(0,E16-E17),"")</f>
        <v/>
      </c>
      <c r="H16" s="91" t="n">
        <v>295000</v>
      </c>
      <c r="I16" s="92">
        <f>IFERROR(G16*H16,"")</f>
        <v/>
      </c>
    </row>
    <row r="17">
      <c r="A17" s="6" t="inlineStr">
        <is>
          <t>Above 310K</t>
        </is>
      </c>
      <c r="B17" s="91" t="n">
        <v>310000</v>
      </c>
      <c r="C17" s="16" t="n">
        <v>0.37</v>
      </c>
      <c r="D17" s="16" t="n">
        <v>0.46</v>
      </c>
      <c r="E17" s="17">
        <f>IF(COUNT(C17:D17)=2,(C17+D17)/2,"")</f>
        <v/>
      </c>
      <c r="F17" s="59" t="inlineStr">
        <is>
          <t>310K–320K</t>
        </is>
      </c>
      <c r="G17" s="17">
        <f>IFERROR(MAX(0,E17-E18),"")</f>
        <v/>
      </c>
      <c r="H17" s="91" t="n">
        <v>315000</v>
      </c>
      <c r="I17" s="92">
        <f>IFERROR(G17*H17,"")</f>
        <v/>
      </c>
    </row>
    <row r="18">
      <c r="A18" s="6" t="inlineStr">
        <is>
          <t>Above 320K</t>
        </is>
      </c>
      <c r="B18" s="91" t="n">
        <v>320000</v>
      </c>
      <c r="C18" s="16" t="n">
        <v>0.32</v>
      </c>
      <c r="D18" s="16" t="n">
        <v>0.39</v>
      </c>
      <c r="E18" s="17">
        <f>IF(COUNT(C18:D18)=2,(C18+D18)/2,"")</f>
        <v/>
      </c>
      <c r="F18" s="59" t="inlineStr">
        <is>
          <t>320K–340K</t>
        </is>
      </c>
      <c r="G18" s="17">
        <f>IFERROR(MAX(0,E18-E19),"")</f>
        <v/>
      </c>
      <c r="H18" s="91" t="n">
        <v>330000</v>
      </c>
      <c r="I18" s="92">
        <f>IFERROR(G18*H18,"")</f>
        <v/>
      </c>
    </row>
    <row r="19">
      <c r="A19" s="6" t="inlineStr">
        <is>
          <t>Above 340K</t>
        </is>
      </c>
      <c r="B19" s="91" t="n">
        <v>340000</v>
      </c>
      <c r="C19" s="16" t="n">
        <v>0.19</v>
      </c>
      <c r="D19" s="16" t="n">
        <v>0.28</v>
      </c>
      <c r="E19" s="17">
        <f>IF(COUNT(C19:D19)=2,(C19+D19)/2,"")</f>
        <v/>
      </c>
      <c r="F19" s="59" t="inlineStr">
        <is>
          <t>340K–360K</t>
        </is>
      </c>
      <c r="G19" s="17">
        <f>IFERROR(MAX(0,E19-E20),"")</f>
        <v/>
      </c>
      <c r="H19" s="91" t="n">
        <v>350000</v>
      </c>
      <c r="I19" s="92">
        <f>IFERROR(G19*H19,"")</f>
        <v/>
      </c>
    </row>
    <row r="20">
      <c r="A20" s="6" t="inlineStr">
        <is>
          <t>Above 360K</t>
        </is>
      </c>
      <c r="B20" s="91" t="n">
        <v>360000</v>
      </c>
      <c r="C20" s="16" t="n">
        <v>0.11</v>
      </c>
      <c r="D20" s="16" t="n">
        <v>0.2</v>
      </c>
      <c r="E20" s="17">
        <f>IF(COUNT(C20:D20)=2,(C20+D20)/2,"")</f>
        <v/>
      </c>
      <c r="F20" s="59" t="inlineStr">
        <is>
          <t>360K–370K</t>
        </is>
      </c>
      <c r="G20" s="17">
        <f>IFERROR(MAX(0,E20-E21),"")</f>
        <v/>
      </c>
      <c r="H20" s="91" t="n">
        <v>365000</v>
      </c>
      <c r="I20" s="92">
        <f>IFERROR(G20*H20,"")</f>
        <v/>
      </c>
    </row>
    <row r="21">
      <c r="A21" s="6" t="inlineStr">
        <is>
          <t>Above 370K</t>
        </is>
      </c>
      <c r="B21" s="91" t="n">
        <v>370000</v>
      </c>
      <c r="C21" s="16" t="n">
        <v>0.1</v>
      </c>
      <c r="D21" s="16" t="n">
        <v>0.17</v>
      </c>
      <c r="E21" s="17">
        <f>IF(COUNT(C21:D21)=2,(C21+D21)/2,"")</f>
        <v/>
      </c>
      <c r="F21" s="59" t="inlineStr">
        <is>
          <t>above 370K</t>
        </is>
      </c>
      <c r="G21" s="17">
        <f>IFERROR(E21,"")</f>
        <v/>
      </c>
      <c r="H21" s="91" t="n">
        <v>385000</v>
      </c>
      <c r="I21" s="92">
        <f>IFERROR(G21*H21,"")</f>
        <v/>
      </c>
    </row>
    <row r="22">
      <c r="A22" s="22" t="inlineStr">
        <is>
          <t>TOTAL</t>
        </is>
      </c>
      <c r="G22" s="23">
        <f>SUM(G13:G21)</f>
        <v/>
      </c>
      <c r="I22" s="93">
        <f>SUM(I13:I21)</f>
        <v/>
      </c>
    </row>
    <row r="24">
      <c r="A24" s="3" t="inlineStr">
        <is>
          <t>IMPLIED READ</t>
        </is>
      </c>
      <c r="B24" s="4" t="n"/>
      <c r="C24" s="4" t="n"/>
      <c r="D24" s="4" t="n"/>
      <c r="E24" s="4" t="n"/>
      <c r="F24" s="4" t="n"/>
      <c r="G24" s="4" t="n"/>
      <c r="H24" s="4" t="n"/>
      <c r="I24" s="4" t="n"/>
      <c r="J24" s="4" t="n"/>
    </row>
    <row r="25">
      <c r="A25" s="6" t="inlineStr">
        <is>
          <t>Expected turnout</t>
        </is>
      </c>
      <c r="B25" s="94">
        <f>IFERROR(SUM(I13:I21),"")</f>
        <v/>
      </c>
    </row>
    <row r="26">
      <c r="A26" s="6" t="inlineStr">
        <is>
          <t>Modal bucket</t>
        </is>
      </c>
      <c r="B26" s="6">
        <f>IFERROR(INDEX($F$13:$F$21,MATCH(MAX($G$13:$G$21),$G$13:$G$21,0)),"")</f>
        <v/>
      </c>
    </row>
    <row r="27">
      <c r="A27" s="6" t="inlineStr">
        <is>
          <t>P(turnout above 340K)</t>
        </is>
      </c>
      <c r="B27" s="17">
        <f>IFERROR(INDEX($E$13:$E$21,MATCH(340000,$B$13:$B$21,0)),"")</f>
        <v/>
      </c>
    </row>
    <row r="28">
      <c r="A28" s="6" t="inlineStr">
        <is>
          <t>2024 PA-07 House turnout</t>
        </is>
      </c>
      <c r="B28" s="95" t="n">
        <v>403314</v>
      </c>
    </row>
    <row r="29">
      <c r="A29" s="6" t="inlineStr">
        <is>
          <t>Implied change vs 2024</t>
        </is>
      </c>
      <c r="B29" s="55">
        <f>IFERROR(B25/B28-1,"")</f>
        <v/>
      </c>
    </row>
    <row r="30">
      <c r="A30" s="2" t="inlineStr">
        <is>
          <t>Turnout is a genuine driver here, not trivia: PA-07 was decided by about a point in 2024, so which electorate shows up plausibly decides the seat.</t>
        </is>
      </c>
    </row>
    <row r="32">
      <c r="A32" s="3" t="inlineStr">
        <is>
          <t>DAILY HISTORY (mid of closing bid and ask)</t>
        </is>
      </c>
      <c r="B32" s="4" t="n"/>
      <c r="C32" s="4" t="n"/>
      <c r="D32" s="4" t="n"/>
      <c r="E32" s="4" t="n"/>
      <c r="F32" s="4" t="n"/>
      <c r="G32" s="4" t="n"/>
      <c r="H32" s="4" t="n"/>
      <c r="I32" s="4" t="n"/>
      <c r="J32" s="4" t="n"/>
    </row>
    <row r="33" ht="30" customHeight="1">
      <c r="A33" s="5" t="inlineStr">
        <is>
          <t>Date</t>
        </is>
      </c>
      <c r="B33" s="5" t="inlineStr">
        <is>
          <t>Above 220K</t>
        </is>
      </c>
      <c r="C33" s="5" t="inlineStr">
        <is>
          <t>Above 260K</t>
        </is>
      </c>
      <c r="D33" s="5" t="inlineStr">
        <is>
          <t>Above 280K</t>
        </is>
      </c>
      <c r="E33" s="5" t="inlineStr">
        <is>
          <t>Above 310K</t>
        </is>
      </c>
      <c r="F33" s="5" t="inlineStr">
        <is>
          <t>Above 320K</t>
        </is>
      </c>
      <c r="G33" s="5" t="inlineStr">
        <is>
          <t>Above 340K</t>
        </is>
      </c>
      <c r="H33" s="5" t="inlineStr">
        <is>
          <t>Above 360K</t>
        </is>
      </c>
      <c r="I33" s="5" t="inlineStr">
        <is>
          <t>Above 370K</t>
        </is>
      </c>
      <c r="J33" s="5" t="inlineStr"/>
    </row>
    <row r="34">
      <c r="A34" s="39" t="n">
        <v>46150</v>
      </c>
      <c r="B34" s="16" t="n"/>
      <c r="C34" s="16" t="n"/>
      <c r="D34" s="16" t="n"/>
      <c r="E34" s="16" t="n">
        <v>0.75</v>
      </c>
      <c r="F34" s="16" t="n">
        <v>0.63</v>
      </c>
      <c r="G34" s="16" t="n">
        <v>0.5</v>
      </c>
      <c r="H34" s="16" t="n">
        <v>0.375</v>
      </c>
      <c r="I34" s="16" t="n">
        <v>0.25</v>
      </c>
    </row>
    <row r="35">
      <c r="A35" s="41" t="n">
        <v>46156</v>
      </c>
      <c r="B35" s="28" t="n"/>
      <c r="C35" s="28" t="n"/>
      <c r="D35" s="28" t="n"/>
      <c r="E35" s="28" t="n"/>
      <c r="F35" s="28" t="n">
        <v>0.63</v>
      </c>
      <c r="G35" s="28" t="n">
        <v>0.5</v>
      </c>
      <c r="H35" s="28" t="n">
        <v>0.375</v>
      </c>
      <c r="I35" s="28" t="n">
        <v>0.25</v>
      </c>
    </row>
    <row r="36">
      <c r="A36" s="39" t="n">
        <v>46161</v>
      </c>
      <c r="B36" s="16" t="n"/>
      <c r="C36" s="16" t="n"/>
      <c r="D36" s="16" t="n"/>
      <c r="E36" s="16" t="n"/>
      <c r="F36" s="16" t="n">
        <v>0.63</v>
      </c>
      <c r="G36" s="16" t="n">
        <v>0.5</v>
      </c>
      <c r="H36" s="16" t="n">
        <v>0.375</v>
      </c>
      <c r="I36" s="16" t="n">
        <v>0.25</v>
      </c>
    </row>
    <row r="37">
      <c r="A37" s="41" t="n">
        <v>46164</v>
      </c>
      <c r="B37" s="28" t="n"/>
      <c r="C37" s="28" t="n"/>
      <c r="D37" s="28" t="n"/>
      <c r="E37" s="28" t="n">
        <v>0.575</v>
      </c>
      <c r="F37" s="28" t="n">
        <v>0.63</v>
      </c>
      <c r="G37" s="28" t="n">
        <v>0.5</v>
      </c>
      <c r="H37" s="28" t="n">
        <v>0.375</v>
      </c>
      <c r="I37" s="28" t="n">
        <v>0.25</v>
      </c>
    </row>
    <row r="38">
      <c r="A38" s="39" t="n">
        <v>46165</v>
      </c>
      <c r="B38" s="16" t="n"/>
      <c r="C38" s="16" t="n"/>
      <c r="D38" s="16" t="n"/>
      <c r="E38" s="16" t="n">
        <v>0.75</v>
      </c>
      <c r="F38" s="16" t="n">
        <v>0.63</v>
      </c>
      <c r="G38" s="16" t="n">
        <v>0.5</v>
      </c>
      <c r="H38" s="16" t="n">
        <v>0.375</v>
      </c>
      <c r="I38" s="16" t="n">
        <v>0.25</v>
      </c>
    </row>
    <row r="39">
      <c r="A39" s="41" t="n">
        <v>46170</v>
      </c>
      <c r="B39" s="28" t="n"/>
      <c r="C39" s="28" t="n"/>
      <c r="D39" s="28" t="n"/>
      <c r="E39" s="28" t="n"/>
      <c r="F39" s="28" t="n">
        <v>0.625</v>
      </c>
      <c r="G39" s="28" t="n"/>
      <c r="H39" s="28" t="n">
        <v>0.375</v>
      </c>
      <c r="I39" s="28" t="n"/>
    </row>
    <row r="40">
      <c r="A40" s="39" t="n">
        <v>46175</v>
      </c>
      <c r="B40" s="16" t="n"/>
      <c r="C40" s="16" t="n"/>
      <c r="D40" s="16" t="n"/>
      <c r="E40" s="16" t="n">
        <v>0.75</v>
      </c>
      <c r="F40" s="16" t="n"/>
      <c r="G40" s="16" t="n"/>
      <c r="H40" s="16" t="n"/>
      <c r="I40" s="16" t="n"/>
    </row>
    <row r="41">
      <c r="A41" s="41" t="n">
        <v>46177</v>
      </c>
      <c r="B41" s="28" t="n"/>
      <c r="C41" s="28" t="n"/>
      <c r="D41" s="28" t="n"/>
      <c r="E41" s="28" t="n"/>
      <c r="F41" s="28" t="n">
        <v>0.625</v>
      </c>
      <c r="G41" s="28" t="n"/>
      <c r="H41" s="28" t="n"/>
      <c r="I41" s="28" t="n"/>
    </row>
    <row r="42">
      <c r="A42" s="39" t="n">
        <v>46180</v>
      </c>
      <c r="B42" s="16" t="n"/>
      <c r="C42" s="16" t="n"/>
      <c r="D42" s="16" t="n"/>
      <c r="E42" s="16" t="n">
        <v>0.75</v>
      </c>
      <c r="F42" s="16" t="n"/>
      <c r="G42" s="16" t="n"/>
      <c r="H42" s="16" t="n">
        <v>0.375</v>
      </c>
      <c r="I42" s="16" t="n">
        <v>0.25</v>
      </c>
    </row>
    <row r="43">
      <c r="A43" s="41" t="n">
        <v>46181</v>
      </c>
      <c r="B43" s="28" t="n"/>
      <c r="C43" s="28" t="n"/>
      <c r="D43" s="28" t="n"/>
      <c r="E43" s="28" t="n">
        <v>0.75</v>
      </c>
      <c r="F43" s="28" t="n"/>
      <c r="G43" s="28" t="n"/>
      <c r="H43" s="28" t="n">
        <v>0.375</v>
      </c>
      <c r="I43" s="28" t="n">
        <v>0.25</v>
      </c>
    </row>
    <row r="44">
      <c r="A44" s="39" t="n">
        <v>46182</v>
      </c>
      <c r="B44" s="16" t="n"/>
      <c r="C44" s="16" t="n"/>
      <c r="D44" s="16" t="n"/>
      <c r="E44" s="16" t="n">
        <v>0.75</v>
      </c>
      <c r="F44" s="16" t="n"/>
      <c r="G44" s="16" t="n"/>
      <c r="H44" s="16" t="n">
        <v>0.375</v>
      </c>
      <c r="I44" s="16" t="n">
        <v>0.25</v>
      </c>
    </row>
    <row r="45">
      <c r="A45" s="41" t="n">
        <v>46183</v>
      </c>
      <c r="B45" s="28" t="n"/>
      <c r="C45" s="28" t="n"/>
      <c r="D45" s="28" t="n"/>
      <c r="E45" s="28" t="n">
        <v>0.75</v>
      </c>
      <c r="F45" s="28" t="n"/>
      <c r="G45" s="28" t="n"/>
      <c r="H45" s="28" t="n">
        <v>0.375</v>
      </c>
      <c r="I45" s="28" t="n">
        <v>0.25</v>
      </c>
    </row>
    <row r="46">
      <c r="A46" s="39" t="n">
        <v>46195</v>
      </c>
      <c r="B46" s="16" t="n"/>
      <c r="C46" s="16" t="n"/>
      <c r="D46" s="16" t="n"/>
      <c r="E46" s="16" t="n">
        <v>0.75</v>
      </c>
      <c r="F46" s="16" t="n">
        <v>0.625</v>
      </c>
      <c r="G46" s="16" t="n"/>
      <c r="H46" s="16" t="n"/>
      <c r="I46" s="16" t="n">
        <v>0.215</v>
      </c>
    </row>
    <row r="47">
      <c r="A47" s="41" t="n">
        <v>46196</v>
      </c>
      <c r="B47" s="28" t="n"/>
      <c r="C47" s="28" t="n"/>
      <c r="D47" s="28" t="n"/>
      <c r="E47" s="28" t="n"/>
      <c r="F47" s="28" t="n"/>
      <c r="G47" s="28" t="n"/>
      <c r="H47" s="28" t="n"/>
      <c r="I47" s="28" t="n">
        <v>0.25</v>
      </c>
    </row>
    <row r="48">
      <c r="A48" s="39" t="n">
        <v>46245</v>
      </c>
      <c r="B48" s="16" t="n"/>
      <c r="C48" s="16" t="n"/>
      <c r="D48" s="16" t="n"/>
      <c r="E48" s="16" t="n">
        <v>0.75</v>
      </c>
      <c r="F48" s="16" t="n">
        <v>0.625</v>
      </c>
      <c r="G48" s="16" t="n">
        <v>0.5</v>
      </c>
      <c r="H48" s="16" t="n">
        <v>0.375</v>
      </c>
      <c r="I48" s="16" t="n">
        <v>0.25</v>
      </c>
    </row>
    <row r="49">
      <c r="A49" s="41" t="n">
        <v>46246</v>
      </c>
      <c r="B49" s="28" t="n"/>
      <c r="C49" s="28" t="n"/>
      <c r="D49" s="28" t="n"/>
      <c r="E49" s="28" t="n">
        <v>0.75</v>
      </c>
      <c r="F49" s="28" t="n">
        <v>0.625</v>
      </c>
      <c r="G49" s="28" t="n">
        <v>0.5</v>
      </c>
      <c r="H49" s="28" t="n">
        <v>0.375</v>
      </c>
      <c r="I49" s="28" t="n">
        <v>0.25</v>
      </c>
    </row>
    <row r="50">
      <c r="A50" s="39" t="n">
        <v>46247</v>
      </c>
      <c r="B50" s="16" t="n"/>
      <c r="C50" s="16" t="n"/>
      <c r="D50" s="16" t="n"/>
      <c r="E50" s="16" t="n">
        <v>0.75</v>
      </c>
      <c r="F50" s="16" t="n">
        <v>0.625</v>
      </c>
      <c r="G50" s="16" t="n">
        <v>0.5</v>
      </c>
      <c r="H50" s="16" t="n">
        <v>0.375</v>
      </c>
      <c r="I50" s="16" t="n">
        <v>0.25</v>
      </c>
    </row>
    <row r="51">
      <c r="A51" s="41" t="n">
        <v>46248</v>
      </c>
      <c r="B51" s="28" t="n"/>
      <c r="C51" s="28" t="n"/>
      <c r="D51" s="28" t="n"/>
      <c r="E51" s="28" t="n">
        <v>0.75</v>
      </c>
      <c r="F51" s="28" t="n">
        <v>0.625</v>
      </c>
      <c r="G51" s="28" t="n">
        <v>0.5</v>
      </c>
      <c r="H51" s="28" t="n">
        <v>0.375</v>
      </c>
      <c r="I51" s="28" t="n">
        <v>0.25</v>
      </c>
    </row>
    <row r="52">
      <c r="A52" s="39" t="n">
        <v>46249</v>
      </c>
      <c r="B52" s="16" t="n"/>
      <c r="C52" s="16" t="n"/>
      <c r="D52" s="16" t="n"/>
      <c r="E52" s="16" t="n">
        <v>0.75</v>
      </c>
      <c r="F52" s="16" t="n">
        <v>0.625</v>
      </c>
      <c r="G52" s="16" t="n">
        <v>0.5</v>
      </c>
      <c r="H52" s="16" t="n">
        <v>0.375</v>
      </c>
      <c r="I52" s="16" t="n">
        <v>0.25</v>
      </c>
    </row>
    <row r="53">
      <c r="A53" s="41" t="n">
        <v>46252</v>
      </c>
      <c r="B53" s="28" t="n"/>
      <c r="C53" s="28" t="n"/>
      <c r="D53" s="28" t="n"/>
      <c r="E53" s="28" t="n">
        <v>0.75</v>
      </c>
      <c r="F53" s="28" t="n">
        <v>0.625</v>
      </c>
      <c r="G53" s="28" t="n">
        <v>0.5</v>
      </c>
      <c r="H53" s="28" t="n">
        <v>0.375</v>
      </c>
      <c r="I53" s="28" t="n">
        <v>0.25</v>
      </c>
    </row>
    <row r="54">
      <c r="A54" s="39" t="n">
        <v>46253</v>
      </c>
      <c r="B54" s="16" t="n"/>
      <c r="C54" s="16" t="n"/>
      <c r="D54" s="16" t="n"/>
      <c r="E54" s="16" t="n">
        <v>0.75</v>
      </c>
      <c r="F54" s="16" t="n">
        <v>0.625</v>
      </c>
      <c r="G54" s="16" t="n">
        <v>0.5</v>
      </c>
      <c r="H54" s="16" t="n">
        <v>0.375</v>
      </c>
      <c r="I54" s="16" t="n">
        <v>0.25</v>
      </c>
    </row>
    <row r="55">
      <c r="A55" s="41" t="n">
        <v>46254</v>
      </c>
      <c r="B55" s="28" t="n"/>
      <c r="C55" s="28" t="n"/>
      <c r="D55" s="28" t="n"/>
      <c r="E55" s="28" t="n">
        <v>0.75</v>
      </c>
      <c r="F55" s="28" t="n">
        <v>0.625</v>
      </c>
      <c r="G55" s="28" t="n">
        <v>0.5</v>
      </c>
      <c r="H55" s="28" t="n">
        <v>0.375</v>
      </c>
      <c r="I55" s="28" t="n">
        <v>0.25</v>
      </c>
    </row>
    <row r="56">
      <c r="A56" s="39" t="n">
        <v>46255</v>
      </c>
      <c r="B56" s="16" t="n"/>
      <c r="C56" s="16" t="n"/>
      <c r="D56" s="16" t="n"/>
      <c r="E56" s="16" t="n">
        <v>0.75</v>
      </c>
      <c r="F56" s="16" t="n">
        <v>0.625</v>
      </c>
      <c r="G56" s="16" t="n">
        <v>0.5</v>
      </c>
      <c r="H56" s="16" t="n">
        <v>0.375</v>
      </c>
      <c r="I56" s="16" t="n">
        <v>0.25</v>
      </c>
    </row>
    <row r="57">
      <c r="A57" s="41" t="n">
        <v>46256</v>
      </c>
      <c r="B57" s="28" t="n"/>
      <c r="C57" s="28" t="n"/>
      <c r="D57" s="28" t="n"/>
      <c r="E57" s="28" t="n">
        <v>0.755</v>
      </c>
      <c r="F57" s="28" t="n">
        <v>0.625</v>
      </c>
      <c r="G57" s="28" t="n">
        <v>0.505</v>
      </c>
      <c r="H57" s="28" t="n">
        <v>0.375</v>
      </c>
      <c r="I57" s="28" t="n">
        <v>0.255</v>
      </c>
    </row>
    <row r="58">
      <c r="A58" s="39" t="n">
        <v>46261</v>
      </c>
      <c r="B58" s="16" t="n"/>
      <c r="C58" s="16" t="n"/>
      <c r="D58" s="16" t="n"/>
      <c r="E58" s="16" t="n">
        <v>0.755</v>
      </c>
      <c r="F58" s="16" t="n">
        <v>0.625</v>
      </c>
      <c r="G58" s="16" t="n">
        <v>0.505</v>
      </c>
      <c r="H58" s="16" t="n">
        <v>0.375</v>
      </c>
      <c r="I58" s="16" t="n">
        <v>0.255</v>
      </c>
    </row>
    <row r="59">
      <c r="A59" s="41" t="n">
        <v>46262</v>
      </c>
      <c r="B59" s="28" t="n"/>
      <c r="C59" s="28" t="n"/>
      <c r="D59" s="28" t="n"/>
      <c r="E59" s="28" t="n">
        <v>0.755</v>
      </c>
      <c r="F59" s="28" t="n">
        <v>0.625</v>
      </c>
      <c r="G59" s="28" t="n">
        <v>0.505</v>
      </c>
      <c r="H59" s="28" t="n">
        <v>0.375</v>
      </c>
      <c r="I59" s="28" t="n">
        <v>0.255</v>
      </c>
    </row>
    <row r="60">
      <c r="A60" s="39" t="n">
        <v>46266</v>
      </c>
      <c r="B60" s="16" t="n"/>
      <c r="C60" s="16" t="n"/>
      <c r="D60" s="16" t="n"/>
      <c r="E60" s="16" t="n">
        <v>0.755</v>
      </c>
      <c r="F60" s="16" t="n">
        <v>0.625</v>
      </c>
      <c r="G60" s="16" t="n">
        <v>0.505</v>
      </c>
      <c r="H60" s="16" t="n">
        <v>0.375</v>
      </c>
      <c r="I60" s="16" t="n">
        <v>0.255</v>
      </c>
    </row>
    <row r="61">
      <c r="A61" s="41" t="n">
        <v>46267</v>
      </c>
      <c r="B61" s="28" t="n"/>
      <c r="C61" s="28" t="n"/>
      <c r="D61" s="28" t="n"/>
      <c r="E61" s="28" t="n">
        <v>0.755</v>
      </c>
      <c r="F61" s="28" t="n">
        <v>0.625</v>
      </c>
      <c r="G61" s="28" t="n">
        <v>0.505</v>
      </c>
      <c r="H61" s="28" t="n">
        <v>0.375</v>
      </c>
      <c r="I61" s="28" t="n">
        <v>0.255</v>
      </c>
    </row>
    <row r="62">
      <c r="A62" s="39" t="n">
        <v>46268</v>
      </c>
      <c r="B62" s="16" t="n"/>
      <c r="C62" s="16" t="n"/>
      <c r="D62" s="16" t="n"/>
      <c r="E62" s="16" t="n">
        <v>0.755</v>
      </c>
      <c r="F62" s="16" t="n">
        <v>0.625</v>
      </c>
      <c r="G62" s="16" t="n">
        <v>0.505</v>
      </c>
      <c r="H62" s="16" t="n">
        <v>0.375</v>
      </c>
      <c r="I62" s="16" t="n">
        <v>0.255</v>
      </c>
    </row>
    <row r="63">
      <c r="A63" s="41" t="n">
        <v>46269</v>
      </c>
      <c r="B63" s="28" t="n"/>
      <c r="C63" s="28" t="n"/>
      <c r="D63" s="28" t="n"/>
      <c r="E63" s="28" t="n">
        <v>0.755</v>
      </c>
      <c r="F63" s="28" t="n">
        <v>0.625</v>
      </c>
      <c r="G63" s="28" t="n">
        <v>0.505</v>
      </c>
      <c r="H63" s="28" t="n">
        <v>0.375</v>
      </c>
      <c r="I63" s="28" t="n">
        <v>0.255</v>
      </c>
    </row>
    <row r="64">
      <c r="A64" s="39" t="n">
        <v>46270</v>
      </c>
      <c r="B64" s="16" t="n"/>
      <c r="C64" s="16" t="n"/>
      <c r="D64" s="16" t="n"/>
      <c r="E64" s="16" t="n">
        <v>0.755</v>
      </c>
      <c r="F64" s="16" t="n">
        <v>0.625</v>
      </c>
      <c r="G64" s="16" t="n">
        <v>0.505</v>
      </c>
      <c r="H64" s="16" t="n">
        <v>0.375</v>
      </c>
      <c r="I64" s="16" t="n">
        <v>0.255</v>
      </c>
    </row>
    <row r="65">
      <c r="A65" s="41" t="n">
        <v>46275</v>
      </c>
      <c r="B65" s="28" t="n"/>
      <c r="C65" s="28" t="n"/>
      <c r="D65" s="28" t="n"/>
      <c r="E65" s="28" t="n">
        <v>0.755</v>
      </c>
      <c r="F65" s="28" t="n">
        <v>0.625</v>
      </c>
      <c r="G65" s="28" t="n">
        <v>0.505</v>
      </c>
      <c r="H65" s="28" t="n">
        <v>0.375</v>
      </c>
      <c r="I65" s="28" t="n">
        <v>0.255</v>
      </c>
    </row>
    <row r="66">
      <c r="A66" s="39" t="n">
        <v>46276</v>
      </c>
      <c r="B66" s="16" t="n"/>
      <c r="C66" s="16" t="n"/>
      <c r="D66" s="16" t="n"/>
      <c r="E66" s="16" t="n">
        <v>0.755</v>
      </c>
      <c r="F66" s="16" t="n">
        <v>0.625</v>
      </c>
      <c r="G66" s="16" t="n">
        <v>0.505</v>
      </c>
      <c r="H66" s="16" t="n">
        <v>0.375</v>
      </c>
      <c r="I66" s="16" t="n">
        <v>0.255</v>
      </c>
    </row>
    <row r="67">
      <c r="A67" s="41" t="n">
        <v>46277</v>
      </c>
      <c r="B67" s="28" t="n"/>
      <c r="C67" s="28" t="n"/>
      <c r="D67" s="28" t="n"/>
      <c r="E67" s="28" t="n">
        <v>0.755</v>
      </c>
      <c r="F67" s="28" t="n">
        <v>0.625</v>
      </c>
      <c r="G67" s="28" t="n">
        <v>0.505</v>
      </c>
      <c r="H67" s="28" t="n">
        <v>0.375</v>
      </c>
      <c r="I67" s="28" t="n">
        <v>0.255</v>
      </c>
    </row>
    <row r="68">
      <c r="A68" s="39" t="n">
        <v>46278</v>
      </c>
      <c r="B68" s="16" t="n"/>
      <c r="C68" s="16" t="n"/>
      <c r="D68" s="16" t="n"/>
      <c r="E68" s="16" t="n">
        <v>0.755</v>
      </c>
      <c r="F68" s="16" t="n">
        <v>0.625</v>
      </c>
      <c r="G68" s="16" t="n">
        <v>0.505</v>
      </c>
      <c r="H68" s="16" t="n">
        <v>0.375</v>
      </c>
      <c r="I68" s="16" t="n">
        <v>0.255</v>
      </c>
    </row>
    <row r="69">
      <c r="A69" s="41" t="n">
        <v>46282</v>
      </c>
      <c r="B69" s="28" t="n"/>
      <c r="C69" s="28" t="n"/>
      <c r="D69" s="28" t="n"/>
      <c r="E69" s="28" t="n">
        <v>0.755</v>
      </c>
      <c r="F69" s="28" t="n">
        <v>0.625</v>
      </c>
      <c r="G69" s="28" t="n">
        <v>0.505</v>
      </c>
      <c r="H69" s="28" t="n">
        <v>0.375</v>
      </c>
      <c r="I69" s="28" t="n">
        <v>0.255</v>
      </c>
    </row>
    <row r="70">
      <c r="A70" s="39" t="n">
        <v>46283</v>
      </c>
      <c r="B70" s="16" t="n"/>
      <c r="C70" s="16" t="n"/>
      <c r="D70" s="16" t="n"/>
      <c r="E70" s="16" t="n">
        <v>0.755</v>
      </c>
      <c r="F70" s="16" t="n">
        <v>0.625</v>
      </c>
      <c r="G70" s="16" t="n">
        <v>0.505</v>
      </c>
      <c r="H70" s="16" t="n">
        <v>0.375</v>
      </c>
      <c r="I70" s="16" t="n">
        <v>0.255</v>
      </c>
    </row>
    <row r="71">
      <c r="A71" s="41" t="n">
        <v>46284</v>
      </c>
      <c r="B71" s="28" t="n"/>
      <c r="C71" s="28" t="n"/>
      <c r="D71" s="28" t="n"/>
      <c r="E71" s="28" t="n">
        <v>0.755</v>
      </c>
      <c r="F71" s="28" t="n">
        <v>0.625</v>
      </c>
      <c r="G71" s="28" t="n">
        <v>0.505</v>
      </c>
      <c r="H71" s="28" t="n">
        <v>0.375</v>
      </c>
      <c r="I71" s="28" t="n">
        <v>0.255</v>
      </c>
    </row>
    <row r="72">
      <c r="A72" s="39" t="n">
        <v>46285</v>
      </c>
      <c r="B72" s="16" t="n"/>
      <c r="C72" s="16" t="n"/>
      <c r="D72" s="16" t="n"/>
      <c r="E72" s="16" t="n">
        <v>0.755</v>
      </c>
      <c r="F72" s="16" t="n">
        <v>0.625</v>
      </c>
      <c r="G72" s="16" t="n">
        <v>0.505</v>
      </c>
      <c r="H72" s="16" t="n">
        <v>0.375</v>
      </c>
      <c r="I72" s="16" t="n">
        <v>0.255</v>
      </c>
    </row>
    <row r="73">
      <c r="A73" s="41" t="n">
        <v>46288</v>
      </c>
      <c r="B73" s="28" t="n"/>
      <c r="C73" s="28" t="n"/>
      <c r="D73" s="28" t="n"/>
      <c r="E73" s="28" t="n">
        <v>0.755</v>
      </c>
      <c r="F73" s="28" t="n">
        <v>0.625</v>
      </c>
      <c r="G73" s="28" t="n">
        <v>0.505</v>
      </c>
      <c r="H73" s="28" t="n">
        <v>0.375</v>
      </c>
      <c r="I73" s="28" t="n">
        <v>0.255</v>
      </c>
    </row>
    <row r="74">
      <c r="A74" s="39" t="n">
        <v>46289</v>
      </c>
      <c r="B74" s="16" t="n"/>
      <c r="C74" s="16" t="n"/>
      <c r="D74" s="16" t="n"/>
      <c r="E74" s="16" t="n">
        <v>0.755</v>
      </c>
      <c r="F74" s="16" t="n">
        <v>0.625</v>
      </c>
      <c r="G74" s="16" t="n">
        <v>0.505</v>
      </c>
      <c r="H74" s="16" t="n">
        <v>0.375</v>
      </c>
      <c r="I74" s="16" t="n">
        <v>0.255</v>
      </c>
    </row>
    <row r="75">
      <c r="A75" s="41" t="n">
        <v>46290</v>
      </c>
      <c r="B75" s="28" t="n"/>
      <c r="C75" s="28" t="n"/>
      <c r="D75" s="28" t="n"/>
      <c r="E75" s="28" t="n">
        <v>0.5</v>
      </c>
      <c r="F75" s="28" t="n">
        <v>0.5</v>
      </c>
      <c r="G75" s="28" t="n">
        <v>0.5</v>
      </c>
      <c r="H75" s="28" t="n">
        <v>0.5</v>
      </c>
      <c r="I75" s="28" t="n">
        <v>0.5</v>
      </c>
    </row>
    <row r="76">
      <c r="A76" s="39" t="n">
        <v>46291</v>
      </c>
      <c r="B76" s="16" t="n"/>
      <c r="C76" s="16" t="n"/>
      <c r="D76" s="16" t="n"/>
      <c r="E76" s="16" t="n">
        <v>0.305</v>
      </c>
      <c r="F76" s="16" t="n">
        <v>0.245</v>
      </c>
      <c r="G76" s="16" t="n">
        <v>0.155</v>
      </c>
      <c r="H76" s="16" t="n">
        <v>0.095</v>
      </c>
      <c r="I76" s="16" t="n">
        <v>0.075</v>
      </c>
    </row>
    <row r="77">
      <c r="A77" s="41" t="n">
        <v>46293</v>
      </c>
      <c r="B77" s="28" t="n"/>
      <c r="C77" s="28" t="n"/>
      <c r="D77" s="28" t="n"/>
      <c r="E77" s="28" t="n"/>
      <c r="F77" s="28" t="n"/>
      <c r="G77" s="28" t="n">
        <v>0.155</v>
      </c>
      <c r="H77" s="28" t="n">
        <v>0.095</v>
      </c>
      <c r="I77" s="28" t="n">
        <v>0.075</v>
      </c>
    </row>
    <row r="78">
      <c r="A78" s="39" t="n">
        <v>46295</v>
      </c>
      <c r="B78" s="16" t="n"/>
      <c r="C78" s="16" t="n"/>
      <c r="D78" s="16" t="n"/>
      <c r="E78" s="16" t="n">
        <v>0.305</v>
      </c>
      <c r="F78" s="16" t="n">
        <v>0.245</v>
      </c>
      <c r="G78" s="16" t="n">
        <v>0.155</v>
      </c>
      <c r="H78" s="16" t="n">
        <v>0.095</v>
      </c>
      <c r="I78" s="16" t="n">
        <v>0.075</v>
      </c>
    </row>
    <row r="79">
      <c r="A79" s="41" t="n">
        <v>46296</v>
      </c>
      <c r="B79" s="28" t="n"/>
      <c r="C79" s="28" t="n"/>
      <c r="D79" s="28" t="n"/>
      <c r="E79" s="28" t="n"/>
      <c r="F79" s="28" t="n">
        <v>0.25</v>
      </c>
      <c r="G79" s="28" t="n"/>
      <c r="H79" s="28" t="n"/>
      <c r="I79" s="28" t="n"/>
    </row>
    <row r="80">
      <c r="A80" s="39" t="n">
        <v>46297</v>
      </c>
      <c r="B80" s="16" t="n"/>
      <c r="C80" s="16" t="n"/>
      <c r="D80" s="16" t="n"/>
      <c r="E80" s="16" t="n">
        <v>0.305</v>
      </c>
      <c r="F80" s="16" t="n">
        <v>0.25</v>
      </c>
      <c r="G80" s="16" t="n">
        <v>0.155</v>
      </c>
      <c r="H80" s="16" t="n">
        <v>0.095</v>
      </c>
      <c r="I80" s="16" t="n">
        <v>0.075</v>
      </c>
    </row>
    <row r="81">
      <c r="A81" s="41" t="n">
        <v>46302</v>
      </c>
      <c r="B81" s="28" t="n"/>
      <c r="C81" s="28" t="n"/>
      <c r="D81" s="28" t="n"/>
      <c r="E81" s="28" t="n">
        <v>0.305</v>
      </c>
      <c r="F81" s="28" t="n">
        <v>0.25</v>
      </c>
      <c r="G81" s="28" t="n">
        <v>0.155</v>
      </c>
      <c r="H81" s="28" t="n">
        <v>0.095</v>
      </c>
      <c r="I81" s="28" t="n">
        <v>0.075</v>
      </c>
    </row>
    <row r="82">
      <c r="A82" s="39" t="n">
        <v>46304</v>
      </c>
      <c r="B82" s="16" t="n"/>
      <c r="C82" s="16" t="n"/>
      <c r="D82" s="16" t="n"/>
      <c r="E82" s="16" t="n">
        <v>0.305</v>
      </c>
      <c r="F82" s="16" t="n">
        <v>0.25</v>
      </c>
      <c r="G82" s="16" t="n">
        <v>0.155</v>
      </c>
      <c r="H82" s="16" t="n">
        <v>0.095</v>
      </c>
      <c r="I82" s="16" t="n">
        <v>0.075</v>
      </c>
    </row>
    <row r="83">
      <c r="A83" s="41" t="n">
        <v>46305</v>
      </c>
      <c r="B83" s="28" t="n"/>
      <c r="C83" s="28" t="n"/>
      <c r="D83" s="28" t="n"/>
      <c r="E83" s="28" t="n">
        <v>0.305</v>
      </c>
      <c r="F83" s="28" t="n">
        <v>0.25</v>
      </c>
      <c r="G83" s="28" t="n">
        <v>0.155</v>
      </c>
      <c r="H83" s="28" t="n">
        <v>0.095</v>
      </c>
      <c r="I83" s="28" t="n">
        <v>0.075</v>
      </c>
    </row>
    <row r="84">
      <c r="A84" s="39" t="n">
        <v>46306</v>
      </c>
      <c r="B84" s="16" t="n">
        <v>0.965</v>
      </c>
      <c r="C84" s="16" t="n">
        <v>0.8149999999999999</v>
      </c>
      <c r="D84" s="16" t="n">
        <v>0.655</v>
      </c>
      <c r="E84" s="16" t="n">
        <v>0.375</v>
      </c>
      <c r="F84" s="16" t="n">
        <v>0.295</v>
      </c>
      <c r="G84" s="16" t="n">
        <v>0.175</v>
      </c>
      <c r="H84" s="16" t="n">
        <v>0.095</v>
      </c>
      <c r="I84" s="16" t="n">
        <v>0.065</v>
      </c>
    </row>
    <row r="85">
      <c r="A85" s="2" t="inlineStr">
        <is>
          <t>Columns are nested, not exclusive: each is P(turnout ≥ that threshold), so within a row they must fall from left to right. Kalshi began quoting this ladder on 2026-05-08.</t>
        </is>
      </c>
    </row>
  </sheetData>
  <mergeCells count="7">
    <mergeCell ref="A85:J85"/>
    <mergeCell ref="B5:G5"/>
    <mergeCell ref="B9:G9"/>
    <mergeCell ref="A30:J30"/>
    <mergeCell ref="B8:G8"/>
    <mergeCell ref="B7:G7"/>
    <mergeCell ref="B6:G6"/>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86"/>
  <sheetViews>
    <sheetView showGridLines="0" workbookViewId="0">
      <pane xSplit="1" ySplit="32" topLeftCell="B3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2" customWidth="1" min="2" max="2"/>
    <col width="12" customWidth="1" min="3" max="3"/>
    <col width="13" customWidth="1" min="4" max="4"/>
    <col width="12" customWidth="1" min="5" max="5"/>
    <col width="14" customWidth="1" min="6" max="6"/>
    <col width="12" customWidth="1" min="7" max="7"/>
    <col width="14" customWidth="1" min="8" max="8"/>
    <col width="13" customWidth="1" min="9" max="9"/>
    <col width="13" customWidth="1" min="10" max="10"/>
  </cols>
  <sheetData>
    <row r="1">
      <c r="A1" s="1" t="inlineStr">
        <is>
          <t>PA Democratic House Seats — Kalshi (KXHOUSEWINSTATE-PAD)</t>
        </is>
      </c>
    </row>
    <row r="2">
      <c r="A2" s="2" t="inlineStr">
        <is>
          <t>How many of Pennsylvania's 17 House seats Democrats win on 3 Nov 2026. PA-07 is one of the seats in this count, so the ladder is a state-level read on the same question. Pulled 2026-10-12 02:24 UTC.</t>
        </is>
      </c>
    </row>
    <row r="4">
      <c r="A4" s="3" t="inlineStr">
        <is>
          <t>MARKET METADATA</t>
        </is>
      </c>
      <c r="B4" s="4" t="n"/>
      <c r="C4" s="4" t="n"/>
      <c r="D4" s="4" t="n"/>
      <c r="E4" s="4" t="n"/>
      <c r="F4" s="4" t="n"/>
      <c r="G4" s="4" t="n"/>
      <c r="H4" s="4" t="n"/>
      <c r="I4" s="4" t="n"/>
      <c r="J4" s="4" t="n"/>
    </row>
    <row r="5">
      <c r="A5" s="6" t="inlineStr">
        <is>
          <t>Event</t>
        </is>
      </c>
      <c r="B5" s="26" t="inlineStr">
        <is>
          <t>KXHOUSEWINSTATE-PAD</t>
        </is>
      </c>
      <c r="C5" s="66" t="n"/>
      <c r="D5" s="66" t="n"/>
      <c r="E5" s="66" t="n"/>
      <c r="F5" s="66" t="n"/>
      <c r="G5" s="67" t="n"/>
    </row>
    <row r="6">
      <c r="A6" s="6" t="inlineStr">
        <is>
          <t>Question</t>
        </is>
      </c>
      <c r="B6" s="26" t="inlineStr">
        <is>
          <t>How many House seats will Democrats win in Pennsylvania?</t>
        </is>
      </c>
      <c r="C6" s="66" t="n"/>
      <c r="D6" s="66" t="n"/>
      <c r="E6" s="66" t="n"/>
      <c r="F6" s="66" t="n"/>
      <c r="G6" s="67" t="n"/>
    </row>
    <row r="7">
      <c r="A7" s="6" t="inlineStr">
        <is>
          <t>Resolution</t>
        </is>
      </c>
      <c r="B7" s="26" t="inlineStr">
        <is>
          <t>On Nov 3, 2026</t>
        </is>
      </c>
      <c r="C7" s="66" t="n"/>
      <c r="D7" s="66" t="n"/>
      <c r="E7" s="66" t="n"/>
      <c r="F7" s="66" t="n"/>
      <c r="G7" s="67" t="n"/>
    </row>
    <row r="8">
      <c r="A8" s="6" t="inlineStr">
        <is>
          <t>Series</t>
        </is>
      </c>
      <c r="B8" s="26" t="inlineStr">
        <is>
          <t>KXHOUSEWINSTATE</t>
        </is>
      </c>
      <c r="C8" s="66" t="n"/>
      <c r="D8" s="66" t="n"/>
      <c r="E8" s="66" t="n"/>
      <c r="F8" s="66" t="n"/>
      <c r="G8" s="67" t="n"/>
    </row>
    <row r="9">
      <c r="A9" s="6" t="inlineStr">
        <is>
          <t>Brackets listed</t>
        </is>
      </c>
      <c r="B9" s="45" t="n">
        <v>8</v>
      </c>
      <c r="C9" s="66" t="n"/>
      <c r="D9" s="66" t="n"/>
      <c r="E9" s="66" t="n"/>
      <c r="F9" s="66" t="n"/>
      <c r="G9" s="67" t="n"/>
    </row>
    <row r="11">
      <c r="A11" s="3" t="inlineStr">
        <is>
          <t>LIVE BRACKET LADDER</t>
        </is>
      </c>
      <c r="B11" s="4" t="n"/>
      <c r="C11" s="4" t="n"/>
      <c r="D11" s="4" t="n"/>
      <c r="E11" s="4" t="n"/>
      <c r="F11" s="4" t="n"/>
      <c r="G11" s="4" t="n"/>
      <c r="H11" s="4" t="n"/>
      <c r="I11" s="4" t="n"/>
      <c r="J11" s="4" t="n"/>
    </row>
    <row r="12" ht="30" customHeight="1">
      <c r="A12" s="5" t="inlineStr">
        <is>
          <t>Bracket</t>
        </is>
      </c>
      <c r="B12" s="5" t="inlineStr">
        <is>
          <t>Seats (assumed)</t>
        </is>
      </c>
      <c r="C12" s="5" t="inlineStr">
        <is>
          <t>YES Bid</t>
        </is>
      </c>
      <c r="D12" s="5" t="inlineStr">
        <is>
          <t>NO Bid</t>
        </is>
      </c>
      <c r="E12" s="5" t="inlineStr">
        <is>
          <t>YES Ask</t>
        </is>
      </c>
      <c r="F12" s="5" t="inlineStr">
        <is>
          <t>Mid</t>
        </is>
      </c>
      <c r="G12" s="5" t="inlineStr">
        <is>
          <t>Normalised Prob</t>
        </is>
      </c>
      <c r="H12" s="5" t="inlineStr">
        <is>
          <t>Cumulative</t>
        </is>
      </c>
      <c r="I12" s="5" t="inlineStr">
        <is>
          <t>Prob × Seats</t>
        </is>
      </c>
      <c r="J12" s="5" t="inlineStr"/>
    </row>
    <row r="13">
      <c r="A13" s="22" t="inlineStr">
        <is>
          <t>Below 7</t>
        </is>
      </c>
      <c r="B13" s="45" t="n">
        <v>6</v>
      </c>
      <c r="C13" s="16" t="n"/>
      <c r="D13" s="16" t="n">
        <v>0.99</v>
      </c>
      <c r="E13" s="20">
        <f>IF(ISNUMBER(D13),1-D13,"")</f>
        <v/>
      </c>
      <c r="F13" s="17">
        <f>IF(COUNT(C13,E13)=2,(C13+E13)/2,IF(ISNUMBER(E13),E13/2,""))</f>
        <v/>
      </c>
      <c r="G13" s="17">
        <f>IFERROR(F13/$F$21,"")</f>
        <v/>
      </c>
      <c r="H13" s="20">
        <f>IFERROR(SUM($G$13:G13),"")</f>
        <v/>
      </c>
      <c r="I13" s="75">
        <f>IFERROR(G13*B13,"")</f>
        <v/>
      </c>
    </row>
    <row r="14">
      <c r="A14" s="22" t="inlineStr">
        <is>
          <t>7</t>
        </is>
      </c>
      <c r="B14" s="45" t="n">
        <v>7</v>
      </c>
      <c r="C14" s="16" t="n">
        <v>0.02</v>
      </c>
      <c r="D14" s="16" t="n">
        <v>0.9399999999999999</v>
      </c>
      <c r="E14" s="20">
        <f>IF(ISNUMBER(D14),1-D14,"")</f>
        <v/>
      </c>
      <c r="F14" s="17">
        <f>IF(COUNT(C14,E14)=2,(C14+E14)/2,IF(ISNUMBER(E14),E14/2,""))</f>
        <v/>
      </c>
      <c r="G14" s="17">
        <f>IFERROR(F14/$F$21,"")</f>
        <v/>
      </c>
      <c r="H14" s="20">
        <f>IFERROR(SUM($G$13:G14),"")</f>
        <v/>
      </c>
      <c r="I14" s="75">
        <f>IFERROR(G14*B14,"")</f>
        <v/>
      </c>
    </row>
    <row r="15">
      <c r="A15" s="22" t="inlineStr">
        <is>
          <t>8</t>
        </is>
      </c>
      <c r="B15" s="45" t="n">
        <v>8</v>
      </c>
      <c r="C15" s="16" t="n">
        <v>0.03</v>
      </c>
      <c r="D15" s="16" t="n">
        <v>0.91</v>
      </c>
      <c r="E15" s="20">
        <f>IF(ISNUMBER(D15),1-D15,"")</f>
        <v/>
      </c>
      <c r="F15" s="17">
        <f>IF(COUNT(C15,E15)=2,(C15+E15)/2,IF(ISNUMBER(E15),E15/2,""))</f>
        <v/>
      </c>
      <c r="G15" s="17">
        <f>IFERROR(F15/$F$21,"")</f>
        <v/>
      </c>
      <c r="H15" s="20">
        <f>IFERROR(SUM($G$13:G15),"")</f>
        <v/>
      </c>
      <c r="I15" s="75">
        <f>IFERROR(G15*B15,"")</f>
        <v/>
      </c>
    </row>
    <row r="16">
      <c r="A16" s="22" t="inlineStr">
        <is>
          <t>9</t>
        </is>
      </c>
      <c r="B16" s="45" t="n">
        <v>9</v>
      </c>
      <c r="C16" s="16" t="n">
        <v>0.19</v>
      </c>
      <c r="D16" s="16" t="n">
        <v>0.78</v>
      </c>
      <c r="E16" s="20">
        <f>IF(ISNUMBER(D16),1-D16,"")</f>
        <v/>
      </c>
      <c r="F16" s="17">
        <f>IF(COUNT(C16,E16)=2,(C16+E16)/2,IF(ISNUMBER(E16),E16/2,""))</f>
        <v/>
      </c>
      <c r="G16" s="17">
        <f>IFERROR(F16/$F$21,"")</f>
        <v/>
      </c>
      <c r="H16" s="20">
        <f>IFERROR(SUM($G$13:G16),"")</f>
        <v/>
      </c>
      <c r="I16" s="75">
        <f>IFERROR(G16*B16,"")</f>
        <v/>
      </c>
    </row>
    <row r="17">
      <c r="A17" s="22" t="inlineStr">
        <is>
          <t>10</t>
        </is>
      </c>
      <c r="B17" s="45" t="n">
        <v>10</v>
      </c>
      <c r="C17" s="16" t="n">
        <v>0.21</v>
      </c>
      <c r="D17" s="16" t="n">
        <v>0.76</v>
      </c>
      <c r="E17" s="20">
        <f>IF(ISNUMBER(D17),1-D17,"")</f>
        <v/>
      </c>
      <c r="F17" s="17">
        <f>IF(COUNT(C17,E17)=2,(C17+E17)/2,IF(ISNUMBER(E17),E17/2,""))</f>
        <v/>
      </c>
      <c r="G17" s="17">
        <f>IFERROR(F17/$F$21,"")</f>
        <v/>
      </c>
      <c r="H17" s="20">
        <f>IFERROR(SUM($G$13:G17),"")</f>
        <v/>
      </c>
      <c r="I17" s="75">
        <f>IFERROR(G17*B17,"")</f>
        <v/>
      </c>
    </row>
    <row r="18">
      <c r="A18" s="22" t="inlineStr">
        <is>
          <t>11</t>
        </is>
      </c>
      <c r="B18" s="45" t="n">
        <v>11</v>
      </c>
      <c r="C18" s="16" t="n">
        <v>0.38</v>
      </c>
      <c r="D18" s="16" t="n">
        <v>0.58</v>
      </c>
      <c r="E18" s="20">
        <f>IF(ISNUMBER(D18),1-D18,"")</f>
        <v/>
      </c>
      <c r="F18" s="17">
        <f>IF(COUNT(C18,E18)=2,(C18+E18)/2,IF(ISNUMBER(E18),E18/2,""))</f>
        <v/>
      </c>
      <c r="G18" s="17">
        <f>IFERROR(F18/$F$21,"")</f>
        <v/>
      </c>
      <c r="H18" s="20">
        <f>IFERROR(SUM($G$13:G18),"")</f>
        <v/>
      </c>
      <c r="I18" s="75">
        <f>IFERROR(G18*B18,"")</f>
        <v/>
      </c>
    </row>
    <row r="19">
      <c r="A19" s="22" t="inlineStr">
        <is>
          <t>12</t>
        </is>
      </c>
      <c r="B19" s="45" t="n">
        <v>12</v>
      </c>
      <c r="C19" s="16" t="n">
        <v>0.02</v>
      </c>
      <c r="D19" s="16" t="n">
        <v>0.96</v>
      </c>
      <c r="E19" s="20">
        <f>IF(ISNUMBER(D19),1-D19,"")</f>
        <v/>
      </c>
      <c r="F19" s="17">
        <f>IF(COUNT(C19,E19)=2,(C19+E19)/2,IF(ISNUMBER(E19),E19/2,""))</f>
        <v/>
      </c>
      <c r="G19" s="17">
        <f>IFERROR(F19/$F$21,"")</f>
        <v/>
      </c>
      <c r="H19" s="20">
        <f>IFERROR(SUM($G$13:G19),"")</f>
        <v/>
      </c>
      <c r="I19" s="75">
        <f>IFERROR(G19*B19,"")</f>
        <v/>
      </c>
    </row>
    <row r="20">
      <c r="A20" s="22" t="inlineStr">
        <is>
          <t>Above 12</t>
        </is>
      </c>
      <c r="B20" s="45" t="n">
        <v>13</v>
      </c>
      <c r="C20" s="16" t="n">
        <v>0.02</v>
      </c>
      <c r="D20" s="16" t="n">
        <v>0.95</v>
      </c>
      <c r="E20" s="20">
        <f>IF(ISNUMBER(D20),1-D20,"")</f>
        <v/>
      </c>
      <c r="F20" s="17">
        <f>IF(COUNT(C20,E20)=2,(C20+E20)/2,IF(ISNUMBER(E20),E20/2,""))</f>
        <v/>
      </c>
      <c r="G20" s="17">
        <f>IFERROR(F20/$F$21,"")</f>
        <v/>
      </c>
      <c r="H20" s="20">
        <f>IFERROR(SUM($G$13:G20),"")</f>
        <v/>
      </c>
      <c r="I20" s="75">
        <f>IFERROR(G20*B20,"")</f>
        <v/>
      </c>
    </row>
    <row r="21">
      <c r="A21" s="22" t="inlineStr">
        <is>
          <t>TOTAL</t>
        </is>
      </c>
      <c r="F21" s="23">
        <f>SUM(F13:F20)</f>
        <v/>
      </c>
      <c r="G21" s="79">
        <f>SUM(G13:G20)</f>
        <v/>
      </c>
      <c r="I21" s="81">
        <f>SUM(I13:I20)</f>
        <v/>
      </c>
    </row>
    <row r="23">
      <c r="A23" s="3" t="inlineStr">
        <is>
          <t>IMPLIED READ</t>
        </is>
      </c>
      <c r="B23" s="4" t="n"/>
      <c r="C23" s="4" t="n"/>
      <c r="D23" s="4" t="n"/>
      <c r="E23" s="4" t="n"/>
      <c r="F23" s="4" t="n"/>
      <c r="G23" s="4" t="n"/>
      <c r="H23" s="4" t="n"/>
      <c r="I23" s="4" t="n"/>
      <c r="J23" s="4" t="n"/>
    </row>
    <row r="24">
      <c r="A24" s="6" t="inlineStr">
        <is>
          <t>Expected Democratic seats</t>
        </is>
      </c>
      <c r="B24" s="89">
        <f>IFERROR(SUM(I13:I20),"")</f>
        <v/>
      </c>
    </row>
    <row r="25">
      <c r="A25" s="6" t="inlineStr">
        <is>
          <t>Modal bracket</t>
        </is>
      </c>
      <c r="B25" s="6">
        <f>IFERROR(INDEX($A$13:$A$20,MATCH(MAX($G$13:$G$20),$G$13:$G$20,0)),"")</f>
        <v/>
      </c>
    </row>
    <row r="26">
      <c r="A26" s="6" t="inlineStr">
        <is>
          <t>P(9 or more seats)</t>
        </is>
      </c>
      <c r="B26" s="17">
        <f>IFERROR(SUMIF($B$13:$B$20,"&gt;=9",$G$13:$G$20),"")</f>
        <v/>
      </c>
    </row>
    <row r="27">
      <c r="A27" s="6" t="inlineStr">
        <is>
          <t>PA seats held by Democrats now</t>
        </is>
      </c>
      <c r="B27" s="45" t="n">
        <v>8</v>
      </c>
    </row>
    <row r="28">
      <c r="A28" s="6" t="inlineStr">
        <is>
          <t>Implied net gain</t>
        </is>
      </c>
      <c r="B28" s="90">
        <f>IFERROR(B24-B27,"")</f>
        <v/>
      </c>
    </row>
    <row r="29">
      <c r="A29" s="2" t="inlineStr">
        <is>
          <t>PA's delegation is 17 seats. The 8-seat current baseline is entered by hand as the Democratic count going into the 2026 cycle — check it against the current delegation before relying on the net-gain line. A market expectation above that baseline is consistent with Democrats favoured to flip PA-07.</t>
        </is>
      </c>
    </row>
    <row r="31">
      <c r="A31" s="3" t="inlineStr">
        <is>
          <t>DAILY BRACKET HISTORY (mid of YES bid and derived ask)</t>
        </is>
      </c>
      <c r="B31" s="4" t="n"/>
      <c r="C31" s="4" t="n"/>
      <c r="D31" s="4" t="n"/>
      <c r="E31" s="4" t="n"/>
      <c r="F31" s="4" t="n"/>
      <c r="G31" s="4" t="n"/>
      <c r="H31" s="4" t="n"/>
      <c r="I31" s="4" t="n"/>
      <c r="J31" s="4" t="n"/>
    </row>
    <row r="32" ht="30" customHeight="1">
      <c r="A32" s="5" t="inlineStr">
        <is>
          <t>Date</t>
        </is>
      </c>
      <c r="B32" s="5" t="inlineStr">
        <is>
          <t>Below 7</t>
        </is>
      </c>
      <c r="C32" s="5" t="inlineStr">
        <is>
          <t>7</t>
        </is>
      </c>
      <c r="D32" s="5" t="inlineStr">
        <is>
          <t>8</t>
        </is>
      </c>
      <c r="E32" s="5" t="inlineStr">
        <is>
          <t>9</t>
        </is>
      </c>
      <c r="F32" s="5" t="inlineStr">
        <is>
          <t>10</t>
        </is>
      </c>
      <c r="G32" s="5" t="inlineStr">
        <is>
          <t>11</t>
        </is>
      </c>
      <c r="H32" s="5" t="inlineStr">
        <is>
          <t>12</t>
        </is>
      </c>
      <c r="I32" s="5" t="inlineStr">
        <is>
          <t>Above 12</t>
        </is>
      </c>
      <c r="J32" s="5" t="inlineStr"/>
    </row>
    <row r="33">
      <c r="A33" s="39" t="n">
        <v>46254</v>
      </c>
      <c r="B33" s="16" t="n">
        <v>0.015</v>
      </c>
      <c r="C33" s="16" t="n">
        <v>0.025</v>
      </c>
      <c r="D33" s="16" t="n">
        <v>0.13</v>
      </c>
      <c r="E33" s="16" t="n">
        <v>0.405</v>
      </c>
      <c r="F33" s="16" t="n">
        <v>0.295</v>
      </c>
      <c r="G33" s="16" t="n">
        <v>0.145</v>
      </c>
      <c r="H33" s="16" t="n">
        <v>0.025</v>
      </c>
      <c r="I33" s="16" t="n">
        <v>0.015</v>
      </c>
    </row>
    <row r="34">
      <c r="A34" s="41" t="n">
        <v>46255</v>
      </c>
      <c r="B34" s="28" t="n">
        <v>0.015</v>
      </c>
      <c r="C34" s="28" t="n">
        <v>0.025</v>
      </c>
      <c r="D34" s="28" t="n">
        <v>0.125</v>
      </c>
      <c r="E34" s="28" t="n">
        <v>0.355</v>
      </c>
      <c r="F34" s="28" t="n">
        <v>0.295</v>
      </c>
      <c r="G34" s="28" t="n">
        <v>0.215</v>
      </c>
      <c r="H34" s="28" t="n">
        <v>0.015</v>
      </c>
      <c r="I34" s="28" t="n">
        <v>0.015</v>
      </c>
      <c r="J34" s="88" t="n"/>
    </row>
    <row r="35">
      <c r="A35" s="39" t="n">
        <v>46256</v>
      </c>
      <c r="B35" s="16" t="n">
        <v>0.015</v>
      </c>
      <c r="C35" s="16" t="n">
        <v>0.035</v>
      </c>
      <c r="D35" s="16" t="n">
        <v>0.125</v>
      </c>
      <c r="E35" s="16" t="n">
        <v>0.355</v>
      </c>
      <c r="F35" s="16" t="n">
        <v>0.295</v>
      </c>
      <c r="G35" s="16" t="n">
        <v>0.23</v>
      </c>
      <c r="H35" s="16" t="n">
        <v>0.015</v>
      </c>
      <c r="I35" s="16" t="n">
        <v>0.015</v>
      </c>
    </row>
    <row r="36">
      <c r="A36" s="41" t="n">
        <v>46257</v>
      </c>
      <c r="B36" s="28" t="n">
        <v>0.005</v>
      </c>
      <c r="C36" s="28" t="n">
        <v>0.04</v>
      </c>
      <c r="D36" s="28" t="n">
        <v>0.08500000000000001</v>
      </c>
      <c r="E36" s="28" t="n">
        <v>0.3</v>
      </c>
      <c r="F36" s="28" t="n">
        <v>0.26</v>
      </c>
      <c r="G36" s="28" t="n">
        <v>0.26</v>
      </c>
      <c r="H36" s="28" t="n">
        <v>0.015</v>
      </c>
      <c r="I36" s="28" t="n">
        <v>0.01</v>
      </c>
      <c r="J36" s="88" t="n"/>
    </row>
    <row r="37">
      <c r="A37" s="39" t="n">
        <v>46258</v>
      </c>
      <c r="B37" s="16" t="n">
        <v>0.005</v>
      </c>
      <c r="C37" s="16" t="n">
        <v>0.045</v>
      </c>
      <c r="D37" s="16" t="n">
        <v>0.065</v>
      </c>
      <c r="E37" s="16" t="n">
        <v>0.285</v>
      </c>
      <c r="F37" s="16" t="n">
        <v>0.235</v>
      </c>
      <c r="G37" s="16" t="n">
        <v>0.255</v>
      </c>
      <c r="H37" s="16" t="n">
        <v>0.035</v>
      </c>
      <c r="I37" s="16" t="n">
        <v>0.01</v>
      </c>
    </row>
    <row r="38">
      <c r="A38" s="41" t="n">
        <v>46259</v>
      </c>
      <c r="B38" s="28" t="n"/>
      <c r="C38" s="28" t="n">
        <v>0.045</v>
      </c>
      <c r="D38" s="28" t="n">
        <v>0.06</v>
      </c>
      <c r="E38" s="28" t="n">
        <v>0.305</v>
      </c>
      <c r="F38" s="28" t="n">
        <v>0.235</v>
      </c>
      <c r="G38" s="28" t="n">
        <v>0.255</v>
      </c>
      <c r="H38" s="28" t="n">
        <v>0.035</v>
      </c>
      <c r="I38" s="28" t="n"/>
      <c r="J38" s="88" t="n"/>
    </row>
    <row r="39">
      <c r="A39" s="39" t="n">
        <v>46260</v>
      </c>
      <c r="B39" s="16" t="n"/>
      <c r="C39" s="16" t="n">
        <v>0.04</v>
      </c>
      <c r="D39" s="16" t="n"/>
      <c r="E39" s="16" t="n">
        <v>0.31</v>
      </c>
      <c r="F39" s="16" t="n">
        <v>0.235</v>
      </c>
      <c r="G39" s="16" t="n">
        <v>0.255</v>
      </c>
      <c r="H39" s="16" t="n">
        <v>0.035</v>
      </c>
      <c r="I39" s="16" t="n">
        <v>0.005</v>
      </c>
    </row>
    <row r="40">
      <c r="A40" s="41" t="n">
        <v>46261</v>
      </c>
      <c r="B40" s="28" t="n">
        <v>0.005</v>
      </c>
      <c r="C40" s="28" t="n">
        <v>0.045</v>
      </c>
      <c r="D40" s="28" t="n">
        <v>0.05500000000000001</v>
      </c>
      <c r="E40" s="28" t="n">
        <v>0.31</v>
      </c>
      <c r="F40" s="28" t="n">
        <v>0.185</v>
      </c>
      <c r="G40" s="28" t="n">
        <v>0.27</v>
      </c>
      <c r="H40" s="28" t="n">
        <v>0.035</v>
      </c>
      <c r="I40" s="28" t="n">
        <v>0.01</v>
      </c>
      <c r="J40" s="88" t="n"/>
    </row>
    <row r="41">
      <c r="A41" s="39" t="n">
        <v>46262</v>
      </c>
      <c r="B41" s="16" t="n"/>
      <c r="C41" s="16" t="n">
        <v>0.045</v>
      </c>
      <c r="D41" s="16" t="n">
        <v>0.04</v>
      </c>
      <c r="E41" s="16" t="n">
        <v>0.3</v>
      </c>
      <c r="F41" s="16" t="n">
        <v>0.185</v>
      </c>
      <c r="G41" s="16" t="n">
        <v>0.325</v>
      </c>
      <c r="H41" s="16" t="n">
        <v>0.04500000000000001</v>
      </c>
      <c r="I41" s="16" t="n"/>
    </row>
    <row r="42">
      <c r="A42" s="41" t="n">
        <v>46263</v>
      </c>
      <c r="B42" s="28" t="n"/>
      <c r="C42" s="28" t="n">
        <v>0.045</v>
      </c>
      <c r="D42" s="28" t="n">
        <v>0.035</v>
      </c>
      <c r="E42" s="28" t="n">
        <v>0.32</v>
      </c>
      <c r="F42" s="28" t="n">
        <v>0.195</v>
      </c>
      <c r="G42" s="28" t="n">
        <v>0.33</v>
      </c>
      <c r="H42" s="28" t="n">
        <v>0.05500000000000001</v>
      </c>
      <c r="I42" s="28" t="n"/>
      <c r="J42" s="88" t="n"/>
    </row>
    <row r="43">
      <c r="A43" s="39" t="n">
        <v>46264</v>
      </c>
      <c r="B43" s="16" t="n"/>
      <c r="C43" s="16" t="n">
        <v>0.045</v>
      </c>
      <c r="D43" s="16" t="n">
        <v>0.05</v>
      </c>
      <c r="E43" s="16" t="n">
        <v>0.33</v>
      </c>
      <c r="F43" s="16" t="n">
        <v>0.19</v>
      </c>
      <c r="G43" s="16" t="n">
        <v>0.335</v>
      </c>
      <c r="H43" s="16" t="n">
        <v>0.05</v>
      </c>
      <c r="I43" s="16" t="n"/>
    </row>
    <row r="44">
      <c r="A44" s="41" t="n">
        <v>46265</v>
      </c>
      <c r="B44" s="28" t="n">
        <v>0.005</v>
      </c>
      <c r="C44" s="28" t="n">
        <v>0.05</v>
      </c>
      <c r="D44" s="28" t="n">
        <v>0.05500000000000001</v>
      </c>
      <c r="E44" s="28" t="n">
        <v>0.325</v>
      </c>
      <c r="F44" s="28" t="n">
        <v>0.175</v>
      </c>
      <c r="G44" s="28" t="n">
        <v>0.34</v>
      </c>
      <c r="H44" s="28" t="n">
        <v>0.035</v>
      </c>
      <c r="I44" s="28" t="n"/>
      <c r="J44" s="88" t="n"/>
    </row>
    <row r="45">
      <c r="A45" s="39" t="n">
        <v>46266</v>
      </c>
      <c r="B45" s="16" t="n"/>
      <c r="C45" s="16" t="n"/>
      <c r="D45" s="16" t="n">
        <v>0.075</v>
      </c>
      <c r="E45" s="16" t="n">
        <v>0.325</v>
      </c>
      <c r="F45" s="16" t="n">
        <v>0.18</v>
      </c>
      <c r="G45" s="16" t="n">
        <v>0.33</v>
      </c>
      <c r="H45" s="16" t="n">
        <v>0.025</v>
      </c>
      <c r="I45" s="16" t="n"/>
    </row>
    <row r="46">
      <c r="A46" s="41" t="n">
        <v>46267</v>
      </c>
      <c r="B46" s="28" t="n"/>
      <c r="C46" s="28" t="n">
        <v>0.05</v>
      </c>
      <c r="D46" s="28" t="n">
        <v>0.065</v>
      </c>
      <c r="E46" s="28" t="n">
        <v>0.33</v>
      </c>
      <c r="F46" s="28" t="n">
        <v>0.175</v>
      </c>
      <c r="G46" s="28" t="n">
        <v>0.325</v>
      </c>
      <c r="H46" s="28" t="n">
        <v>0.025</v>
      </c>
      <c r="I46" s="28" t="n"/>
      <c r="J46" s="88" t="n"/>
    </row>
    <row r="47">
      <c r="A47" s="39" t="n">
        <v>46268</v>
      </c>
      <c r="B47" s="16" t="n"/>
      <c r="C47" s="16" t="n">
        <v>0.05</v>
      </c>
      <c r="D47" s="16" t="n">
        <v>0.06</v>
      </c>
      <c r="E47" s="16" t="n">
        <v>0.325</v>
      </c>
      <c r="F47" s="16" t="n">
        <v>0.175</v>
      </c>
      <c r="G47" s="16" t="n">
        <v>0.33</v>
      </c>
      <c r="H47" s="16" t="n">
        <v>0.02</v>
      </c>
      <c r="I47" s="16" t="n"/>
    </row>
    <row r="48">
      <c r="A48" s="41" t="n">
        <v>46269</v>
      </c>
      <c r="B48" s="28" t="n">
        <v>0.005</v>
      </c>
      <c r="C48" s="28" t="n">
        <v>0.05</v>
      </c>
      <c r="D48" s="28" t="n">
        <v>0.065</v>
      </c>
      <c r="E48" s="28" t="n">
        <v>0.33</v>
      </c>
      <c r="F48" s="28" t="n">
        <v>0.175</v>
      </c>
      <c r="G48" s="28" t="n">
        <v>0.315</v>
      </c>
      <c r="H48" s="28" t="n">
        <v>0.025</v>
      </c>
      <c r="I48" s="28" t="n"/>
      <c r="J48" s="88" t="n"/>
    </row>
    <row r="49">
      <c r="A49" s="39" t="n">
        <v>46270</v>
      </c>
      <c r="B49" s="16" t="n"/>
      <c r="C49" s="16" t="n"/>
      <c r="D49" s="16" t="n">
        <v>0.07000000000000001</v>
      </c>
      <c r="E49" s="16" t="n">
        <v>0.33</v>
      </c>
      <c r="F49" s="16" t="n">
        <v>0.175</v>
      </c>
      <c r="G49" s="16" t="n">
        <v>0.32</v>
      </c>
      <c r="H49" s="16" t="n">
        <v>0.03</v>
      </c>
      <c r="I49" s="16" t="n"/>
    </row>
    <row r="50">
      <c r="A50" s="41" t="n">
        <v>46271</v>
      </c>
      <c r="B50" s="28" t="n"/>
      <c r="C50" s="28" t="n">
        <v>0.05</v>
      </c>
      <c r="D50" s="28" t="n">
        <v>0.07000000000000001</v>
      </c>
      <c r="E50" s="28" t="n">
        <v>0.335</v>
      </c>
      <c r="F50" s="28" t="n">
        <v>0.175</v>
      </c>
      <c r="G50" s="28" t="n">
        <v>0.32</v>
      </c>
      <c r="H50" s="28" t="n"/>
      <c r="I50" s="28" t="n"/>
      <c r="J50" s="88" t="n"/>
    </row>
    <row r="51">
      <c r="A51" s="39" t="n">
        <v>46272</v>
      </c>
      <c r="B51" s="16" t="n"/>
      <c r="C51" s="16" t="n"/>
      <c r="D51" s="16" t="n">
        <v>0.07000000000000001</v>
      </c>
      <c r="E51" s="16" t="n">
        <v>0.335</v>
      </c>
      <c r="F51" s="16" t="n">
        <v>0.175</v>
      </c>
      <c r="G51" s="16" t="n">
        <v>0.3</v>
      </c>
      <c r="H51" s="16" t="n"/>
      <c r="I51" s="16" t="n"/>
    </row>
    <row r="52">
      <c r="A52" s="41" t="n">
        <v>46273</v>
      </c>
      <c r="B52" s="28" t="n"/>
      <c r="C52" s="28" t="n"/>
      <c r="D52" s="28" t="n">
        <v>0.07000000000000001</v>
      </c>
      <c r="E52" s="28" t="n">
        <v>0.345</v>
      </c>
      <c r="F52" s="28" t="n">
        <v>0.175</v>
      </c>
      <c r="G52" s="28" t="n">
        <v>0.29</v>
      </c>
      <c r="H52" s="28" t="n"/>
      <c r="I52" s="28" t="n"/>
      <c r="J52" s="88" t="n"/>
    </row>
    <row r="53">
      <c r="A53" s="39" t="n">
        <v>46274</v>
      </c>
      <c r="B53" s="16" t="n"/>
      <c r="C53" s="16" t="n"/>
      <c r="D53" s="16" t="n">
        <v>0.07000000000000001</v>
      </c>
      <c r="E53" s="16" t="n">
        <v>0.335</v>
      </c>
      <c r="F53" s="16" t="n">
        <v>0.175</v>
      </c>
      <c r="G53" s="16" t="n">
        <v>0.29</v>
      </c>
      <c r="H53" s="16" t="n"/>
      <c r="I53" s="16" t="n"/>
    </row>
    <row r="54">
      <c r="A54" s="41" t="n">
        <v>46275</v>
      </c>
      <c r="B54" s="28" t="n"/>
      <c r="C54" s="28" t="n"/>
      <c r="D54" s="28" t="n">
        <v>0.07000000000000001</v>
      </c>
      <c r="E54" s="28" t="n">
        <v>0.345</v>
      </c>
      <c r="F54" s="28" t="n">
        <v>0.18</v>
      </c>
      <c r="G54" s="28" t="n">
        <v>0.31</v>
      </c>
      <c r="H54" s="28" t="n"/>
      <c r="I54" s="28" t="n"/>
      <c r="J54" s="88" t="n"/>
    </row>
    <row r="55">
      <c r="A55" s="39" t="n">
        <v>46276</v>
      </c>
      <c r="B55" s="16" t="n"/>
      <c r="C55" s="16" t="n">
        <v>0.045</v>
      </c>
      <c r="D55" s="16" t="n">
        <v>0.075</v>
      </c>
      <c r="E55" s="16" t="n">
        <v>0.34</v>
      </c>
      <c r="F55" s="16" t="n">
        <v>0.185</v>
      </c>
      <c r="G55" s="16" t="n">
        <v>0.29</v>
      </c>
      <c r="H55" s="16" t="n"/>
      <c r="I55" s="16" t="n"/>
    </row>
    <row r="56">
      <c r="A56" s="41" t="n">
        <v>46277</v>
      </c>
      <c r="B56" s="28" t="n"/>
      <c r="C56" s="28" t="n">
        <v>0.05500000000000001</v>
      </c>
      <c r="D56" s="28" t="n">
        <v>0.07000000000000001</v>
      </c>
      <c r="E56" s="28" t="n">
        <v>0.33</v>
      </c>
      <c r="F56" s="28" t="n">
        <v>0.175</v>
      </c>
      <c r="G56" s="28" t="n">
        <v>0.295</v>
      </c>
      <c r="H56" s="28" t="n"/>
      <c r="I56" s="28" t="n"/>
      <c r="J56" s="88" t="n"/>
    </row>
    <row r="57">
      <c r="A57" s="39" t="n">
        <v>46278</v>
      </c>
      <c r="B57" s="16" t="n"/>
      <c r="C57" s="16" t="n">
        <v>0.045</v>
      </c>
      <c r="D57" s="16" t="n">
        <v>0.06</v>
      </c>
      <c r="E57" s="16" t="n">
        <v>0.33</v>
      </c>
      <c r="F57" s="16" t="n">
        <v>0.175</v>
      </c>
      <c r="G57" s="16" t="n">
        <v>0.295</v>
      </c>
      <c r="H57" s="16" t="n"/>
      <c r="I57" s="16" t="n">
        <v>0.005</v>
      </c>
    </row>
    <row r="58">
      <c r="A58" s="41" t="n">
        <v>46279</v>
      </c>
      <c r="B58" s="28" t="n"/>
      <c r="C58" s="28" t="n">
        <v>0.05</v>
      </c>
      <c r="D58" s="28" t="n">
        <v>0.06</v>
      </c>
      <c r="E58" s="28" t="n">
        <v>0.33</v>
      </c>
      <c r="F58" s="28" t="n">
        <v>0.18</v>
      </c>
      <c r="G58" s="28" t="n">
        <v>0.29</v>
      </c>
      <c r="H58" s="28" t="n"/>
      <c r="I58" s="28" t="n">
        <v>0.01</v>
      </c>
      <c r="J58" s="88" t="n"/>
    </row>
    <row r="59">
      <c r="A59" s="39" t="n">
        <v>46280</v>
      </c>
      <c r="B59" s="16" t="n"/>
      <c r="C59" s="16" t="n">
        <v>0.05</v>
      </c>
      <c r="D59" s="16" t="n">
        <v>0.08</v>
      </c>
      <c r="E59" s="16" t="n">
        <v>0.33</v>
      </c>
      <c r="F59" s="16" t="n">
        <v>0.175</v>
      </c>
      <c r="G59" s="16" t="n">
        <v>0.295</v>
      </c>
      <c r="H59" s="16" t="n"/>
      <c r="I59" s="16" t="n"/>
    </row>
    <row r="60">
      <c r="A60" s="41" t="n">
        <v>46281</v>
      </c>
      <c r="B60" s="28" t="n"/>
      <c r="C60" s="28" t="n">
        <v>0.05</v>
      </c>
      <c r="D60" s="28" t="n">
        <v>0.07000000000000001</v>
      </c>
      <c r="E60" s="28" t="n">
        <v>0.33</v>
      </c>
      <c r="F60" s="28" t="n">
        <v>0.165</v>
      </c>
      <c r="G60" s="28" t="n">
        <v>0.295</v>
      </c>
      <c r="H60" s="28" t="n"/>
      <c r="I60" s="28" t="n"/>
      <c r="J60" s="88" t="n"/>
    </row>
    <row r="61">
      <c r="A61" s="39" t="n">
        <v>46282</v>
      </c>
      <c r="B61" s="16" t="n"/>
      <c r="C61" s="16" t="n">
        <v>0.05500000000000001</v>
      </c>
      <c r="D61" s="16" t="n">
        <v>0.06</v>
      </c>
      <c r="E61" s="16" t="n">
        <v>0.33</v>
      </c>
      <c r="F61" s="16" t="n">
        <v>0.16</v>
      </c>
      <c r="G61" s="16" t="n">
        <v>0.3</v>
      </c>
      <c r="H61" s="16" t="n"/>
      <c r="I61" s="16" t="n"/>
    </row>
    <row r="62">
      <c r="A62" s="41" t="n">
        <v>46283</v>
      </c>
      <c r="B62" s="28" t="n"/>
      <c r="C62" s="28" t="n">
        <v>0.05500000000000001</v>
      </c>
      <c r="D62" s="28" t="n">
        <v>0.06</v>
      </c>
      <c r="E62" s="28" t="n">
        <v>0.345</v>
      </c>
      <c r="F62" s="28" t="n">
        <v>0.165</v>
      </c>
      <c r="G62" s="28" t="n">
        <v>0.29</v>
      </c>
      <c r="H62" s="28" t="n"/>
      <c r="I62" s="28" t="n"/>
      <c r="J62" s="88" t="n"/>
    </row>
    <row r="63">
      <c r="A63" s="39" t="n">
        <v>46284</v>
      </c>
      <c r="B63" s="16" t="n"/>
      <c r="C63" s="16" t="n">
        <v>0.05</v>
      </c>
      <c r="D63" s="16" t="n">
        <v>0.06</v>
      </c>
      <c r="E63" s="16" t="n">
        <v>0.31</v>
      </c>
      <c r="F63" s="16" t="n">
        <v>0.26</v>
      </c>
      <c r="G63" s="16" t="n">
        <v>0.31</v>
      </c>
      <c r="H63" s="16" t="n"/>
      <c r="I63" s="16" t="n">
        <v>0.005</v>
      </c>
    </row>
    <row r="64">
      <c r="A64" s="41" t="n">
        <v>46285</v>
      </c>
      <c r="B64" s="28" t="n"/>
      <c r="C64" s="28" t="n">
        <v>0.05</v>
      </c>
      <c r="D64" s="28" t="n">
        <v>0.055</v>
      </c>
      <c r="E64" s="28" t="n">
        <v>0.325</v>
      </c>
      <c r="F64" s="28" t="n">
        <v>0.24</v>
      </c>
      <c r="G64" s="28" t="n">
        <v>0.325</v>
      </c>
      <c r="H64" s="28" t="n"/>
      <c r="I64" s="28" t="n"/>
      <c r="J64" s="88" t="n"/>
    </row>
    <row r="65">
      <c r="A65" s="39" t="n">
        <v>46286</v>
      </c>
      <c r="B65" s="16" t="n"/>
      <c r="C65" s="16" t="n">
        <v>0.045</v>
      </c>
      <c r="D65" s="16" t="n">
        <v>0.065</v>
      </c>
      <c r="E65" s="16" t="n">
        <v>0.32</v>
      </c>
      <c r="F65" s="16" t="n">
        <v>0.205</v>
      </c>
      <c r="G65" s="16" t="n">
        <v>0.295</v>
      </c>
      <c r="H65" s="16" t="n"/>
      <c r="I65" s="16" t="n"/>
    </row>
    <row r="66">
      <c r="A66" s="41" t="n">
        <v>46287</v>
      </c>
      <c r="B66" s="28" t="n"/>
      <c r="C66" s="28" t="n">
        <v>0.03</v>
      </c>
      <c r="D66" s="28" t="n">
        <v>0.045</v>
      </c>
      <c r="E66" s="28" t="n">
        <v>0.31</v>
      </c>
      <c r="F66" s="28" t="n">
        <v>0.215</v>
      </c>
      <c r="G66" s="28" t="n">
        <v>0.315</v>
      </c>
      <c r="H66" s="28" t="n"/>
      <c r="I66" s="28" t="n"/>
      <c r="J66" s="88" t="n"/>
    </row>
    <row r="67">
      <c r="A67" s="39" t="n">
        <v>46288</v>
      </c>
      <c r="B67" s="16" t="n"/>
      <c r="C67" s="16" t="n">
        <v>0.03</v>
      </c>
      <c r="D67" s="16" t="n">
        <v>0.035</v>
      </c>
      <c r="E67" s="16" t="n">
        <v>0.315</v>
      </c>
      <c r="F67" s="16" t="n">
        <v>0.235</v>
      </c>
      <c r="G67" s="16" t="n">
        <v>0.32</v>
      </c>
      <c r="H67" s="16" t="n">
        <v>0.02</v>
      </c>
      <c r="I67" s="16" t="n"/>
    </row>
    <row r="68">
      <c r="A68" s="41" t="n">
        <v>46289</v>
      </c>
      <c r="B68" s="28" t="n"/>
      <c r="C68" s="28" t="n">
        <v>0.045</v>
      </c>
      <c r="D68" s="28" t="n">
        <v>0.135</v>
      </c>
      <c r="E68" s="28" t="n">
        <v>0.3</v>
      </c>
      <c r="F68" s="28" t="n">
        <v>0.26</v>
      </c>
      <c r="G68" s="28" t="n">
        <v>0.315</v>
      </c>
      <c r="H68" s="28" t="n">
        <v>0.03</v>
      </c>
      <c r="I68" s="28" t="n">
        <v>0.01</v>
      </c>
      <c r="J68" s="88" t="n"/>
    </row>
    <row r="69">
      <c r="A69" s="39" t="n">
        <v>46290</v>
      </c>
      <c r="B69" s="16" t="n"/>
      <c r="C69" s="16" t="n">
        <v>0.15</v>
      </c>
      <c r="D69" s="16" t="n">
        <v>0.11</v>
      </c>
      <c r="E69" s="16" t="n">
        <v>0.255</v>
      </c>
      <c r="F69" s="16" t="n">
        <v>0.265</v>
      </c>
      <c r="G69" s="16" t="n">
        <v>0.39</v>
      </c>
      <c r="H69" s="16" t="n">
        <v>0.03</v>
      </c>
      <c r="I69" s="16" t="n">
        <v>0.015</v>
      </c>
    </row>
    <row r="70">
      <c r="A70" s="41" t="n">
        <v>46291</v>
      </c>
      <c r="B70" s="28" t="n"/>
      <c r="C70" s="28" t="n">
        <v>0.05</v>
      </c>
      <c r="D70" s="28" t="n">
        <v>0.11</v>
      </c>
      <c r="E70" s="28" t="n">
        <v>0.3</v>
      </c>
      <c r="F70" s="28" t="n">
        <v>0.265</v>
      </c>
      <c r="G70" s="28" t="n">
        <v>0.315</v>
      </c>
      <c r="H70" s="28" t="n">
        <v>0.025</v>
      </c>
      <c r="I70" s="28" t="n"/>
      <c r="J70" s="88" t="n"/>
    </row>
    <row r="71">
      <c r="A71" s="39" t="n">
        <v>46292</v>
      </c>
      <c r="B71" s="16" t="n"/>
      <c r="C71" s="16" t="n">
        <v>0.045</v>
      </c>
      <c r="D71" s="16" t="n">
        <v>0.1</v>
      </c>
      <c r="E71" s="16" t="n">
        <v>0.315</v>
      </c>
      <c r="F71" s="16" t="n">
        <v>0.255</v>
      </c>
      <c r="G71" s="16" t="n">
        <v>0.305</v>
      </c>
      <c r="H71" s="16" t="n">
        <v>0.015</v>
      </c>
      <c r="I71" s="16" t="n"/>
    </row>
    <row r="72">
      <c r="A72" s="41" t="n">
        <v>46293</v>
      </c>
      <c r="B72" s="28" t="n"/>
      <c r="C72" s="28" t="n">
        <v>0.045</v>
      </c>
      <c r="D72" s="28" t="n">
        <v>0.1</v>
      </c>
      <c r="E72" s="28" t="n">
        <v>0.32</v>
      </c>
      <c r="F72" s="28" t="n">
        <v>0.21</v>
      </c>
      <c r="G72" s="28" t="n">
        <v>0.315</v>
      </c>
      <c r="H72" s="28" t="n">
        <v>0.02</v>
      </c>
      <c r="I72" s="28" t="n"/>
      <c r="J72" s="88" t="n"/>
    </row>
    <row r="73">
      <c r="A73" s="39" t="n">
        <v>46294</v>
      </c>
      <c r="B73" s="16" t="n"/>
      <c r="C73" s="16" t="n">
        <v>0.045</v>
      </c>
      <c r="D73" s="16" t="n">
        <v>0.105</v>
      </c>
      <c r="E73" s="16" t="n">
        <v>0.32</v>
      </c>
      <c r="F73" s="16" t="n">
        <v>0.21</v>
      </c>
      <c r="G73" s="16" t="n">
        <v>0.28</v>
      </c>
      <c r="H73" s="16" t="n"/>
      <c r="I73" s="16" t="n"/>
    </row>
    <row r="74">
      <c r="A74" s="41" t="n">
        <v>46295</v>
      </c>
      <c r="B74" s="28" t="n"/>
      <c r="C74" s="28" t="n">
        <v>0.04</v>
      </c>
      <c r="D74" s="28" t="n">
        <v>0.09</v>
      </c>
      <c r="E74" s="28" t="n">
        <v>0.31</v>
      </c>
      <c r="F74" s="28" t="n">
        <v>0.23</v>
      </c>
      <c r="G74" s="28" t="n">
        <v>0.28</v>
      </c>
      <c r="H74" s="28" t="n">
        <v>0.02</v>
      </c>
      <c r="I74" s="28" t="n"/>
      <c r="J74" s="88" t="n"/>
    </row>
    <row r="75">
      <c r="A75" s="39" t="n">
        <v>46296</v>
      </c>
      <c r="B75" s="16" t="n"/>
      <c r="C75" s="16" t="n">
        <v>0.04</v>
      </c>
      <c r="D75" s="16" t="n">
        <v>0.08500000000000001</v>
      </c>
      <c r="E75" s="16" t="n">
        <v>0.295</v>
      </c>
      <c r="F75" s="16" t="n">
        <v>0.205</v>
      </c>
      <c r="G75" s="16" t="n">
        <v>0.31</v>
      </c>
      <c r="H75" s="16" t="n">
        <v>0.02</v>
      </c>
      <c r="I75" s="16" t="n"/>
    </row>
    <row r="76">
      <c r="A76" s="41" t="n">
        <v>46297</v>
      </c>
      <c r="B76" s="28" t="n"/>
      <c r="C76" s="28" t="n">
        <v>0.035</v>
      </c>
      <c r="D76" s="28" t="n">
        <v>0.08500000000000001</v>
      </c>
      <c r="E76" s="28" t="n">
        <v>0.305</v>
      </c>
      <c r="F76" s="28" t="n">
        <v>0.205</v>
      </c>
      <c r="G76" s="28" t="n">
        <v>0.285</v>
      </c>
      <c r="H76" s="28" t="n">
        <v>0.02</v>
      </c>
      <c r="I76" s="28" t="n"/>
      <c r="J76" s="88" t="n"/>
    </row>
    <row r="77">
      <c r="A77" s="39" t="n">
        <v>46298</v>
      </c>
      <c r="B77" s="16" t="n"/>
      <c r="C77" s="16" t="n">
        <v>0.035</v>
      </c>
      <c r="D77" s="16" t="n">
        <v>0.06</v>
      </c>
      <c r="E77" s="16" t="n">
        <v>0.245</v>
      </c>
      <c r="F77" s="16" t="n">
        <v>0.265</v>
      </c>
      <c r="G77" s="16" t="n">
        <v>0.345</v>
      </c>
      <c r="H77" s="16" t="n">
        <v>0.02</v>
      </c>
      <c r="I77" s="16" t="n"/>
    </row>
    <row r="78">
      <c r="A78" s="41" t="n">
        <v>46299</v>
      </c>
      <c r="B78" s="28" t="n"/>
      <c r="C78" s="28" t="n">
        <v>0.035</v>
      </c>
      <c r="D78" s="28" t="n">
        <v>0.065</v>
      </c>
      <c r="E78" s="28" t="n">
        <v>0.2</v>
      </c>
      <c r="F78" s="28" t="n">
        <v>0.25</v>
      </c>
      <c r="G78" s="28" t="n">
        <v>0.38</v>
      </c>
      <c r="H78" s="28" t="n"/>
      <c r="I78" s="28" t="n"/>
      <c r="J78" s="88" t="n"/>
    </row>
    <row r="79">
      <c r="A79" s="39" t="n">
        <v>46300</v>
      </c>
      <c r="B79" s="16" t="n"/>
      <c r="C79" s="16" t="n">
        <v>0.04</v>
      </c>
      <c r="D79" s="16" t="n">
        <v>0.055</v>
      </c>
      <c r="E79" s="16" t="n">
        <v>0.19</v>
      </c>
      <c r="F79" s="16" t="n">
        <v>0.24</v>
      </c>
      <c r="G79" s="16" t="n">
        <v>0.355</v>
      </c>
      <c r="H79" s="16" t="n">
        <v>0.025</v>
      </c>
      <c r="I79" s="16" t="n">
        <v>0.035</v>
      </c>
    </row>
    <row r="80">
      <c r="A80" s="41" t="n">
        <v>46301</v>
      </c>
      <c r="B80" s="28" t="n"/>
      <c r="C80" s="28" t="n">
        <v>0.035</v>
      </c>
      <c r="D80" s="28" t="n">
        <v>0.06</v>
      </c>
      <c r="E80" s="28" t="n">
        <v>0.185</v>
      </c>
      <c r="F80" s="28" t="n">
        <v>0.225</v>
      </c>
      <c r="G80" s="28" t="n">
        <v>0.385</v>
      </c>
      <c r="H80" s="28" t="n"/>
      <c r="I80" s="28" t="n">
        <v>0.025</v>
      </c>
      <c r="J80" s="88" t="n"/>
    </row>
    <row r="81">
      <c r="A81" s="39" t="n">
        <v>46302</v>
      </c>
      <c r="B81" s="16" t="n"/>
      <c r="C81" s="16" t="n">
        <v>0.04</v>
      </c>
      <c r="D81" s="16" t="n">
        <v>0.055</v>
      </c>
      <c r="E81" s="16" t="n">
        <v>0.195</v>
      </c>
      <c r="F81" s="16" t="n">
        <v>0.18</v>
      </c>
      <c r="G81" s="16" t="n">
        <v>0.375</v>
      </c>
      <c r="H81" s="16" t="n">
        <v>0.025</v>
      </c>
      <c r="I81" s="16" t="n">
        <v>0.025</v>
      </c>
    </row>
    <row r="82">
      <c r="A82" s="41" t="n">
        <v>46303</v>
      </c>
      <c r="B82" s="28" t="n"/>
      <c r="C82" s="28" t="n">
        <v>0.025</v>
      </c>
      <c r="D82" s="28" t="n">
        <v>0.05</v>
      </c>
      <c r="E82" s="28" t="n">
        <v>0.205</v>
      </c>
      <c r="F82" s="28" t="n">
        <v>0.25</v>
      </c>
      <c r="G82" s="28" t="n">
        <v>0.335</v>
      </c>
      <c r="H82" s="28" t="n">
        <v>0.03</v>
      </c>
      <c r="I82" s="28" t="n">
        <v>0.03</v>
      </c>
      <c r="J82" s="88" t="n"/>
    </row>
    <row r="83">
      <c r="A83" s="39" t="n">
        <v>46304</v>
      </c>
      <c r="B83" s="16" t="n"/>
      <c r="C83" s="16" t="n">
        <v>0.03</v>
      </c>
      <c r="D83" s="16" t="n">
        <v>0.055</v>
      </c>
      <c r="E83" s="16" t="n">
        <v>0.205</v>
      </c>
      <c r="F83" s="16" t="n">
        <v>0.22</v>
      </c>
      <c r="G83" s="16" t="n">
        <v>0.365</v>
      </c>
      <c r="H83" s="16" t="n">
        <v>0.03</v>
      </c>
      <c r="I83" s="16" t="n">
        <v>0.03</v>
      </c>
    </row>
    <row r="84">
      <c r="A84" s="41" t="n">
        <v>46305</v>
      </c>
      <c r="B84" s="28" t="n"/>
      <c r="C84" s="28" t="n">
        <v>0.04</v>
      </c>
      <c r="D84" s="28" t="n">
        <v>0.055</v>
      </c>
      <c r="E84" s="28" t="n">
        <v>0.205</v>
      </c>
      <c r="F84" s="28" t="n">
        <v>0.195</v>
      </c>
      <c r="G84" s="28" t="n">
        <v>0.38</v>
      </c>
      <c r="H84" s="28" t="n">
        <v>0.03</v>
      </c>
      <c r="I84" s="28" t="n">
        <v>0.03</v>
      </c>
      <c r="J84" s="88" t="n"/>
    </row>
    <row r="85">
      <c r="A85" s="39" t="n">
        <v>46306</v>
      </c>
      <c r="B85" s="16" t="n"/>
      <c r="C85" s="16" t="n">
        <v>0.035</v>
      </c>
      <c r="D85" s="16" t="n">
        <v>0.06</v>
      </c>
      <c r="E85" s="16" t="n">
        <v>0.215</v>
      </c>
      <c r="F85" s="16" t="n">
        <v>0.24</v>
      </c>
      <c r="G85" s="16" t="n">
        <v>0.41</v>
      </c>
      <c r="H85" s="16" t="n">
        <v>0.025</v>
      </c>
      <c r="I85" s="16" t="n">
        <v>0.03</v>
      </c>
    </row>
    <row r="86">
      <c r="A86" s="2" t="inlineStr">
        <is>
          <t>Kalshi began quoting this ladder on 20 Aug 2026, so the history is only 53 days long. Values are the mid of the daily closing YES bid and the ask derived from the closing NO bid; where only one side closed, the same fallback as the live ladder applies.</t>
        </is>
      </c>
    </row>
  </sheetData>
  <mergeCells count="7">
    <mergeCell ref="B5:G5"/>
    <mergeCell ref="B9:G9"/>
    <mergeCell ref="B8:G8"/>
    <mergeCell ref="A29:J29"/>
    <mergeCell ref="A86:J86"/>
    <mergeCell ref="B7:G7"/>
    <mergeCell ref="B6:G6"/>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77"/>
  <sheetViews>
    <sheetView showGridLines="0" workbookViewId="0">
      <pane ySplit="11" topLeftCell="A12" activePane="bottomLeft" state="frozen"/>
      <selection pane="bottomLeft" activeCell="A1" sqref="A1"/>
    </sheetView>
  </sheetViews>
  <sheetFormatPr baseColWidth="8" defaultRowHeight="15"/>
  <cols>
    <col width="22" customWidth="1" min="1" max="1"/>
    <col width="26" customWidth="1" min="2" max="2"/>
    <col width="10" customWidth="1" min="3" max="3"/>
    <col width="11" customWidth="1" min="4" max="4"/>
    <col width="11" customWidth="1" min="5" max="5"/>
    <col width="9" customWidth="1" min="6" max="6"/>
    <col width="8" customWidth="1" min="7" max="7"/>
    <col width="8" customWidth="1" min="8" max="8"/>
    <col width="11" customWidth="1" min="9" max="9"/>
    <col width="12" customWidth="1" min="10" max="10"/>
    <col width="12" customWidth="1" min="11" max="11"/>
    <col width="11" customWidth="1" min="12" max="12"/>
    <col width="9" customWidth="1" min="13" max="13"/>
    <col width="11" customWidth="1" min="14" max="14"/>
    <col width="11" customWidth="1" min="15" max="15"/>
  </cols>
  <sheetData>
    <row r="1">
      <c r="A1" s="1" t="inlineStr">
        <is>
          <t>Polls — PA-07</t>
        </is>
      </c>
    </row>
    <row r="2">
      <c r="A2" s="2" t="inlineStr">
        <is>
          <t>General-election and Democratic-primary polling for Pennsylvania's 7th, from the NYT/538 house-poll file (house.csv), plus the district and incumbent profile from GovTrack. Percentages stored as fractions. Compiled 2026-10-12 02:24 UTC.</t>
        </is>
      </c>
    </row>
    <row r="4">
      <c r="A4" s="47" t="inlineStr">
        <is>
          <t>HOW TO USE THIS SHEET</t>
        </is>
      </c>
    </row>
    <row r="5">
      <c r="A5" s="2" t="inlineStr">
        <is>
          <t>• Add a general-election poll by typing into the next blank blue row of the log below — rows are pre-formulated to row 28, so columns L to O fill themselves.</t>
        </is>
      </c>
    </row>
    <row r="6">
      <c r="A6" s="2" t="inlineStr">
        <is>
          <t>• Percentages are percent-formatted, so type 47% (not 47). Sponsor Lean must be D, R or None.</t>
        </is>
      </c>
    </row>
    <row r="7">
      <c r="A7" s="2" t="inlineStr">
        <is>
          <t>• The three yellow cells in POLLING AVERAGE drive the weighting. Change them and everything downstream updates.</t>
        </is>
      </c>
    </row>
    <row r="8">
      <c r="A8" s="2" t="inlineStr">
        <is>
          <t>• A greyed EXAMPLE row at the bottom shows the expected format. It sits outside every averaged range and can be deleted.</t>
        </is>
      </c>
    </row>
    <row r="10">
      <c r="A10" s="3" t="inlineStr">
        <is>
          <t>GENERAL ELECTION POLL LOG — Brooks (D) vs Mackenzie (R)</t>
        </is>
      </c>
      <c r="B10" s="4" t="n"/>
      <c r="C10" s="4" t="n"/>
      <c r="D10" s="4" t="n"/>
      <c r="E10" s="4" t="n"/>
      <c r="F10" s="4" t="n"/>
      <c r="G10" s="4" t="n"/>
      <c r="H10" s="4" t="n"/>
      <c r="I10" s="4" t="n"/>
      <c r="J10" s="4" t="n"/>
      <c r="K10" s="4" t="n"/>
      <c r="L10" s="4" t="n"/>
      <c r="M10" s="4" t="n"/>
      <c r="N10" s="4" t="n"/>
      <c r="O10" s="4" t="n"/>
    </row>
    <row r="11" ht="30" customHeight="1">
      <c r="A11" s="5" t="inlineStr">
        <is>
          <t>Pollster</t>
        </is>
      </c>
      <c r="B11" s="5" t="inlineStr">
        <is>
          <t>Sponsor / Client</t>
        </is>
      </c>
      <c r="C11" s="5" t="inlineStr">
        <is>
          <t>Sponsor Lean</t>
        </is>
      </c>
      <c r="D11" s="5" t="inlineStr">
        <is>
          <t>Field Start</t>
        </is>
      </c>
      <c r="E11" s="5" t="inlineStr">
        <is>
          <t>Field End</t>
        </is>
      </c>
      <c r="F11" s="5" t="inlineStr">
        <is>
          <t>Sample</t>
        </is>
      </c>
      <c r="G11" s="5" t="inlineStr">
        <is>
          <t>Pop.</t>
        </is>
      </c>
      <c r="H11" s="5" t="inlineStr">
        <is>
          <t>MoE</t>
        </is>
      </c>
      <c r="I11" s="5" t="inlineStr">
        <is>
          <t>Brooks (D)</t>
        </is>
      </c>
      <c r="J11" s="5" t="inlineStr">
        <is>
          <t>Mackenzie (R)</t>
        </is>
      </c>
      <c r="K11" s="5" t="inlineStr">
        <is>
          <t>Other / Undecided</t>
        </is>
      </c>
      <c r="L11" s="5" t="inlineStr">
        <is>
          <t>Margin (D−R)</t>
        </is>
      </c>
      <c r="M11" s="5" t="inlineStr">
        <is>
          <t>Days Ago</t>
        </is>
      </c>
      <c r="N11" s="5" t="inlineStr">
        <is>
          <t>Recency Weight</t>
        </is>
      </c>
      <c r="O11" s="5" t="inlineStr">
        <is>
          <t>Poll Weight</t>
        </is>
      </c>
    </row>
    <row r="12">
      <c r="A12" s="26" t="inlineStr">
        <is>
          <t>GBAO</t>
        </is>
      </c>
      <c r="B12" s="26" t="inlineStr">
        <is>
          <t>House Majority PAC</t>
        </is>
      </c>
      <c r="C12" s="26" t="inlineStr">
        <is>
          <t>D</t>
        </is>
      </c>
      <c r="D12" s="39" t="n">
        <v>46202</v>
      </c>
      <c r="E12" s="39" t="n">
        <v>46205</v>
      </c>
      <c r="F12" s="45" t="n">
        <v>550</v>
      </c>
      <c r="G12" s="26" t="inlineStr">
        <is>
          <t>LV</t>
        </is>
      </c>
      <c r="H12" s="16" t="n"/>
      <c r="I12" s="11" t="n">
        <v>0.47</v>
      </c>
      <c r="J12" s="12" t="n">
        <v>0.43</v>
      </c>
      <c r="K12" s="16" t="n"/>
      <c r="L12" s="18">
        <f>IF(COUNT(I12:J12)=2,I12-J12,"")</f>
        <v/>
      </c>
      <c r="M12" s="40">
        <f>IF(ISNUMBER(E12),$B$28-E12,"")</f>
        <v/>
      </c>
      <c r="N12" s="75">
        <f>IF(ISNUMBER(M12),0.5^(M12/$B$29),"")</f>
        <v/>
      </c>
      <c r="O12" s="40">
        <f>IF(AND(ISNUMBER(F12),ISNUMBER(N12)),F12*N12,"")</f>
        <v/>
      </c>
    </row>
    <row r="13">
      <c r="A13" s="38" t="n"/>
      <c r="B13" s="38" t="n"/>
      <c r="C13" s="38" t="n"/>
      <c r="D13" s="41" t="n"/>
      <c r="E13" s="41" t="n"/>
      <c r="F13" s="46" t="n"/>
      <c r="G13" s="38" t="n"/>
      <c r="H13" s="28" t="n"/>
      <c r="I13" s="11" t="n"/>
      <c r="J13" s="12" t="n"/>
      <c r="K13" s="28" t="n"/>
      <c r="L13" s="31">
        <f>IF(COUNT(I13:J13)=2,I13-J13,"")</f>
        <v/>
      </c>
      <c r="M13" s="42">
        <f>IF(ISNUMBER(E13),$B$28-E13,"")</f>
        <v/>
      </c>
      <c r="N13" s="76">
        <f>IF(ISNUMBER(M13),0.5^(M13/$B$29),"")</f>
        <v/>
      </c>
      <c r="O13" s="42">
        <f>IF(AND(ISNUMBER(F13),ISNUMBER(N13)),F13*N13,"")</f>
        <v/>
      </c>
    </row>
    <row r="14">
      <c r="A14" s="26" t="n"/>
      <c r="B14" s="26" t="n"/>
      <c r="C14" s="26" t="n"/>
      <c r="D14" s="39" t="n"/>
      <c r="E14" s="39" t="n"/>
      <c r="F14" s="45" t="n"/>
      <c r="G14" s="26" t="n"/>
      <c r="H14" s="16" t="n"/>
      <c r="I14" s="11" t="n"/>
      <c r="J14" s="12" t="n"/>
      <c r="K14" s="16" t="n"/>
      <c r="L14" s="18">
        <f>IF(COUNT(I14:J14)=2,I14-J14,"")</f>
        <v/>
      </c>
      <c r="M14" s="40">
        <f>IF(ISNUMBER(E14),$B$28-E14,"")</f>
        <v/>
      </c>
      <c r="N14" s="75">
        <f>IF(ISNUMBER(M14),0.5^(M14/$B$29),"")</f>
        <v/>
      </c>
      <c r="O14" s="40">
        <f>IF(AND(ISNUMBER(F14),ISNUMBER(N14)),F14*N14,"")</f>
        <v/>
      </c>
    </row>
    <row r="15">
      <c r="A15" s="38" t="n"/>
      <c r="B15" s="38" t="n"/>
      <c r="C15" s="38" t="n"/>
      <c r="D15" s="41" t="n"/>
      <c r="E15" s="41" t="n"/>
      <c r="F15" s="46" t="n"/>
      <c r="G15" s="38" t="n"/>
      <c r="H15" s="28" t="n"/>
      <c r="I15" s="11" t="n"/>
      <c r="J15" s="12" t="n"/>
      <c r="K15" s="28" t="n"/>
      <c r="L15" s="31">
        <f>IF(COUNT(I15:J15)=2,I15-J15,"")</f>
        <v/>
      </c>
      <c r="M15" s="42">
        <f>IF(ISNUMBER(E15),$B$28-E15,"")</f>
        <v/>
      </c>
      <c r="N15" s="76">
        <f>IF(ISNUMBER(M15),0.5^(M15/$B$29),"")</f>
        <v/>
      </c>
      <c r="O15" s="42">
        <f>IF(AND(ISNUMBER(F15),ISNUMBER(N15)),F15*N15,"")</f>
        <v/>
      </c>
    </row>
    <row r="16">
      <c r="A16" s="26" t="n"/>
      <c r="B16" s="26" t="n"/>
      <c r="C16" s="26" t="n"/>
      <c r="D16" s="39" t="n"/>
      <c r="E16" s="39" t="n"/>
      <c r="F16" s="45" t="n"/>
      <c r="G16" s="26" t="n"/>
      <c r="H16" s="16" t="n"/>
      <c r="I16" s="11" t="n"/>
      <c r="J16" s="12" t="n"/>
      <c r="K16" s="16" t="n"/>
      <c r="L16" s="18">
        <f>IF(COUNT(I16:J16)=2,I16-J16,"")</f>
        <v/>
      </c>
      <c r="M16" s="40">
        <f>IF(ISNUMBER(E16),$B$28-E16,"")</f>
        <v/>
      </c>
      <c r="N16" s="75">
        <f>IF(ISNUMBER(M16),0.5^(M16/$B$29),"")</f>
        <v/>
      </c>
      <c r="O16" s="40">
        <f>IF(AND(ISNUMBER(F16),ISNUMBER(N16)),F16*N16,"")</f>
        <v/>
      </c>
    </row>
    <row r="17">
      <c r="A17" s="38" t="n"/>
      <c r="B17" s="38" t="n"/>
      <c r="C17" s="38" t="n"/>
      <c r="D17" s="41" t="n"/>
      <c r="E17" s="41" t="n"/>
      <c r="F17" s="46" t="n"/>
      <c r="G17" s="38" t="n"/>
      <c r="H17" s="28" t="n"/>
      <c r="I17" s="11" t="n"/>
      <c r="J17" s="12" t="n"/>
      <c r="K17" s="28" t="n"/>
      <c r="L17" s="31">
        <f>IF(COUNT(I17:J17)=2,I17-J17,"")</f>
        <v/>
      </c>
      <c r="M17" s="42">
        <f>IF(ISNUMBER(E17),$B$28-E17,"")</f>
        <v/>
      </c>
      <c r="N17" s="76">
        <f>IF(ISNUMBER(M17),0.5^(M17/$B$29),"")</f>
        <v/>
      </c>
      <c r="O17" s="42">
        <f>IF(AND(ISNUMBER(F17),ISNUMBER(N17)),F17*N17,"")</f>
        <v/>
      </c>
    </row>
    <row r="18">
      <c r="A18" s="26" t="n"/>
      <c r="B18" s="26" t="n"/>
      <c r="C18" s="26" t="n"/>
      <c r="D18" s="39" t="n"/>
      <c r="E18" s="39" t="n"/>
      <c r="F18" s="45" t="n"/>
      <c r="G18" s="26" t="n"/>
      <c r="H18" s="16" t="n"/>
      <c r="I18" s="11" t="n"/>
      <c r="J18" s="12" t="n"/>
      <c r="K18" s="16" t="n"/>
      <c r="L18" s="18">
        <f>IF(COUNT(I18:J18)=2,I18-J18,"")</f>
        <v/>
      </c>
      <c r="M18" s="40">
        <f>IF(ISNUMBER(E18),$B$28-E18,"")</f>
        <v/>
      </c>
      <c r="N18" s="75">
        <f>IF(ISNUMBER(M18),0.5^(M18/$B$29),"")</f>
        <v/>
      </c>
      <c r="O18" s="40">
        <f>IF(AND(ISNUMBER(F18),ISNUMBER(N18)),F18*N18,"")</f>
        <v/>
      </c>
    </row>
    <row r="19">
      <c r="A19" s="38" t="n"/>
      <c r="B19" s="38" t="n"/>
      <c r="C19" s="38" t="n"/>
      <c r="D19" s="41" t="n"/>
      <c r="E19" s="41" t="n"/>
      <c r="F19" s="46" t="n"/>
      <c r="G19" s="38" t="n"/>
      <c r="H19" s="28" t="n"/>
      <c r="I19" s="11" t="n"/>
      <c r="J19" s="12" t="n"/>
      <c r="K19" s="28" t="n"/>
      <c r="L19" s="31">
        <f>IF(COUNT(I19:J19)=2,I19-J19,"")</f>
        <v/>
      </c>
      <c r="M19" s="42">
        <f>IF(ISNUMBER(E19),$B$28-E19,"")</f>
        <v/>
      </c>
      <c r="N19" s="76">
        <f>IF(ISNUMBER(M19),0.5^(M19/$B$29),"")</f>
        <v/>
      </c>
      <c r="O19" s="42">
        <f>IF(AND(ISNUMBER(F19),ISNUMBER(N19)),F19*N19,"")</f>
        <v/>
      </c>
    </row>
    <row r="20">
      <c r="A20" s="26" t="n"/>
      <c r="B20" s="26" t="n"/>
      <c r="C20" s="26" t="n"/>
      <c r="D20" s="39" t="n"/>
      <c r="E20" s="39" t="n"/>
      <c r="F20" s="45" t="n"/>
      <c r="G20" s="26" t="n"/>
      <c r="H20" s="16" t="n"/>
      <c r="I20" s="11" t="n"/>
      <c r="J20" s="12" t="n"/>
      <c r="K20" s="16" t="n"/>
      <c r="L20" s="18">
        <f>IF(COUNT(I20:J20)=2,I20-J20,"")</f>
        <v/>
      </c>
      <c r="M20" s="40">
        <f>IF(ISNUMBER(E20),$B$28-E20,"")</f>
        <v/>
      </c>
      <c r="N20" s="75">
        <f>IF(ISNUMBER(M20),0.5^(M20/$B$29),"")</f>
        <v/>
      </c>
      <c r="O20" s="40">
        <f>IF(AND(ISNUMBER(F20),ISNUMBER(N20)),F20*N20,"")</f>
        <v/>
      </c>
    </row>
    <row r="21">
      <c r="A21" s="38" t="n"/>
      <c r="B21" s="38" t="n"/>
      <c r="C21" s="38" t="n"/>
      <c r="D21" s="41" t="n"/>
      <c r="E21" s="41" t="n"/>
      <c r="F21" s="46" t="n"/>
      <c r="G21" s="38" t="n"/>
      <c r="H21" s="28" t="n"/>
      <c r="I21" s="11" t="n"/>
      <c r="J21" s="12" t="n"/>
      <c r="K21" s="28" t="n"/>
      <c r="L21" s="31">
        <f>IF(COUNT(I21:J21)=2,I21-J21,"")</f>
        <v/>
      </c>
      <c r="M21" s="42">
        <f>IF(ISNUMBER(E21),$B$28-E21,"")</f>
        <v/>
      </c>
      <c r="N21" s="76">
        <f>IF(ISNUMBER(M21),0.5^(M21/$B$29),"")</f>
        <v/>
      </c>
      <c r="O21" s="42">
        <f>IF(AND(ISNUMBER(F21),ISNUMBER(N21)),F21*N21,"")</f>
        <v/>
      </c>
    </row>
    <row r="22">
      <c r="A22" s="26" t="n"/>
      <c r="B22" s="26" t="n"/>
      <c r="C22" s="26" t="n"/>
      <c r="D22" s="39" t="n"/>
      <c r="E22" s="39" t="n"/>
      <c r="F22" s="45" t="n"/>
      <c r="G22" s="26" t="n"/>
      <c r="H22" s="16" t="n"/>
      <c r="I22" s="11" t="n"/>
      <c r="J22" s="12" t="n"/>
      <c r="K22" s="16" t="n"/>
      <c r="L22" s="18">
        <f>IF(COUNT(I22:J22)=2,I22-J22,"")</f>
        <v/>
      </c>
      <c r="M22" s="40">
        <f>IF(ISNUMBER(E22),$B$28-E22,"")</f>
        <v/>
      </c>
      <c r="N22" s="75">
        <f>IF(ISNUMBER(M22),0.5^(M22/$B$29),"")</f>
        <v/>
      </c>
      <c r="O22" s="40">
        <f>IF(AND(ISNUMBER(F22),ISNUMBER(N22)),F22*N22,"")</f>
        <v/>
      </c>
    </row>
    <row r="23">
      <c r="A23" s="38" t="n"/>
      <c r="B23" s="38" t="n"/>
      <c r="C23" s="38" t="n"/>
      <c r="D23" s="41" t="n"/>
      <c r="E23" s="41" t="n"/>
      <c r="F23" s="46" t="n"/>
      <c r="G23" s="38" t="n"/>
      <c r="H23" s="28" t="n"/>
      <c r="I23" s="11" t="n"/>
      <c r="J23" s="12" t="n"/>
      <c r="K23" s="28" t="n"/>
      <c r="L23" s="31">
        <f>IF(COUNT(I23:J23)=2,I23-J23,"")</f>
        <v/>
      </c>
      <c r="M23" s="42">
        <f>IF(ISNUMBER(E23),$B$28-E23,"")</f>
        <v/>
      </c>
      <c r="N23" s="76">
        <f>IF(ISNUMBER(M23),0.5^(M23/$B$29),"")</f>
        <v/>
      </c>
      <c r="O23" s="42">
        <f>IF(AND(ISNUMBER(F23),ISNUMBER(N23)),F23*N23,"")</f>
        <v/>
      </c>
    </row>
    <row r="24">
      <c r="A24" s="26" t="n"/>
      <c r="B24" s="26" t="n"/>
      <c r="C24" s="26" t="n"/>
      <c r="D24" s="39" t="n"/>
      <c r="E24" s="39" t="n"/>
      <c r="F24" s="45" t="n"/>
      <c r="G24" s="26" t="n"/>
      <c r="H24" s="16" t="n"/>
      <c r="I24" s="11" t="n"/>
      <c r="J24" s="12" t="n"/>
      <c r="K24" s="16" t="n"/>
      <c r="L24" s="18">
        <f>IF(COUNT(I24:J24)=2,I24-J24,"")</f>
        <v/>
      </c>
      <c r="M24" s="40">
        <f>IF(ISNUMBER(E24),$B$28-E24,"")</f>
        <v/>
      </c>
      <c r="N24" s="75">
        <f>IF(ISNUMBER(M24),0.5^(M24/$B$29),"")</f>
        <v/>
      </c>
      <c r="O24" s="40">
        <f>IF(AND(ISNUMBER(F24),ISNUMBER(N24)),F24*N24,"")</f>
        <v/>
      </c>
    </row>
    <row r="25">
      <c r="A25" s="2" t="inlineStr">
        <is>
          <t>Source: house.csv (NYT / 538 house-poll file), rows filtered to state = PA and seat_number = 7, stage = general. The pollster-rating fields (numeric_grade, pollscore, transparency_score) are empty for every PA-07 poll in that file.</t>
        </is>
      </c>
    </row>
    <row r="27">
      <c r="A27" s="3" t="inlineStr">
        <is>
          <t>POLLING AVERAGE</t>
        </is>
      </c>
      <c r="B27" s="4" t="n"/>
      <c r="C27" s="4" t="n"/>
      <c r="D27" s="4" t="n"/>
      <c r="E27" s="4" t="n"/>
      <c r="F27" s="4" t="n"/>
      <c r="G27" s="4" t="n"/>
      <c r="H27" s="4" t="n"/>
      <c r="I27" s="4" t="n"/>
      <c r="J27" s="4" t="n"/>
      <c r="K27" s="4" t="n"/>
      <c r="L27" s="4" t="n"/>
      <c r="M27" s="4" t="n"/>
      <c r="N27" s="4" t="n"/>
      <c r="O27" s="4" t="n"/>
    </row>
    <row r="28">
      <c r="A28" s="6" t="inlineStr">
        <is>
          <t>Reference date (as of)</t>
        </is>
      </c>
      <c r="B28" s="50" t="n">
        <v>46307</v>
      </c>
    </row>
    <row r="29">
      <c r="A29" s="6" t="inlineStr">
        <is>
          <t>Recency half-life (days)</t>
        </is>
      </c>
      <c r="B29" s="51" t="n">
        <v>45</v>
      </c>
    </row>
    <row r="30">
      <c r="A30" s="6" t="inlineStr">
        <is>
          <t>Partisan house-effect haircut</t>
        </is>
      </c>
      <c r="B30" s="52" t="n">
        <v>0.03</v>
      </c>
    </row>
    <row r="32">
      <c r="A32" s="6" t="inlineStr">
        <is>
          <t>Polls in average</t>
        </is>
      </c>
      <c r="B32" s="40">
        <f>COUNT(L12:L24)</f>
        <v/>
      </c>
    </row>
    <row r="33">
      <c r="A33" s="6" t="inlineStr">
        <is>
          <t>Weighted Brooks (D)</t>
        </is>
      </c>
      <c r="B33" s="53">
        <f>IFERROR(SUMPRODUCT(I12:I24,O12:O24)/SUM(O12:O24),"")</f>
        <v/>
      </c>
    </row>
    <row r="34">
      <c r="A34" s="6" t="inlineStr">
        <is>
          <t>Weighted Mackenzie (R)</t>
        </is>
      </c>
      <c r="B34" s="54">
        <f>IFERROR(SUMPRODUCT(J12:J24,O12:O24)/SUM(O12:O24),"")</f>
        <v/>
      </c>
    </row>
    <row r="35">
      <c r="A35" s="6" t="inlineStr">
        <is>
          <t>Weighted margin (D−R)</t>
        </is>
      </c>
      <c r="B35" s="55">
        <f>IFERROR(B33-B34,"")</f>
        <v/>
      </c>
    </row>
    <row r="36">
      <c r="A36" s="6" t="inlineStr">
        <is>
          <t>Net partisan sponsorship</t>
        </is>
      </c>
      <c r="B36" s="56">
        <f>IFERROR((SUMIF($C$12:$C$24,"D",$O$12:$O$24)-SUMIF($C$12:$C$24,"R",$O$12:$O$24))/SUM($O$12:$O$24),"")</f>
        <v/>
      </c>
    </row>
    <row r="37">
      <c r="A37" s="6" t="inlineStr">
        <is>
          <t>Adjusted margin (D−R)</t>
        </is>
      </c>
      <c r="B37" s="57">
        <f>IFERROR(B35-B36*B30,"")</f>
        <v/>
      </c>
    </row>
    <row r="38">
      <c r="A38" s="6" t="inlineStr">
        <is>
          <t>Simple (unweighted) margin</t>
        </is>
      </c>
      <c r="B38" s="18">
        <f>IFERROR(AVERAGE(L12:L24),"")</f>
        <v/>
      </c>
    </row>
    <row r="39">
      <c r="A39" s="6" t="inlineStr">
        <is>
          <t>Most recent poll date</t>
        </is>
      </c>
      <c r="B39" s="58">
        <f>IFERROR(MAX(E12:E24),"")</f>
        <v/>
      </c>
    </row>
    <row r="40">
      <c r="A40" s="6" t="inlineStr">
        <is>
          <t>Days since most recent poll</t>
        </is>
      </c>
      <c r="B40" s="40">
        <f>IFERROR($B$28-MAX(E12:E24),"")</f>
        <v/>
      </c>
    </row>
    <row r="41">
      <c r="A41" s="2" t="inlineStr">
        <is>
          <t>Only one public general-election poll exists for PA-07 so far, and it is Democratic-sponsored. The average is a single data point wearing a weighting scheme — read the adjusted margin, and lean on the market sheets.</t>
        </is>
      </c>
    </row>
    <row r="43">
      <c r="A43" s="3" t="inlineStr">
        <is>
          <t>DEMOCRATIC PRIMARY POLLS (settled 19 May 2026) — for calibration</t>
        </is>
      </c>
      <c r="B43" s="4" t="n"/>
      <c r="C43" s="4" t="n"/>
      <c r="D43" s="4" t="n"/>
      <c r="E43" s="4" t="n"/>
      <c r="F43" s="4" t="n"/>
      <c r="G43" s="4" t="n"/>
      <c r="H43" s="4" t="n"/>
      <c r="I43" s="4" t="n"/>
      <c r="J43" s="4" t="n"/>
      <c r="K43" s="4" t="n"/>
      <c r="L43" s="4" t="n"/>
      <c r="M43" s="4" t="n"/>
      <c r="N43" s="4" t="n"/>
      <c r="O43" s="4" t="n"/>
    </row>
    <row r="44" ht="30" customHeight="1">
      <c r="A44" s="5" t="inlineStr">
        <is>
          <t>Pollster</t>
        </is>
      </c>
      <c r="B44" s="5" t="inlineStr">
        <is>
          <t>Sponsor / Client</t>
        </is>
      </c>
      <c r="C44" s="5" t="inlineStr">
        <is>
          <t>Lean</t>
        </is>
      </c>
      <c r="D44" s="5" t="inlineStr">
        <is>
          <t>Field Start</t>
        </is>
      </c>
      <c r="E44" s="5" t="inlineStr">
        <is>
          <t>Field End</t>
        </is>
      </c>
      <c r="F44" s="5" t="inlineStr">
        <is>
          <t>Sample</t>
        </is>
      </c>
      <c r="G44" s="5" t="inlineStr">
        <is>
          <t>Pop.</t>
        </is>
      </c>
      <c r="H44" s="5" t="inlineStr">
        <is>
          <t>Brooks</t>
        </is>
      </c>
      <c r="I44" s="5" t="inlineStr">
        <is>
          <t>McClure</t>
        </is>
      </c>
      <c r="J44" s="5" t="inlineStr">
        <is>
          <t>Crosswell</t>
        </is>
      </c>
      <c r="K44" s="5" t="inlineStr">
        <is>
          <t>Obando-Derstine</t>
        </is>
      </c>
      <c r="L44" s="5" t="inlineStr">
        <is>
          <t>Undecided</t>
        </is>
      </c>
      <c r="M44" s="5" t="inlineStr">
        <is>
          <t>Other</t>
        </is>
      </c>
      <c r="N44" s="5" t="inlineStr">
        <is>
          <t>Brooks Lead</t>
        </is>
      </c>
      <c r="O44" s="5" t="inlineStr">
        <is>
          <t>Leader</t>
        </is>
      </c>
    </row>
    <row r="45">
      <c r="A45" s="26" t="inlineStr">
        <is>
          <t>Change Research</t>
        </is>
      </c>
      <c r="B45" s="26" t="inlineStr">
        <is>
          <t>(none)</t>
        </is>
      </c>
      <c r="C45" s="26" t="inlineStr">
        <is>
          <t>None</t>
        </is>
      </c>
      <c r="D45" s="39" t="n">
        <v>46007</v>
      </c>
      <c r="E45" s="39" t="n">
        <v>46010</v>
      </c>
      <c r="F45" s="45" t="n">
        <v>892</v>
      </c>
      <c r="G45" s="26" t="inlineStr">
        <is>
          <t>LV</t>
        </is>
      </c>
      <c r="H45" s="11" t="n">
        <v>0.11</v>
      </c>
      <c r="I45" s="16" t="n">
        <v>0.17</v>
      </c>
      <c r="J45" s="16" t="n">
        <v>0.05</v>
      </c>
      <c r="K45" s="16" t="n">
        <v>0.1</v>
      </c>
      <c r="L45" s="16" t="n">
        <v>0.53</v>
      </c>
      <c r="M45" s="16" t="n">
        <v>0.03</v>
      </c>
      <c r="N45" s="18">
        <f>IF(COUNT(H45:K45)&gt;1,H45-MAX(I45:K45),"")</f>
        <v/>
      </c>
      <c r="O45" s="59">
        <f>IF(COUNT(H45:K45)=0,"",INDEX($H$44:$K$44,MATCH(MAX(H45:K45),H45:K45,0)))</f>
        <v/>
      </c>
    </row>
    <row r="46">
      <c r="A46" s="38" t="inlineStr">
        <is>
          <t>GBAO</t>
        </is>
      </c>
      <c r="B46" s="38" t="inlineStr">
        <is>
          <t>Congressional Progressive Caucus PAC (CPC PAC)</t>
        </is>
      </c>
      <c r="C46" s="38" t="inlineStr">
        <is>
          <t>D</t>
        </is>
      </c>
      <c r="D46" s="41" t="n">
        <v>46078</v>
      </c>
      <c r="E46" s="41" t="n">
        <v>46082</v>
      </c>
      <c r="F46" s="46" t="n">
        <v>500</v>
      </c>
      <c r="G46" s="38" t="inlineStr">
        <is>
          <t>LV</t>
        </is>
      </c>
      <c r="H46" s="11" t="n">
        <v>0.13</v>
      </c>
      <c r="I46" s="28" t="n">
        <v>0.19</v>
      </c>
      <c r="J46" s="28" t="n">
        <v>0.08</v>
      </c>
      <c r="K46" s="28" t="n">
        <v>0.13</v>
      </c>
      <c r="L46" s="28" t="n">
        <v>0.44</v>
      </c>
      <c r="M46" s="28" t="n">
        <v>0.03</v>
      </c>
      <c r="N46" s="31">
        <f>IF(COUNT(H46:K46)&gt;1,H46-MAX(I46:K46),"")</f>
        <v/>
      </c>
      <c r="O46" s="60">
        <f>IF(COUNT(H46:K46)=0,"",INDEX($H$44:$K$44,MATCH(MAX(H46:K46),H46:K46,0)))</f>
        <v/>
      </c>
    </row>
    <row r="47">
      <c r="A47" s="26" t="inlineStr">
        <is>
          <t>GBAO</t>
        </is>
      </c>
      <c r="B47" s="26" t="inlineStr">
        <is>
          <t>Congressional Progressive Caucus PAC (CPC PAC)</t>
        </is>
      </c>
      <c r="C47" s="26" t="inlineStr">
        <is>
          <t>D</t>
        </is>
      </c>
      <c r="D47" s="39" t="n">
        <v>46128</v>
      </c>
      <c r="E47" s="39" t="n">
        <v>46131</v>
      </c>
      <c r="F47" s="45" t="n">
        <v>400</v>
      </c>
      <c r="G47" s="26" t="inlineStr">
        <is>
          <t>LV</t>
        </is>
      </c>
      <c r="H47" s="11" t="n">
        <v>0.24</v>
      </c>
      <c r="I47" s="16" t="n">
        <v>0.17</v>
      </c>
      <c r="J47" s="16" t="n">
        <v>0.09</v>
      </c>
      <c r="K47" s="16" t="n">
        <v>0.12</v>
      </c>
      <c r="L47" s="16" t="n">
        <v>0.36</v>
      </c>
      <c r="M47" s="16" t="n">
        <v>0.02</v>
      </c>
      <c r="N47" s="18">
        <f>IF(COUNT(H47:K47)&gt;1,H47-MAX(I47:K47),"")</f>
        <v/>
      </c>
      <c r="O47" s="59">
        <f>IF(COUNT(H47:K47)=0,"",INDEX($H$44:$K$44,MATCH(MAX(H47:K47),H47:K47,0)))</f>
        <v/>
      </c>
    </row>
    <row r="48">
      <c r="A48" s="38" t="inlineStr">
        <is>
          <t>Tavern Research</t>
        </is>
      </c>
      <c r="B48" s="38" t="inlineStr">
        <is>
          <t>(none)</t>
        </is>
      </c>
      <c r="C48" s="38" t="inlineStr">
        <is>
          <t>None</t>
        </is>
      </c>
      <c r="D48" s="41" t="n">
        <v>46159</v>
      </c>
      <c r="E48" s="41" t="n">
        <v>46159</v>
      </c>
      <c r="F48" s="46" t="n">
        <v>613</v>
      </c>
      <c r="G48" s="38" t="inlineStr">
        <is>
          <t>LV</t>
        </is>
      </c>
      <c r="H48" s="11" t="n">
        <v>0.26</v>
      </c>
      <c r="I48" s="28" t="n">
        <v>0.17</v>
      </c>
      <c r="J48" s="28" t="n">
        <v>0.16</v>
      </c>
      <c r="K48" s="28" t="n">
        <v>0.08</v>
      </c>
      <c r="L48" s="28" t="n">
        <v>0.31</v>
      </c>
      <c r="M48" s="28" t="n">
        <v>0.01</v>
      </c>
      <c r="N48" s="31">
        <f>IF(COUNT(H48:K48)&gt;1,H48-MAX(I48:K48),"")</f>
        <v/>
      </c>
      <c r="O48" s="60">
        <f>IF(COUNT(H48:K48)=0,"",INDEX($H$44:$K$44,MATCH(MAX(H48:K48),H48:K48,0)))</f>
        <v/>
      </c>
    </row>
    <row r="49">
      <c r="A49" s="61" t="inlineStr">
        <is>
          <t>ACTUAL RESULT</t>
        </is>
      </c>
      <c r="B49" s="61" t="inlineStr">
        <is>
          <t>Primary, 19 May 2026</t>
        </is>
      </c>
      <c r="C49" s="62" t="inlineStr">
        <is>
          <t>—</t>
        </is>
      </c>
      <c r="D49" s="62" t="n"/>
      <c r="E49" s="63" t="n">
        <v>46161</v>
      </c>
      <c r="F49" s="62" t="n"/>
      <c r="G49" s="62" t="n"/>
      <c r="H49" s="64" t="n">
        <v>0.414</v>
      </c>
      <c r="I49" s="62" t="n"/>
      <c r="J49" s="62" t="n"/>
      <c r="K49" s="62" t="n"/>
      <c r="L49" s="62" t="n"/>
      <c r="M49" s="62" t="n"/>
      <c r="N49" s="62" t="n"/>
      <c r="O49" s="62" t="n"/>
    </row>
    <row r="50">
      <c r="A50" s="2" t="inlineStr">
        <is>
          <t>Source: house.csv, stage = primary. Undecided is the "Don't know" answer; Other pools "Someone else" and "Would not vote". These markets are settled — the section is kept for calibration, not tracking.</t>
        </is>
      </c>
    </row>
    <row r="52">
      <c r="A52" s="3" t="inlineStr">
        <is>
          <t>DISTRICT &amp; INCUMBENT PROFILE — GovTrack</t>
        </is>
      </c>
      <c r="B52" s="4" t="n"/>
      <c r="C52" s="4" t="n"/>
      <c r="D52" s="4" t="n"/>
      <c r="E52" s="4" t="n"/>
      <c r="F52" s="4" t="n"/>
      <c r="G52" s="4" t="n"/>
      <c r="H52" s="4" t="n"/>
      <c r="I52" s="4" t="n"/>
      <c r="J52" s="4" t="n"/>
      <c r="K52" s="4" t="n"/>
      <c r="L52" s="4" t="n"/>
      <c r="M52" s="4" t="n"/>
      <c r="N52" s="4" t="n"/>
      <c r="O52" s="4" t="n"/>
    </row>
    <row r="53">
      <c r="A53" s="6" t="inlineStr">
        <is>
          <t>Incumbent</t>
        </is>
      </c>
      <c r="B53" s="65" t="inlineStr">
        <is>
          <t>Ryan Mackenzie (R)</t>
        </is>
      </c>
      <c r="C53" s="66" t="n"/>
      <c r="D53" s="66" t="n"/>
      <c r="E53" s="66" t="n"/>
      <c r="F53" s="66" t="n"/>
      <c r="G53" s="66" t="n"/>
      <c r="H53" s="66" t="n"/>
      <c r="I53" s="66" t="n"/>
      <c r="J53" s="66" t="n"/>
      <c r="K53" s="66" t="n"/>
      <c r="L53" s="66" t="n"/>
      <c r="M53" s="66" t="n"/>
      <c r="N53" s="66" t="n"/>
      <c r="O53" s="67" t="n"/>
    </row>
    <row r="54">
      <c r="A54" s="6" t="inlineStr">
        <is>
          <t>GovTrack profile</t>
        </is>
      </c>
      <c r="B54" s="65" t="inlineStr">
        <is>
          <t>govtrack.us/congress/members/ryan_mackenzie/457017</t>
        </is>
      </c>
      <c r="C54" s="66" t="n"/>
      <c r="D54" s="66" t="n"/>
      <c r="E54" s="66" t="n"/>
      <c r="F54" s="66" t="n"/>
      <c r="G54" s="66" t="n"/>
      <c r="H54" s="66" t="n"/>
      <c r="I54" s="66" t="n"/>
      <c r="J54" s="66" t="n"/>
      <c r="K54" s="66" t="n"/>
      <c r="L54" s="66" t="n"/>
      <c r="M54" s="66" t="n"/>
      <c r="N54" s="66" t="n"/>
      <c r="O54" s="67" t="n"/>
    </row>
    <row r="55">
      <c r="A55" s="6" t="inlineStr">
        <is>
          <t>Serving since</t>
        </is>
      </c>
      <c r="B55" s="65" t="inlineStr">
        <is>
          <t>2025-01-03</t>
        </is>
      </c>
      <c r="C55" s="66" t="n"/>
      <c r="D55" s="66" t="n"/>
      <c r="E55" s="66" t="n"/>
      <c r="F55" s="66" t="n"/>
      <c r="G55" s="66" t="n"/>
      <c r="H55" s="66" t="n"/>
      <c r="I55" s="66" t="n"/>
      <c r="J55" s="66" t="n"/>
      <c r="K55" s="66" t="n"/>
      <c r="L55" s="66" t="n"/>
      <c r="M55" s="66" t="n"/>
      <c r="N55" s="66" t="n"/>
      <c r="O55" s="67" t="n"/>
    </row>
    <row r="56">
      <c r="A56" s="6" t="inlineStr">
        <is>
          <t>Term ends</t>
        </is>
      </c>
      <c r="B56" s="65" t="inlineStr">
        <is>
          <t>2027-01-03</t>
        </is>
      </c>
      <c r="C56" s="66" t="n"/>
      <c r="D56" s="66" t="n"/>
      <c r="E56" s="66" t="n"/>
      <c r="F56" s="66" t="n"/>
      <c r="G56" s="66" t="n"/>
      <c r="H56" s="66" t="n"/>
      <c r="I56" s="66" t="n"/>
      <c r="J56" s="66" t="n"/>
      <c r="K56" s="66" t="n"/>
      <c r="L56" s="66" t="n"/>
      <c r="M56" s="66" t="n"/>
      <c r="N56" s="66" t="n"/>
      <c r="O56" s="67" t="n"/>
    </row>
    <row r="57">
      <c r="A57" s="6" t="inlineStr">
        <is>
          <t>Age</t>
        </is>
      </c>
      <c r="B57" s="65" t="inlineStr">
        <is>
          <t>44</t>
        </is>
      </c>
      <c r="C57" s="66" t="n"/>
      <c r="D57" s="66" t="n"/>
      <c r="E57" s="66" t="n"/>
      <c r="F57" s="66" t="n"/>
      <c r="G57" s="66" t="n"/>
      <c r="H57" s="66" t="n"/>
      <c r="I57" s="66" t="n"/>
      <c r="J57" s="66" t="n"/>
      <c r="K57" s="66" t="n"/>
      <c r="L57" s="66" t="n"/>
      <c r="M57" s="66" t="n"/>
      <c r="N57" s="66" t="n"/>
      <c r="O57" s="67" t="n"/>
    </row>
    <row r="58">
      <c r="A58" s="6" t="inlineStr">
        <is>
          <t>Next election</t>
        </is>
      </c>
      <c r="B58" s="65" t="inlineStr">
        <is>
          <t>2026</t>
        </is>
      </c>
      <c r="C58" s="66" t="n"/>
      <c r="D58" s="66" t="n"/>
      <c r="E58" s="66" t="n"/>
      <c r="F58" s="66" t="n"/>
      <c r="G58" s="66" t="n"/>
      <c r="H58" s="66" t="n"/>
      <c r="I58" s="66" t="n"/>
      <c r="J58" s="66" t="n"/>
      <c r="K58" s="66" t="n"/>
      <c r="L58" s="66" t="n"/>
      <c r="M58" s="66" t="n"/>
      <c r="N58" s="66" t="n"/>
      <c r="O58" s="67" t="n"/>
    </row>
    <row r="59">
      <c r="A59" s="6" t="inlineStr">
        <is>
          <t>Caucus</t>
        </is>
      </c>
      <c r="B59" s="65" t="inlineStr">
        <is>
          <t>Main Street Caucus</t>
        </is>
      </c>
      <c r="C59" s="66" t="n"/>
      <c r="D59" s="66" t="n"/>
      <c r="E59" s="66" t="n"/>
      <c r="F59" s="66" t="n"/>
      <c r="G59" s="66" t="n"/>
      <c r="H59" s="66" t="n"/>
      <c r="I59" s="66" t="n"/>
      <c r="J59" s="66" t="n"/>
      <c r="K59" s="66" t="n"/>
      <c r="L59" s="66" t="n"/>
      <c r="M59" s="66" t="n"/>
      <c r="N59" s="66" t="n"/>
      <c r="O59" s="67" t="n"/>
    </row>
    <row r="60" ht="26" customHeight="1">
      <c r="A60" s="6" t="inlineStr">
        <is>
          <t>Committees</t>
        </is>
      </c>
      <c r="B60" s="65" t="inlineStr">
        <is>
          <t>Education &amp; Workforce (Chair, Workforce Protections subcttee); Foreign Affairs; Homeland Security</t>
        </is>
      </c>
      <c r="C60" s="66" t="n"/>
      <c r="D60" s="66" t="n"/>
      <c r="E60" s="66" t="n"/>
      <c r="F60" s="66" t="n"/>
      <c r="G60" s="66" t="n"/>
      <c r="H60" s="66" t="n"/>
      <c r="I60" s="66" t="n"/>
      <c r="J60" s="66" t="n"/>
      <c r="K60" s="66" t="n"/>
      <c r="L60" s="66" t="n"/>
      <c r="M60" s="66" t="n"/>
      <c r="N60" s="66" t="n"/>
      <c r="O60" s="67" t="n"/>
    </row>
    <row r="61" ht="26" customHeight="1">
      <c r="A61" s="6" t="inlineStr">
        <is>
          <t>Missed votes</t>
        </is>
      </c>
      <c r="B61" s="65" t="inlineStr">
        <is>
          <t>13 of 645 roll calls, Jan 2025 – Jul 2026 (2.0%) — on par with the 2.0% median among sitting representatives</t>
        </is>
      </c>
      <c r="C61" s="66" t="n"/>
      <c r="D61" s="66" t="n"/>
      <c r="E61" s="66" t="n"/>
      <c r="F61" s="66" t="n"/>
      <c r="G61" s="66" t="n"/>
      <c r="H61" s="66" t="n"/>
      <c r="I61" s="66" t="n"/>
      <c r="J61" s="66" t="n"/>
      <c r="K61" s="66" t="n"/>
      <c r="L61" s="66" t="n"/>
      <c r="M61" s="66" t="n"/>
      <c r="N61" s="66" t="n"/>
      <c r="O61" s="67" t="n"/>
    </row>
    <row r="62">
      <c r="A62" s="6" t="inlineStr">
        <is>
          <t>Top sponsorship areas</t>
        </is>
      </c>
      <c r="B62" s="65" t="inlineStr">
        <is>
          <t>Taxation 23%; Armed Forces &amp; National Security 23%; Government Operations 18%; Health 9%</t>
        </is>
      </c>
      <c r="C62" s="66" t="n"/>
      <c r="D62" s="66" t="n"/>
      <c r="E62" s="66" t="n"/>
      <c r="F62" s="66" t="n"/>
      <c r="G62" s="66" t="n"/>
      <c r="H62" s="66" t="n"/>
      <c r="I62" s="66" t="n"/>
      <c r="J62" s="66" t="n"/>
      <c r="K62" s="66" t="n"/>
      <c r="L62" s="66" t="n"/>
      <c r="M62" s="66" t="n"/>
      <c r="N62" s="66" t="n"/>
      <c r="O62" s="67" t="n"/>
    </row>
    <row r="63">
      <c r="A63" s="6" t="inlineStr">
        <is>
          <t>PA senators</t>
        </is>
      </c>
      <c r="B63" s="65" t="inlineStr">
        <is>
          <t>John Fetterman (D, since 2023); Dave McCormick (R, since 2025)</t>
        </is>
      </c>
      <c r="C63" s="66" t="n"/>
      <c r="D63" s="66" t="n"/>
      <c r="E63" s="66" t="n"/>
      <c r="F63" s="66" t="n"/>
      <c r="G63" s="66" t="n"/>
      <c r="H63" s="66" t="n"/>
      <c r="I63" s="66" t="n"/>
      <c r="J63" s="66" t="n"/>
      <c r="K63" s="66" t="n"/>
      <c r="L63" s="66" t="n"/>
      <c r="M63" s="66" t="n"/>
      <c r="N63" s="66" t="n"/>
      <c r="O63" s="67" t="n"/>
    </row>
    <row r="64" ht="26" customHeight="1">
      <c r="A64" s="6" t="inlineStr">
        <is>
          <t>Redistricting caveat</t>
        </is>
      </c>
      <c r="B64" s="65" t="inlineStr">
        <is>
          <t>GovTrack notes some states are changing districts for 2026; its map reflects the 2024 lines. Confirm PA-07's boundaries before treating district-level history as like-for-like.</t>
        </is>
      </c>
      <c r="C64" s="66" t="n"/>
      <c r="D64" s="66" t="n"/>
      <c r="E64" s="66" t="n"/>
      <c r="F64" s="66" t="n"/>
      <c r="G64" s="66" t="n"/>
      <c r="H64" s="66" t="n"/>
      <c r="I64" s="66" t="n"/>
      <c r="J64" s="66" t="n"/>
      <c r="K64" s="66" t="n"/>
      <c r="L64" s="66" t="n"/>
      <c r="M64" s="66" t="n"/>
      <c r="N64" s="66" t="n"/>
      <c r="O64" s="67" t="n"/>
    </row>
    <row r="66">
      <c r="A66" s="3" t="inlineStr">
        <is>
          <t>SUPPLEMENTARY DISTRICT NUMBERS (no head-to-head)</t>
        </is>
      </c>
      <c r="B66" s="4" t="n"/>
      <c r="C66" s="4" t="n"/>
      <c r="D66" s="4" t="n"/>
      <c r="E66" s="4" t="n"/>
      <c r="F66" s="4" t="n"/>
      <c r="G66" s="4" t="n"/>
      <c r="H66" s="4" t="n"/>
      <c r="I66" s="4" t="n"/>
      <c r="J66" s="4" t="n"/>
      <c r="K66" s="4" t="n"/>
      <c r="L66" s="4" t="n"/>
      <c r="M66" s="4" t="n"/>
      <c r="N66" s="4" t="n"/>
      <c r="O66" s="4" t="n"/>
    </row>
    <row r="67" ht="30" customHeight="1">
      <c r="A67" s="5" t="inlineStr">
        <is>
          <t>Source</t>
        </is>
      </c>
      <c r="B67" s="5" t="inlineStr">
        <is>
          <t>Sponsor</t>
        </is>
      </c>
      <c r="C67" s="5" t="inlineStr">
        <is>
          <t>Metric</t>
        </is>
      </c>
      <c r="D67" s="5" t="inlineStr"/>
      <c r="E67" s="5" t="inlineStr">
        <is>
          <t>Favourable / Approve</t>
        </is>
      </c>
      <c r="F67" s="5" t="inlineStr">
        <is>
          <t>Unfavourable / Disapprove</t>
        </is>
      </c>
      <c r="G67" s="5" t="inlineStr">
        <is>
          <t>Net</t>
        </is>
      </c>
      <c r="H67" s="5" t="inlineStr"/>
      <c r="I67" s="5" t="inlineStr"/>
      <c r="J67" s="5" t="inlineStr"/>
      <c r="K67" s="5" t="inlineStr"/>
      <c r="L67" s="5" t="inlineStr"/>
      <c r="M67" s="5" t="inlineStr"/>
      <c r="N67" s="5" t="inlineStr"/>
      <c r="O67" s="5" t="inlineStr"/>
    </row>
    <row r="68">
      <c r="A68" s="26" t="inlineStr">
        <is>
          <t>GBAO (29 Jun – 2 Jul 2026)</t>
        </is>
      </c>
      <c r="B68" s="26" t="inlineStr">
        <is>
          <t>House Majority PAC</t>
        </is>
      </c>
      <c r="C68" s="26" t="inlineStr">
        <is>
          <t>Trump favourability in PA-07</t>
        </is>
      </c>
      <c r="D68" s="67" t="n"/>
      <c r="E68" s="16" t="n">
        <v>0.44</v>
      </c>
      <c r="F68" s="16" t="n">
        <v>0.51</v>
      </c>
      <c r="G68" s="18">
        <f>E68-F68</f>
        <v/>
      </c>
    </row>
    <row r="69">
      <c r="A69" s="26" t="inlineStr">
        <is>
          <t>GBAO (29 Jun – 2 Jul 2026)</t>
        </is>
      </c>
      <c r="B69" s="26" t="inlineStr">
        <is>
          <t>House Majority PAC</t>
        </is>
      </c>
      <c r="C69" s="26" t="inlineStr">
        <is>
          <t>2024 recall: Trump vs Harris</t>
        </is>
      </c>
      <c r="D69" s="67" t="n"/>
      <c r="E69" s="16" t="n">
        <v>0.47</v>
      </c>
      <c r="F69" s="16" t="n">
        <v>0.46</v>
      </c>
      <c r="G69" s="18">
        <f>E69-F69</f>
        <v/>
      </c>
    </row>
    <row r="70">
      <c r="A70" s="26" t="inlineStr">
        <is>
          <t>House Majority Forward (n/d)</t>
        </is>
      </c>
      <c r="B70" s="26" t="inlineStr">
        <is>
          <t>House Majority Forward</t>
        </is>
      </c>
      <c r="C70" s="26" t="inlineStr">
        <is>
          <t>Mackenzie job approval</t>
        </is>
      </c>
      <c r="D70" s="67" t="n"/>
      <c r="E70" s="16" t="n">
        <v>0.27</v>
      </c>
      <c r="F70" s="16" t="n">
        <v>0.41</v>
      </c>
      <c r="G70" s="18">
        <f>E70-F70</f>
        <v/>
      </c>
    </row>
    <row r="71">
      <c r="A71" s="26" t="inlineStr">
        <is>
          <t>House Majority Forward (n/d)</t>
        </is>
      </c>
      <c r="B71" s="26" t="inlineStr">
        <is>
          <t>House Majority Forward</t>
        </is>
      </c>
      <c r="C71" s="26" t="inlineStr">
        <is>
          <t>Trump favourability in PA-07</t>
        </is>
      </c>
      <c r="D71" s="67" t="n"/>
      <c r="E71" s="16" t="n">
        <v>0.4</v>
      </c>
      <c r="F71" s="16" t="n">
        <v>0.5600000000000001</v>
      </c>
      <c r="G71" s="18">
        <f>E71-F71</f>
        <v/>
      </c>
    </row>
    <row r="72">
      <c r="A72" s="26" t="inlineStr">
        <is>
          <t>House Majority Forward (n/d)</t>
        </is>
      </c>
      <c r="B72" s="26" t="inlineStr">
        <is>
          <t>House Majority Forward</t>
        </is>
      </c>
      <c r="C72" s="26" t="inlineStr">
        <is>
          <t>Trump job approval in PA-07</t>
        </is>
      </c>
      <c r="D72" s="67" t="n"/>
      <c r="E72" s="16" t="n">
        <v>0.41</v>
      </c>
      <c r="F72" s="16" t="n">
        <v>0.57</v>
      </c>
      <c r="G72" s="18">
        <f>E72-F72</f>
        <v/>
      </c>
    </row>
    <row r="73">
      <c r="A73" s="2" t="inlineStr">
        <is>
          <t>The 2024 recall line is the sample's remembered 2024 presidential vote, so its net reads as Trump's recalled margin. House Majority Forward figures were reported by PoliticsPA without field dates, sample size or MoE, and predate the May primary. Neither source appears in house.csv.</t>
        </is>
      </c>
    </row>
    <row r="75">
      <c r="A75" s="3" t="inlineStr">
        <is>
          <t>EXAMPLE ROW — format reference only, delete before use</t>
        </is>
      </c>
      <c r="B75" s="4" t="n"/>
      <c r="C75" s="4" t="n"/>
      <c r="D75" s="4" t="n"/>
      <c r="E75" s="4" t="n"/>
      <c r="F75" s="4" t="n"/>
      <c r="G75" s="4" t="n"/>
      <c r="H75" s="4" t="n"/>
      <c r="I75" s="4" t="n"/>
      <c r="J75" s="4" t="n"/>
      <c r="K75" s="4" t="n"/>
      <c r="L75" s="4" t="n"/>
      <c r="M75" s="4" t="n"/>
      <c r="N75" s="4" t="n"/>
      <c r="O75" s="4" t="n"/>
    </row>
    <row r="76" ht="30" customHeight="1">
      <c r="A76" s="5" t="inlineStr">
        <is>
          <t>Pollster</t>
        </is>
      </c>
      <c r="B76" s="5" t="inlineStr">
        <is>
          <t>Sponsor / Client</t>
        </is>
      </c>
      <c r="C76" s="5" t="inlineStr">
        <is>
          <t>Sponsor Lean</t>
        </is>
      </c>
      <c r="D76" s="5" t="inlineStr">
        <is>
          <t>Field Start</t>
        </is>
      </c>
      <c r="E76" s="5" t="inlineStr">
        <is>
          <t>Field End</t>
        </is>
      </c>
      <c r="F76" s="5" t="inlineStr">
        <is>
          <t>Sample</t>
        </is>
      </c>
      <c r="G76" s="5" t="inlineStr">
        <is>
          <t>Pop.</t>
        </is>
      </c>
      <c r="H76" s="5" t="inlineStr">
        <is>
          <t>MoE</t>
        </is>
      </c>
      <c r="I76" s="5" t="inlineStr">
        <is>
          <t>Brooks (D)</t>
        </is>
      </c>
      <c r="J76" s="5" t="inlineStr">
        <is>
          <t>Mackenzie (R)</t>
        </is>
      </c>
      <c r="K76" s="5" t="inlineStr">
        <is>
          <t>Other / Undecided</t>
        </is>
      </c>
      <c r="L76" s="5" t="inlineStr">
        <is>
          <t>Margin (D−R)</t>
        </is>
      </c>
      <c r="M76" s="5" t="inlineStr">
        <is>
          <t>Days Ago</t>
        </is>
      </c>
      <c r="N76" s="5" t="inlineStr">
        <is>
          <t>Recency Weight</t>
        </is>
      </c>
      <c r="O76" s="5" t="inlineStr">
        <is>
          <t>Poll Weight</t>
        </is>
      </c>
    </row>
    <row r="77">
      <c r="A77" s="68" t="inlineStr">
        <is>
          <t>Emerson College</t>
        </is>
      </c>
      <c r="B77" s="68" t="inlineStr">
        <is>
          <t>Emerson / The Hill</t>
        </is>
      </c>
      <c r="C77" s="68" t="inlineStr">
        <is>
          <t>None</t>
        </is>
      </c>
      <c r="D77" s="69" t="n">
        <v>46279</v>
      </c>
      <c r="E77" s="69" t="n">
        <v>46282</v>
      </c>
      <c r="F77" s="70" t="n">
        <v>700</v>
      </c>
      <c r="G77" s="68" t="inlineStr">
        <is>
          <t>LV</t>
        </is>
      </c>
      <c r="H77" s="71" t="n">
        <v>0.037</v>
      </c>
      <c r="I77" s="71" t="n">
        <v>0.485</v>
      </c>
      <c r="J77" s="71" t="n">
        <v>0.455</v>
      </c>
      <c r="K77" s="71" t="n">
        <v>0.06</v>
      </c>
      <c r="L77" s="72">
        <f>I77-J77</f>
        <v/>
      </c>
      <c r="M77" s="73">
        <f>$B$28-E77</f>
        <v/>
      </c>
      <c r="N77" s="77">
        <f>0.5^(M77/$B$29)</f>
        <v/>
      </c>
      <c r="O77" s="73">
        <f>F77*N77</f>
        <v/>
      </c>
    </row>
  </sheetData>
  <mergeCells count="25">
    <mergeCell ref="A7:O7"/>
    <mergeCell ref="A25:O25"/>
    <mergeCell ref="C68:D68"/>
    <mergeCell ref="A41:O41"/>
    <mergeCell ref="B54:O54"/>
    <mergeCell ref="B62:O62"/>
    <mergeCell ref="B59:O59"/>
    <mergeCell ref="A50:O50"/>
    <mergeCell ref="B56:O56"/>
    <mergeCell ref="B58:O58"/>
    <mergeCell ref="A5:O5"/>
    <mergeCell ref="A8:O8"/>
    <mergeCell ref="B60:O60"/>
    <mergeCell ref="B61:O61"/>
    <mergeCell ref="B57:O57"/>
    <mergeCell ref="B53:O53"/>
    <mergeCell ref="C71:D71"/>
    <mergeCell ref="C70:D70"/>
    <mergeCell ref="A73:O73"/>
    <mergeCell ref="C72:D72"/>
    <mergeCell ref="B55:O55"/>
    <mergeCell ref="B64:O64"/>
    <mergeCell ref="A6:O6"/>
    <mergeCell ref="B63:O63"/>
    <mergeCell ref="C69:D69"/>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278"/>
  <sheetViews>
    <sheetView showGridLines="0" workbookViewId="0">
      <pane ySplit="3" topLeftCell="A4" activePane="bottomLeft" state="frozen"/>
      <selection pane="bottomLeft" activeCell="A1" sqref="A1"/>
    </sheetView>
  </sheetViews>
  <sheetFormatPr baseColWidth="8" defaultRowHeight="15"/>
  <cols>
    <col width="26" customWidth="1" min="1" max="1"/>
    <col width="15" customWidth="1" min="2" max="2"/>
    <col width="15" customWidth="1" min="3" max="3"/>
    <col width="15" customWidth="1" min="4" max="4"/>
    <col width="14" customWidth="1" min="5" max="5"/>
    <col width="14" customWidth="1" min="6" max="6"/>
    <col width="14" customWidth="1" min="7" max="7"/>
    <col width="14" customWidth="1" min="8" max="8"/>
    <col width="14" customWidth="1" min="9" max="9"/>
  </cols>
  <sheetData>
    <row r="1">
      <c r="A1" s="1" t="inlineStr">
        <is>
          <t>Forecast &amp; Aggregators</t>
        </is>
      </c>
    </row>
    <row r="2">
      <c r="A2" s="2" t="inlineStr">
        <is>
          <t>Outside views of PA-07: a statistical forecast, a third-party odds tracker, and what each disagrees with the markets about. Compiled 2026-10-12 02:24 UTC.</t>
        </is>
      </c>
    </row>
    <row r="4">
      <c r="A4" s="3" t="inlineStr">
        <is>
          <t>MODEL vs MARKET — the headline disagreement</t>
        </is>
      </c>
      <c r="B4" s="4" t="n"/>
      <c r="C4" s="4" t="n"/>
      <c r="D4" s="4" t="n"/>
      <c r="E4" s="4" t="n"/>
      <c r="F4" s="4" t="n"/>
      <c r="G4" s="4" t="n"/>
      <c r="H4" s="4" t="n"/>
      <c r="I4" s="4" t="n"/>
    </row>
    <row r="5" ht="26" customHeight="1">
      <c r="A5" s="6" t="inlineStr">
        <is>
          <t>Market consensus P(Dem)</t>
        </is>
      </c>
      <c r="B5" s="96">
        <f>AVERAGE(Polymarket!D19,Kalshi!E17)</f>
        <v/>
      </c>
      <c r="C5" s="67" t="n"/>
      <c r="D5" s="2" t="inlineStr">
        <is>
          <t>Equal-weighted mean of the two venue mids, read directly from their APIs.</t>
        </is>
      </c>
    </row>
    <row r="6" ht="26" customHeight="1">
      <c r="A6" s="6" t="inlineStr">
        <is>
          <t>PollsMax model P(Dem)</t>
        </is>
      </c>
      <c r="B6" s="96" t="n">
        <v>0.595</v>
      </c>
      <c r="C6" s="67" t="n"/>
      <c r="D6" s="2" t="inlineStr">
        <is>
          <t>Polls plus fundamentals through a Monte Carlo, not a traded price.</t>
        </is>
      </c>
    </row>
    <row r="7">
      <c r="A7" s="6" t="inlineStr">
        <is>
          <t>Gap (market − model)</t>
        </is>
      </c>
      <c r="B7" s="57">
        <f>IF(AND(ISNUMBER(B5),ISNUMBER(B6)),B5-B6,"")</f>
        <v/>
      </c>
    </row>
    <row r="8">
      <c r="A8" s="6" t="inlineStr">
        <is>
          <t>Projected margin (model)</t>
        </is>
      </c>
      <c r="B8" s="97" t="n">
        <v>0.6</v>
      </c>
      <c r="D8" s="2" t="inlineStr">
        <is>
          <t>Model's central vote-margin estimate, D positive.</t>
        </is>
      </c>
    </row>
    <row r="9">
      <c r="A9" s="6" t="inlineStr">
        <is>
          <t>Rating (model)</t>
        </is>
      </c>
      <c r="B9" s="26" t="n"/>
    </row>
    <row r="10" ht="26" customHeight="1">
      <c r="A10" s="98" t="inlineStr">
        <is>
          <t>A gap this wide is the single most interesting number in this workbook: the model projects a roughly one-point race yet the markets price the Democrat far above even odds. Either the market knows something the fundamentals do not, or it is overconfident about a tossup.</t>
        </is>
      </c>
    </row>
    <row r="12">
      <c r="A12" s="3" t="inlineStr">
        <is>
          <t>POLLSMAX — forecast detail</t>
        </is>
      </c>
      <c r="B12" s="4" t="n"/>
      <c r="C12" s="4" t="n"/>
      <c r="D12" s="4" t="n"/>
      <c r="E12" s="4" t="n"/>
      <c r="F12" s="4" t="n"/>
      <c r="G12" s="4" t="n"/>
      <c r="H12" s="4" t="n"/>
      <c r="I12" s="4" t="n"/>
    </row>
    <row r="13">
      <c r="A13" s="6" t="inlineStr">
        <is>
          <t>Brooks (D) win probability</t>
        </is>
      </c>
      <c r="B13" s="16" t="n">
        <v>0.595</v>
      </c>
      <c r="C13" s="66" t="n"/>
      <c r="D13" s="67" t="n"/>
    </row>
    <row r="14">
      <c r="A14" s="6" t="inlineStr">
        <is>
          <t>Mackenzie (R) win probability</t>
        </is>
      </c>
      <c r="B14" s="16" t="n">
        <v>0.405</v>
      </c>
      <c r="C14" s="66" t="n"/>
      <c r="D14" s="67" t="n"/>
    </row>
    <row r="15">
      <c r="A15" s="6" t="inlineStr">
        <is>
          <t>Projected margin (D−R)</t>
        </is>
      </c>
      <c r="B15" s="97" t="n">
        <v>0.6</v>
      </c>
      <c r="C15" s="66" t="n"/>
      <c r="D15" s="67" t="n"/>
    </row>
    <row r="16">
      <c r="A16" s="6" t="inlineStr">
        <is>
          <t>Polling average — Brooks</t>
        </is>
      </c>
      <c r="B16" s="16" t="n">
        <v>0.47</v>
      </c>
      <c r="C16" s="66" t="n"/>
      <c r="D16" s="67" t="n"/>
    </row>
    <row r="17">
      <c r="A17" s="6" t="inlineStr">
        <is>
          <t>Polling average — Mackenzie</t>
        </is>
      </c>
      <c r="B17" s="16" t="n">
        <v>0.43</v>
      </c>
      <c r="C17" s="66" t="n"/>
      <c r="D17" s="67" t="n"/>
    </row>
    <row r="18">
      <c r="A18" s="6" t="inlineStr">
        <is>
          <t>Polling average margin</t>
        </is>
      </c>
      <c r="B18" s="99" t="n">
        <v>0.04</v>
      </c>
      <c r="C18" s="66" t="n"/>
      <c r="D18" s="67" t="n"/>
    </row>
    <row r="19">
      <c r="A19" s="6" t="inlineStr">
        <is>
          <t>Polls in their average</t>
        </is>
      </c>
      <c r="B19" s="45" t="n">
        <v>1</v>
      </c>
      <c r="C19" s="66" t="n"/>
      <c r="D19" s="67" t="n"/>
    </row>
    <row r="20">
      <c r="A20" s="6" t="inlineStr">
        <is>
          <t>Average as of</t>
        </is>
      </c>
      <c r="B20" s="26" t="inlineStr">
        <is>
          <t>August 30, 2026</t>
        </is>
      </c>
      <c r="C20" s="66" t="n"/>
      <c r="D20" s="67" t="n"/>
    </row>
    <row r="21">
      <c r="A21" s="6" t="inlineStr">
        <is>
          <t>Retrieved</t>
        </is>
      </c>
      <c r="B21" s="26" t="inlineStr">
        <is>
          <t>2026-08-30T16:21:45Z</t>
        </is>
      </c>
      <c r="C21" s="66" t="n"/>
      <c r="D21" s="67" t="n"/>
    </row>
    <row r="22" ht="39" customHeight="1">
      <c r="A22" s="98" t="inlineStr">
        <is>
          <t>Uncertainty band: Site plots a daily Upper/Lower simulation band around both the projected vote share and the win-probability trend lines, but does not disclose what confidence/percentile level those bands represent. As of the last plotted day (2026-08-19): projected vote share Brooks 50.3% [48.49-52.12] / Mackenzie 49.7% [47.88-51.51]; win probability Brooks 59.53% [54.53-64.53] / Mackenzie 40.47% [35.47-45.47].</t>
        </is>
      </c>
    </row>
    <row r="24">
      <c r="A24" s="3" t="inlineStr">
        <is>
          <t>POLLSMAX — methodology, in their words</t>
        </is>
      </c>
      <c r="B24" s="4" t="n"/>
      <c r="C24" s="4" t="n"/>
      <c r="D24" s="4" t="n"/>
      <c r="E24" s="4" t="n"/>
      <c r="F24" s="4" t="n"/>
      <c r="G24" s="4" t="n"/>
      <c r="H24" s="4" t="n"/>
      <c r="I24" s="4" t="n"/>
    </row>
    <row r="25" ht="55" customHeight="1">
      <c r="A25" s="6" t="inlineStr">
        <is>
          <t>Summary</t>
        </is>
      </c>
      <c r="B25" s="65" t="inlineStr">
        <is>
          <t>Pollsmax runs two linked systems: (1) a polling-average model that produces a time-weighted, partisanship-adjusted mean of all polls for a race, and (2) a forecast model that blends that polling average with structural 'fundamentals' (generic ballot, presidential approval, incumbency, prior results, partisan lean/PVI, and Pollsmax's own editorial rating) into a composite margin, which is then run through 10,000-100,000 daily Monte Carlo simulations to produce win probabilities, a projected margin, and projected vote shares.</t>
        </is>
      </c>
      <c r="C25" s="66" t="n"/>
      <c r="D25" s="66" t="n"/>
      <c r="E25" s="66" t="n"/>
      <c r="F25" s="66" t="n"/>
      <c r="G25" s="66" t="n"/>
      <c r="H25" s="66" t="n"/>
      <c r="I25" s="67" t="n"/>
    </row>
    <row r="26" ht="99" customHeight="1">
      <c r="A26" s="6" t="inlineStr">
        <is>
          <t>Weighting</t>
        </is>
      </c>
      <c r="B26" s="65" t="inlineStr">
        <is>
          <t>Race-page polling averages are a recency-weighted mean of all polls dated on or before each chart day, with the recency curve adapting to how many polls exist so sparse races (like this one, with only 1 poll) do not overreact to a single survey. Forecasts blend polling with fundamentals; at full poll depth (6+ polls for House) the standardized House weights are: Polling 30%, Editorial rating 40%, PVI 10%, prior House result 10%, incumbency 5%, generic ballot 2.5%, Trump approval 2.5%. Below the poll-count threshold, 'the polling share drops by five percentage points for each missing poll and the non-polling factors are rescaled proportionally.' For this specific PA-7 race (1 poll, well below the 6-poll threshold), the site's own displayed input-weight breakdown shows no separate polling-margin line at all: Trump Approval 3.6%, Generic Ballot 3.6%, Past Race Results 14.3%, Incumbency 7.1%, Partisan Lean 14.3%, Editorial Rating 57.1% (sums to 100%).</t>
        </is>
      </c>
      <c r="C26" s="66" t="n"/>
      <c r="D26" s="66" t="n"/>
      <c r="E26" s="66" t="n"/>
      <c r="F26" s="66" t="n"/>
      <c r="G26" s="66" t="n"/>
      <c r="H26" s="66" t="n"/>
      <c r="I26" s="67" t="n"/>
    </row>
    <row r="27" ht="22" customHeight="1">
      <c r="A27" s="6" t="inlineStr">
        <is>
          <t>Recency</t>
        </is>
      </c>
      <c r="B27" s="65" t="inlineStr">
        <is>
          <t>'More recent surveys receive higher weight' in the polling average. Trump approval and the generic ballot use a rolling ~28-day sample-size-weighted window rather than the race-specific recency curve.</t>
        </is>
      </c>
      <c r="C27" s="66" t="n"/>
      <c r="D27" s="66" t="n"/>
      <c r="E27" s="66" t="n"/>
      <c r="F27" s="66" t="n"/>
      <c r="G27" s="66" t="n"/>
      <c r="H27" s="66" t="n"/>
      <c r="I27" s="67" t="n"/>
    </row>
    <row r="28" ht="33" customHeight="1">
      <c r="A28" s="6" t="inlineStr">
        <is>
          <t>Pollster quality</t>
        </is>
      </c>
      <c r="B28" s="65" t="inlineStr">
        <is>
          <t>No explicit per-pollster letter grade or quality score is shown on the race, forecast, or methodology pages, and no separate 'pollster ratings' page was found linked from the site. The only pollster-side adjustment described is the partisan-sponsor tag adjustment (see house_effects).</t>
        </is>
      </c>
      <c r="C28" s="66" t="n"/>
      <c r="D28" s="66" t="n"/>
      <c r="E28" s="66" t="n"/>
      <c r="F28" s="66" t="n"/>
      <c r="G28" s="66" t="n"/>
      <c r="H28" s="66" t="n"/>
      <c r="I28" s="67" t="n"/>
    </row>
    <row r="29" ht="55" customHeight="1">
      <c r="A29" s="6" t="inlineStr">
        <is>
          <t>House effects</t>
        </is>
      </c>
      <c r="B29" s="65" t="inlineStr">
        <is>
          <t>'Before averaging, polls from pollsters tagged with a party sponsor, (D) or (R) in the pollster name, receive a fixed margin adjustment on the modeled values. This adjustment is applied whenever the tag is present.' Separately, when 3+ paired polls exist, Pollsmax computes 'a robust consensus margin (median Democratic minus Republican)' and downweights (but does not delete) outliers via a median-absolute-deviation (MAD) scale; with only 1 poll in this race that outlier step cannot engage.</t>
        </is>
      </c>
      <c r="C29" s="66" t="n"/>
      <c r="D29" s="66" t="n"/>
      <c r="E29" s="66" t="n"/>
      <c r="F29" s="66" t="n"/>
      <c r="G29" s="66" t="n"/>
      <c r="H29" s="66" t="n"/>
      <c r="I29" s="67" t="n"/>
    </row>
    <row r="30" ht="99" customHeight="1">
      <c r="A30" s="6" t="inlineStr">
        <is>
          <t>Forecast model</t>
        </is>
      </c>
      <c r="B30" s="65" t="inlineStr">
        <is>
          <t>The composite expected Democratic margin from the weighted blend of polling and fundamentals 'is converted to a win probability using a calibrated margin-to-odds curve, ... slightly steeper than a pure linear scale.' House races use 'a steeper House-specific curve' than Senate/governor. A Monte Carlo simulation (10,000 draws per House district daily) then draws 'from a normal distribution centered on a calibrated target margin' that 'blends the odds-implied margin from the composite win probability with the raw composite margin itself.' 'Simulation spread (sigma) is calibrated so the model's win probability matches anchor points at standard rating tiers; for example, roughly 95% for a safe seat and 75% for a likely seat.' The displayed race rating (e.g. 'Tilt D') is 'derived from the composite win probability using fixed probability breakpoints aligned with Pollsmax editorial tiers.'</t>
        </is>
      </c>
      <c r="C30" s="66" t="n"/>
      <c r="D30" s="66" t="n"/>
      <c r="E30" s="66" t="n"/>
      <c r="F30" s="66" t="n"/>
      <c r="G30" s="66" t="n"/>
      <c r="H30" s="66" t="n"/>
      <c r="I30" s="67" t="n"/>
    </row>
    <row r="31" ht="44" customHeight="1">
      <c r="A31" s="6" t="inlineStr">
        <is>
          <t>Input weights (PA-07)</t>
        </is>
      </c>
      <c r="B31" s="65" t="inlineStr">
        <is>
          <t>trump_approval_pct = 3.6; trump_approval_lean = Democratic-leaning; generic_ballot_pct = 3.6; generic_ballot_lean = Democratic-leaning; past_race_results_pct = 14.3; past_race_results_lean = Republican-leaning; incumbency_pct = 7.1; incumbency_lean = Republican-leaning; partisan_lean_pct = 14.3; partisan_lean_lean = Democratic-leaning; editorial_rating_pct = 57.1; editorial_rating_lean = None</t>
        </is>
      </c>
      <c r="C31" s="66" t="n"/>
      <c r="D31" s="66" t="n"/>
      <c r="E31" s="66" t="n"/>
      <c r="F31" s="66" t="n"/>
      <c r="G31" s="66" t="n"/>
      <c r="H31" s="66" t="n"/>
      <c r="I31" s="67" t="n"/>
    </row>
    <row r="32" ht="26" customHeight="1">
      <c r="A32" s="98" t="inlineStr">
        <is>
          <t>Their polling average rests on ONE poll, and that poll is Democratic-sponsored. By their own description the forecast leans mostly on fundamentals and an editorial rating rather than on polling, which is worth knowing before treating it as an independent check on the market.</t>
        </is>
      </c>
    </row>
    <row r="34">
      <c r="A34" s="3" t="inlineStr">
        <is>
          <t>POLLSMAX — daily forecast trend</t>
        </is>
      </c>
      <c r="B34" s="4" t="n"/>
      <c r="C34" s="4" t="n"/>
      <c r="D34" s="4" t="n"/>
      <c r="E34" s="4" t="n"/>
      <c r="F34" s="4" t="n"/>
      <c r="G34" s="4" t="n"/>
      <c r="H34" s="4" t="n"/>
      <c r="I34" s="4" t="n"/>
    </row>
    <row r="35" ht="30" customHeight="1">
      <c r="A35" s="5" t="inlineStr">
        <is>
          <t>Date</t>
        </is>
      </c>
      <c r="B35" s="5" t="inlineStr">
        <is>
          <t>Brooks win prob (model)</t>
        </is>
      </c>
      <c r="C35" s="5" t="inlineStr">
        <is>
          <t>Upper</t>
        </is>
      </c>
      <c r="D35" s="5" t="inlineStr">
        <is>
          <t>Lower</t>
        </is>
      </c>
      <c r="E35" s="5" t="inlineStr">
        <is>
          <t>Brooks vote share</t>
        </is>
      </c>
      <c r="F35" s="5" t="inlineStr">
        <is>
          <t>Mackenzie vote share</t>
        </is>
      </c>
      <c r="G35" s="5" t="inlineStr">
        <is>
          <t>Polymarket P(Dem) same day</t>
        </is>
      </c>
      <c r="H35" s="5" t="inlineStr">
        <is>
          <t>Model − market</t>
        </is>
      </c>
      <c r="I35" s="5" t="inlineStr">
        <is>
          <t>Axis label</t>
        </is>
      </c>
    </row>
    <row r="36">
      <c r="A36" s="39" t="n">
        <v>46023</v>
      </c>
      <c r="B36" s="16" t="n">
        <v>0.5063</v>
      </c>
      <c r="C36" s="16" t="n">
        <v>0.5562999999999999</v>
      </c>
      <c r="D36" s="16" t="n">
        <v>0.4562999999999999</v>
      </c>
      <c r="E36" s="16" t="n">
        <v>0.5</v>
      </c>
      <c r="F36" s="16" t="n">
        <v>0.5</v>
      </c>
      <c r="G36" s="100">
        <f>IFERROR(IF(INDEX(Polymarket!$B$25:$B$303,MATCH($A36,Polymarket!$A$25:$A$303,0))=0,"",INDEX(Polymarket!$B$25:$B$303,MATCH($A36,Polymarket!$A$25:$A$303,0))),"")</f>
        <v/>
      </c>
      <c r="H36" s="18">
        <f>IF(AND(ISNUMBER(B36),ISNUMBER(G36)),B36-G36,"")</f>
        <v/>
      </c>
      <c r="I36" s="26" t="inlineStr">
        <is>
          <t>01 Jan</t>
        </is>
      </c>
    </row>
    <row r="37">
      <c r="A37" s="41" t="n">
        <v>46024</v>
      </c>
      <c r="B37" s="28" t="n">
        <v>0.5016</v>
      </c>
      <c r="C37" s="28" t="n">
        <v>0.5516000000000001</v>
      </c>
      <c r="D37" s="28" t="n">
        <v>0.4516000000000001</v>
      </c>
      <c r="E37" s="28" t="n">
        <v>0.5</v>
      </c>
      <c r="F37" s="28" t="n">
        <v>0.5</v>
      </c>
      <c r="G37" s="101">
        <f>IFERROR(IF(INDEX(Polymarket!$B$25:$B$303,MATCH($A37,Polymarket!$A$25:$A$303,0))=0,"",INDEX(Polymarket!$B$25:$B$303,MATCH($A37,Polymarket!$A$25:$A$303,0))),"")</f>
        <v/>
      </c>
      <c r="H37" s="31">
        <f>IF(AND(ISNUMBER(B37),ISNUMBER(G37)),B37-G37,"")</f>
        <v/>
      </c>
      <c r="I37" s="26" t="inlineStr">
        <is>
          <t>02 Jan</t>
        </is>
      </c>
    </row>
    <row r="38">
      <c r="A38" s="39" t="n">
        <v>46025</v>
      </c>
      <c r="B38" s="16" t="n">
        <v>0.5082</v>
      </c>
      <c r="C38" s="16" t="n">
        <v>0.5582</v>
      </c>
      <c r="D38" s="16" t="n">
        <v>0.4582</v>
      </c>
      <c r="E38" s="16" t="n">
        <v>0.5</v>
      </c>
      <c r="F38" s="16" t="n">
        <v>0.5</v>
      </c>
      <c r="G38" s="100">
        <f>IFERROR(IF(INDEX(Polymarket!$B$25:$B$303,MATCH($A38,Polymarket!$A$25:$A$303,0))=0,"",INDEX(Polymarket!$B$25:$B$303,MATCH($A38,Polymarket!$A$25:$A$303,0))),"")</f>
        <v/>
      </c>
      <c r="H38" s="18">
        <f>IF(AND(ISNUMBER(B38),ISNUMBER(G38)),B38-G38,"")</f>
        <v/>
      </c>
      <c r="I38" s="26" t="inlineStr">
        <is>
          <t>03 Jan</t>
        </is>
      </c>
    </row>
    <row r="39">
      <c r="A39" s="41" t="n">
        <v>46026</v>
      </c>
      <c r="B39" s="28" t="n">
        <v>0.5019</v>
      </c>
      <c r="C39" s="28" t="n">
        <v>0.5518999999999999</v>
      </c>
      <c r="D39" s="28" t="n">
        <v>0.4519</v>
      </c>
      <c r="E39" s="28" t="n">
        <v>0.5</v>
      </c>
      <c r="F39" s="28" t="n">
        <v>0.5</v>
      </c>
      <c r="G39" s="101">
        <f>IFERROR(IF(INDEX(Polymarket!$B$25:$B$303,MATCH($A39,Polymarket!$A$25:$A$303,0))=0,"",INDEX(Polymarket!$B$25:$B$303,MATCH($A39,Polymarket!$A$25:$A$303,0))),"")</f>
        <v/>
      </c>
      <c r="H39" s="31">
        <f>IF(AND(ISNUMBER(B39),ISNUMBER(G39)),B39-G39,"")</f>
        <v/>
      </c>
      <c r="I39" s="26" t="inlineStr">
        <is>
          <t>04 Jan</t>
        </is>
      </c>
    </row>
    <row r="40">
      <c r="A40" s="39" t="n">
        <v>46027</v>
      </c>
      <c r="B40" s="16" t="n">
        <v>0.4969</v>
      </c>
      <c r="C40" s="16" t="n">
        <v>0.5468999999999999</v>
      </c>
      <c r="D40" s="16" t="n">
        <v>0.4469</v>
      </c>
      <c r="E40" s="16" t="n">
        <v>0.5</v>
      </c>
      <c r="F40" s="16" t="n">
        <v>0.5</v>
      </c>
      <c r="G40" s="100">
        <f>IFERROR(IF(INDEX(Polymarket!$B$25:$B$303,MATCH($A40,Polymarket!$A$25:$A$303,0))=0,"",INDEX(Polymarket!$B$25:$B$303,MATCH($A40,Polymarket!$A$25:$A$303,0))),"")</f>
        <v/>
      </c>
      <c r="H40" s="18">
        <f>IF(AND(ISNUMBER(B40),ISNUMBER(G40)),B40-G40,"")</f>
        <v/>
      </c>
      <c r="I40" s="26" t="inlineStr">
        <is>
          <t>05 Jan</t>
        </is>
      </c>
    </row>
    <row r="41">
      <c r="A41" s="41" t="n">
        <v>46028</v>
      </c>
      <c r="B41" s="28" t="n">
        <v>0.5075</v>
      </c>
      <c r="C41" s="28" t="n">
        <v>0.5574999999999999</v>
      </c>
      <c r="D41" s="28" t="n">
        <v>0.4574999999999999</v>
      </c>
      <c r="E41" s="28" t="n">
        <v>0.5</v>
      </c>
      <c r="F41" s="28" t="n">
        <v>0.5</v>
      </c>
      <c r="G41" s="101">
        <f>IFERROR(IF(INDEX(Polymarket!$B$25:$B$303,MATCH($A41,Polymarket!$A$25:$A$303,0))=0,"",INDEX(Polymarket!$B$25:$B$303,MATCH($A41,Polymarket!$A$25:$A$303,0))),"")</f>
        <v/>
      </c>
      <c r="H41" s="31">
        <f>IF(AND(ISNUMBER(B41),ISNUMBER(G41)),B41-G41,"")</f>
        <v/>
      </c>
      <c r="I41" s="26" t="inlineStr">
        <is>
          <t>06 Jan</t>
        </is>
      </c>
    </row>
    <row r="42">
      <c r="A42" s="39" t="n">
        <v>46029</v>
      </c>
      <c r="B42" s="16" t="n">
        <v>0.5191</v>
      </c>
      <c r="C42" s="16" t="n">
        <v>0.5691000000000001</v>
      </c>
      <c r="D42" s="16" t="n">
        <v>0.4691</v>
      </c>
      <c r="E42" s="16" t="n">
        <v>0.501</v>
      </c>
      <c r="F42" s="16" t="n">
        <v>0.5</v>
      </c>
      <c r="G42" s="100">
        <f>IFERROR(IF(INDEX(Polymarket!$B$25:$B$303,MATCH($A42,Polymarket!$A$25:$A$303,0))=0,"",INDEX(Polymarket!$B$25:$B$303,MATCH($A42,Polymarket!$A$25:$A$303,0))),"")</f>
        <v/>
      </c>
      <c r="H42" s="18">
        <f>IF(AND(ISNUMBER(B42),ISNUMBER(G42)),B42-G42,"")</f>
        <v/>
      </c>
      <c r="I42" s="26" t="inlineStr">
        <is>
          <t>07 Jan</t>
        </is>
      </c>
    </row>
    <row r="43">
      <c r="A43" s="41" t="n">
        <v>46030</v>
      </c>
      <c r="B43" s="28" t="n">
        <v>0.5054999999999999</v>
      </c>
      <c r="C43" s="28" t="n">
        <v>0.5555</v>
      </c>
      <c r="D43" s="28" t="n">
        <v>0.4555</v>
      </c>
      <c r="E43" s="28" t="n">
        <v>0.5</v>
      </c>
      <c r="F43" s="28" t="n">
        <v>0.5</v>
      </c>
      <c r="G43" s="101">
        <f>IFERROR(IF(INDEX(Polymarket!$B$25:$B$303,MATCH($A43,Polymarket!$A$25:$A$303,0))=0,"",INDEX(Polymarket!$B$25:$B$303,MATCH($A43,Polymarket!$A$25:$A$303,0))),"")</f>
        <v/>
      </c>
      <c r="H43" s="31">
        <f>IF(AND(ISNUMBER(B43),ISNUMBER(G43)),B43-G43,"")</f>
        <v/>
      </c>
      <c r="I43" s="26" t="inlineStr">
        <is>
          <t>08 Jan</t>
        </is>
      </c>
    </row>
    <row r="44">
      <c r="A44" s="39" t="n">
        <v>46031</v>
      </c>
      <c r="B44" s="16" t="n">
        <v>0.5111</v>
      </c>
      <c r="C44" s="16" t="n">
        <v>0.5611</v>
      </c>
      <c r="D44" s="16" t="n">
        <v>0.4611</v>
      </c>
      <c r="E44" s="16" t="n">
        <v>0.501</v>
      </c>
      <c r="F44" s="16" t="n">
        <v>0.5</v>
      </c>
      <c r="G44" s="100">
        <f>IFERROR(IF(INDEX(Polymarket!$B$25:$B$303,MATCH($A44,Polymarket!$A$25:$A$303,0))=0,"",INDEX(Polymarket!$B$25:$B$303,MATCH($A44,Polymarket!$A$25:$A$303,0))),"")</f>
        <v/>
      </c>
      <c r="H44" s="18">
        <f>IF(AND(ISNUMBER(B44),ISNUMBER(G44)),B44-G44,"")</f>
        <v/>
      </c>
      <c r="I44" s="26" t="inlineStr">
        <is>
          <t>09 Jan</t>
        </is>
      </c>
    </row>
    <row r="45">
      <c r="A45" s="41" t="n">
        <v>46032</v>
      </c>
      <c r="B45" s="28" t="n">
        <v>0.5078</v>
      </c>
      <c r="C45" s="28" t="n">
        <v>0.5578</v>
      </c>
      <c r="D45" s="28" t="n">
        <v>0.4578</v>
      </c>
      <c r="E45" s="28" t="n">
        <v>0.5</v>
      </c>
      <c r="F45" s="28" t="n">
        <v>0.5</v>
      </c>
      <c r="G45" s="101">
        <f>IFERROR(IF(INDEX(Polymarket!$B$25:$B$303,MATCH($A45,Polymarket!$A$25:$A$303,0))=0,"",INDEX(Polymarket!$B$25:$B$303,MATCH($A45,Polymarket!$A$25:$A$303,0))),"")</f>
        <v/>
      </c>
      <c r="H45" s="31">
        <f>IF(AND(ISNUMBER(B45),ISNUMBER(G45)),B45-G45,"")</f>
        <v/>
      </c>
      <c r="I45" s="26" t="inlineStr">
        <is>
          <t>10 Jan</t>
        </is>
      </c>
    </row>
    <row r="46">
      <c r="A46" s="39" t="n">
        <v>46033</v>
      </c>
      <c r="B46" s="16" t="n">
        <v>0.5042</v>
      </c>
      <c r="C46" s="16" t="n">
        <v>0.5542</v>
      </c>
      <c r="D46" s="16" t="n">
        <v>0.4542</v>
      </c>
      <c r="E46" s="16" t="n">
        <v>0.5</v>
      </c>
      <c r="F46" s="16" t="n">
        <v>0.5</v>
      </c>
      <c r="G46" s="100">
        <f>IFERROR(IF(INDEX(Polymarket!$B$25:$B$303,MATCH($A46,Polymarket!$A$25:$A$303,0))=0,"",INDEX(Polymarket!$B$25:$B$303,MATCH($A46,Polymarket!$A$25:$A$303,0))),"")</f>
        <v/>
      </c>
      <c r="H46" s="18">
        <f>IF(AND(ISNUMBER(B46),ISNUMBER(G46)),B46-G46,"")</f>
        <v/>
      </c>
      <c r="I46" s="26" t="inlineStr">
        <is>
          <t>11 Jan</t>
        </is>
      </c>
    </row>
    <row r="47">
      <c r="A47" s="41" t="n">
        <v>46034</v>
      </c>
      <c r="B47" s="28" t="n">
        <v>0.5131</v>
      </c>
      <c r="C47" s="28" t="n">
        <v>0.5631</v>
      </c>
      <c r="D47" s="28" t="n">
        <v>0.4631</v>
      </c>
      <c r="E47" s="28" t="n">
        <v>0.501</v>
      </c>
      <c r="F47" s="28" t="n">
        <v>0.5</v>
      </c>
      <c r="G47" s="101">
        <f>IFERROR(IF(INDEX(Polymarket!$B$25:$B$303,MATCH($A47,Polymarket!$A$25:$A$303,0))=0,"",INDEX(Polymarket!$B$25:$B$303,MATCH($A47,Polymarket!$A$25:$A$303,0))),"")</f>
        <v/>
      </c>
      <c r="H47" s="31">
        <f>IF(AND(ISNUMBER(B47),ISNUMBER(G47)),B47-G47,"")</f>
        <v/>
      </c>
      <c r="I47" s="26" t="inlineStr">
        <is>
          <t>12 Jan</t>
        </is>
      </c>
    </row>
    <row r="48">
      <c r="A48" s="39" t="n">
        <v>46035</v>
      </c>
      <c r="B48" s="16" t="n">
        <v>0.5135999999999999</v>
      </c>
      <c r="C48" s="16" t="n">
        <v>0.5635999999999999</v>
      </c>
      <c r="D48" s="16" t="n">
        <v>0.4635999999999999</v>
      </c>
      <c r="E48" s="16" t="n">
        <v>0.501</v>
      </c>
      <c r="F48" s="16" t="n">
        <v>0.5</v>
      </c>
      <c r="G48" s="100">
        <f>IFERROR(IF(INDEX(Polymarket!$B$25:$B$303,MATCH($A48,Polymarket!$A$25:$A$303,0))=0,"",INDEX(Polymarket!$B$25:$B$303,MATCH($A48,Polymarket!$A$25:$A$303,0))),"")</f>
        <v/>
      </c>
      <c r="H48" s="18">
        <f>IF(AND(ISNUMBER(B48),ISNUMBER(G48)),B48-G48,"")</f>
        <v/>
      </c>
      <c r="I48" s="26" t="inlineStr">
        <is>
          <t>13 Jan</t>
        </is>
      </c>
    </row>
    <row r="49">
      <c r="A49" s="41" t="n">
        <v>46036</v>
      </c>
      <c r="B49" s="28" t="n">
        <v>0.5125</v>
      </c>
      <c r="C49" s="28" t="n">
        <v>0.5624999999999999</v>
      </c>
      <c r="D49" s="28" t="n">
        <v>0.4624999999999999</v>
      </c>
      <c r="E49" s="28" t="n">
        <v>0.501</v>
      </c>
      <c r="F49" s="28" t="n">
        <v>0.5</v>
      </c>
      <c r="G49" s="101">
        <f>IFERROR(IF(INDEX(Polymarket!$B$25:$B$303,MATCH($A49,Polymarket!$A$25:$A$303,0))=0,"",INDEX(Polymarket!$B$25:$B$303,MATCH($A49,Polymarket!$A$25:$A$303,0))),"")</f>
        <v/>
      </c>
      <c r="H49" s="31">
        <f>IF(AND(ISNUMBER(B49),ISNUMBER(G49)),B49-G49,"")</f>
        <v/>
      </c>
      <c r="I49" s="26" t="inlineStr">
        <is>
          <t>14 Jan</t>
        </is>
      </c>
    </row>
    <row r="50">
      <c r="A50" s="39" t="n">
        <v>46037</v>
      </c>
      <c r="B50" s="16" t="n">
        <v>0.4968</v>
      </c>
      <c r="C50" s="16" t="n">
        <v>0.5468</v>
      </c>
      <c r="D50" s="16" t="n">
        <v>0.4468</v>
      </c>
      <c r="E50" s="16" t="n">
        <v>0.5</v>
      </c>
      <c r="F50" s="16" t="n">
        <v>0.5</v>
      </c>
      <c r="G50" s="100">
        <f>IFERROR(IF(INDEX(Polymarket!$B$25:$B$303,MATCH($A50,Polymarket!$A$25:$A$303,0))=0,"",INDEX(Polymarket!$B$25:$B$303,MATCH($A50,Polymarket!$A$25:$A$303,0))),"")</f>
        <v/>
      </c>
      <c r="H50" s="18">
        <f>IF(AND(ISNUMBER(B50),ISNUMBER(G50)),B50-G50,"")</f>
        <v/>
      </c>
      <c r="I50" s="26" t="inlineStr">
        <is>
          <t>15 Jan</t>
        </is>
      </c>
    </row>
    <row r="51">
      <c r="A51" s="41" t="n">
        <v>46038</v>
      </c>
      <c r="B51" s="28" t="n">
        <v>0.5145999999999999</v>
      </c>
      <c r="C51" s="28" t="n">
        <v>0.5646</v>
      </c>
      <c r="D51" s="28" t="n">
        <v>0.4646</v>
      </c>
      <c r="E51" s="28" t="n">
        <v>0.501</v>
      </c>
      <c r="F51" s="28" t="n">
        <v>0.5</v>
      </c>
      <c r="G51" s="101">
        <f>IFERROR(IF(INDEX(Polymarket!$B$25:$B$303,MATCH($A51,Polymarket!$A$25:$A$303,0))=0,"",INDEX(Polymarket!$B$25:$B$303,MATCH($A51,Polymarket!$A$25:$A$303,0))),"")</f>
        <v/>
      </c>
      <c r="H51" s="31">
        <f>IF(AND(ISNUMBER(B51),ISNUMBER(G51)),B51-G51,"")</f>
        <v/>
      </c>
      <c r="I51" s="26" t="inlineStr">
        <is>
          <t>16 Jan</t>
        </is>
      </c>
    </row>
    <row r="52">
      <c r="A52" s="39" t="n">
        <v>46039</v>
      </c>
      <c r="B52" s="16" t="n">
        <v>0.5122</v>
      </c>
      <c r="C52" s="16" t="n">
        <v>0.5622</v>
      </c>
      <c r="D52" s="16" t="n">
        <v>0.4622</v>
      </c>
      <c r="E52" s="16" t="n">
        <v>0.501</v>
      </c>
      <c r="F52" s="16" t="n">
        <v>0.5</v>
      </c>
      <c r="G52" s="100">
        <f>IFERROR(IF(INDEX(Polymarket!$B$25:$B$303,MATCH($A52,Polymarket!$A$25:$A$303,0))=0,"",INDEX(Polymarket!$B$25:$B$303,MATCH($A52,Polymarket!$A$25:$A$303,0))),"")</f>
        <v/>
      </c>
      <c r="H52" s="18">
        <f>IF(AND(ISNUMBER(B52),ISNUMBER(G52)),B52-G52,"")</f>
        <v/>
      </c>
      <c r="I52" s="26" t="inlineStr">
        <is>
          <t>17 Jan</t>
        </is>
      </c>
    </row>
    <row r="53">
      <c r="A53" s="41" t="n">
        <v>46040</v>
      </c>
      <c r="B53" s="28" t="n">
        <v>0.5077</v>
      </c>
      <c r="C53" s="28" t="n">
        <v>0.5577000000000001</v>
      </c>
      <c r="D53" s="28" t="n">
        <v>0.4577000000000001</v>
      </c>
      <c r="E53" s="28" t="n">
        <v>0.5</v>
      </c>
      <c r="F53" s="28" t="n">
        <v>0.5</v>
      </c>
      <c r="G53" s="101">
        <f>IFERROR(IF(INDEX(Polymarket!$B$25:$B$303,MATCH($A53,Polymarket!$A$25:$A$303,0))=0,"",INDEX(Polymarket!$B$25:$B$303,MATCH($A53,Polymarket!$A$25:$A$303,0))),"")</f>
        <v/>
      </c>
      <c r="H53" s="31">
        <f>IF(AND(ISNUMBER(B53),ISNUMBER(G53)),B53-G53,"")</f>
        <v/>
      </c>
      <c r="I53" s="26" t="inlineStr">
        <is>
          <t>18 Jan</t>
        </is>
      </c>
    </row>
    <row r="54">
      <c r="A54" s="39" t="n">
        <v>46041</v>
      </c>
      <c r="B54" s="16" t="n">
        <v>0.5064</v>
      </c>
      <c r="C54" s="16" t="n">
        <v>0.5563999999999999</v>
      </c>
      <c r="D54" s="16" t="n">
        <v>0.4563999999999999</v>
      </c>
      <c r="E54" s="16" t="n">
        <v>0.5</v>
      </c>
      <c r="F54" s="16" t="n">
        <v>0.5</v>
      </c>
      <c r="G54" s="100">
        <f>IFERROR(IF(INDEX(Polymarket!$B$25:$B$303,MATCH($A54,Polymarket!$A$25:$A$303,0))=0,"",INDEX(Polymarket!$B$25:$B$303,MATCH($A54,Polymarket!$A$25:$A$303,0))),"")</f>
        <v/>
      </c>
      <c r="H54" s="18">
        <f>IF(AND(ISNUMBER(B54),ISNUMBER(G54)),B54-G54,"")</f>
        <v/>
      </c>
      <c r="I54" s="26" t="inlineStr">
        <is>
          <t>19 Jan</t>
        </is>
      </c>
    </row>
    <row r="55">
      <c r="A55" s="41" t="n">
        <v>46042</v>
      </c>
      <c r="B55" s="28" t="n">
        <v>0.509</v>
      </c>
      <c r="C55" s="28" t="n">
        <v>0.5589999999999999</v>
      </c>
      <c r="D55" s="28" t="n">
        <v>0.459</v>
      </c>
      <c r="E55" s="28" t="n">
        <v>0.5</v>
      </c>
      <c r="F55" s="28" t="n">
        <v>0.5</v>
      </c>
      <c r="G55" s="101">
        <f>IFERROR(IF(INDEX(Polymarket!$B$25:$B$303,MATCH($A55,Polymarket!$A$25:$A$303,0))=0,"",INDEX(Polymarket!$B$25:$B$303,MATCH($A55,Polymarket!$A$25:$A$303,0))),"")</f>
        <v/>
      </c>
      <c r="H55" s="31">
        <f>IF(AND(ISNUMBER(B55),ISNUMBER(G55)),B55-G55,"")</f>
        <v/>
      </c>
      <c r="I55" s="26" t="inlineStr">
        <is>
          <t>20 Jan</t>
        </is>
      </c>
    </row>
    <row r="56">
      <c r="A56" s="39" t="n">
        <v>46043</v>
      </c>
      <c r="B56" s="16" t="n">
        <v>0.5101</v>
      </c>
      <c r="C56" s="16" t="n">
        <v>0.5600999999999999</v>
      </c>
      <c r="D56" s="16" t="n">
        <v>0.4601</v>
      </c>
      <c r="E56" s="16" t="n">
        <v>0.501</v>
      </c>
      <c r="F56" s="16" t="n">
        <v>0.5</v>
      </c>
      <c r="G56" s="100">
        <f>IFERROR(IF(INDEX(Polymarket!$B$25:$B$303,MATCH($A56,Polymarket!$A$25:$A$303,0))=0,"",INDEX(Polymarket!$B$25:$B$303,MATCH($A56,Polymarket!$A$25:$A$303,0))),"")</f>
        <v/>
      </c>
      <c r="H56" s="18">
        <f>IF(AND(ISNUMBER(B56),ISNUMBER(G56)),B56-G56,"")</f>
        <v/>
      </c>
      <c r="I56" s="26" t="inlineStr">
        <is>
          <t>21 Jan</t>
        </is>
      </c>
    </row>
    <row r="57">
      <c r="A57" s="41" t="n">
        <v>46044</v>
      </c>
      <c r="B57" s="28" t="n">
        <v>0.5067</v>
      </c>
      <c r="C57" s="28" t="n">
        <v>0.5567</v>
      </c>
      <c r="D57" s="28" t="n">
        <v>0.4567</v>
      </c>
      <c r="E57" s="28" t="n">
        <v>0.5</v>
      </c>
      <c r="F57" s="28" t="n">
        <v>0.5</v>
      </c>
      <c r="G57" s="101">
        <f>IFERROR(IF(INDEX(Polymarket!$B$25:$B$303,MATCH($A57,Polymarket!$A$25:$A$303,0))=0,"",INDEX(Polymarket!$B$25:$B$303,MATCH($A57,Polymarket!$A$25:$A$303,0))),"")</f>
        <v/>
      </c>
      <c r="H57" s="31">
        <f>IF(AND(ISNUMBER(B57),ISNUMBER(G57)),B57-G57,"")</f>
        <v/>
      </c>
      <c r="I57" s="26" t="inlineStr">
        <is>
          <t>22 Jan</t>
        </is>
      </c>
    </row>
    <row r="58">
      <c r="A58" s="39" t="n">
        <v>46045</v>
      </c>
      <c r="B58" s="16" t="n">
        <v>0.5114</v>
      </c>
      <c r="C58" s="16" t="n">
        <v>0.5613999999999999</v>
      </c>
      <c r="D58" s="16" t="n">
        <v>0.4613999999999999</v>
      </c>
      <c r="E58" s="16" t="n">
        <v>0.501</v>
      </c>
      <c r="F58" s="16" t="n">
        <v>0.5</v>
      </c>
      <c r="G58" s="100">
        <f>IFERROR(IF(INDEX(Polymarket!$B$25:$B$303,MATCH($A58,Polymarket!$A$25:$A$303,0))=0,"",INDEX(Polymarket!$B$25:$B$303,MATCH($A58,Polymarket!$A$25:$A$303,0))),"")</f>
        <v/>
      </c>
      <c r="H58" s="18">
        <f>IF(AND(ISNUMBER(B58),ISNUMBER(G58)),B58-G58,"")</f>
        <v/>
      </c>
      <c r="I58" s="26" t="inlineStr">
        <is>
          <t>23 Jan</t>
        </is>
      </c>
    </row>
    <row r="59">
      <c r="A59" s="41" t="n">
        <v>46046</v>
      </c>
      <c r="B59" s="28" t="n">
        <v>0.5075</v>
      </c>
      <c r="C59" s="28" t="n">
        <v>0.5574999999999999</v>
      </c>
      <c r="D59" s="28" t="n">
        <v>0.4574999999999999</v>
      </c>
      <c r="E59" s="28" t="n">
        <v>0.5</v>
      </c>
      <c r="F59" s="28" t="n">
        <v>0.5</v>
      </c>
      <c r="G59" s="101">
        <f>IFERROR(IF(INDEX(Polymarket!$B$25:$B$303,MATCH($A59,Polymarket!$A$25:$A$303,0))=0,"",INDEX(Polymarket!$B$25:$B$303,MATCH($A59,Polymarket!$A$25:$A$303,0))),"")</f>
        <v/>
      </c>
      <c r="H59" s="31">
        <f>IF(AND(ISNUMBER(B59),ISNUMBER(G59)),B59-G59,"")</f>
        <v/>
      </c>
      <c r="I59" s="26" t="inlineStr">
        <is>
          <t>24 Jan</t>
        </is>
      </c>
    </row>
    <row r="60">
      <c r="A60" s="39" t="n">
        <v>46047</v>
      </c>
      <c r="B60" s="16" t="n">
        <v>0.5016</v>
      </c>
      <c r="C60" s="16" t="n">
        <v>0.5516000000000001</v>
      </c>
      <c r="D60" s="16" t="n">
        <v>0.4516000000000001</v>
      </c>
      <c r="E60" s="16" t="n">
        <v>0.5</v>
      </c>
      <c r="F60" s="16" t="n">
        <v>0.5</v>
      </c>
      <c r="G60" s="100">
        <f>IFERROR(IF(INDEX(Polymarket!$B$25:$B$303,MATCH($A60,Polymarket!$A$25:$A$303,0))=0,"",INDEX(Polymarket!$B$25:$B$303,MATCH($A60,Polymarket!$A$25:$A$303,0))),"")</f>
        <v/>
      </c>
      <c r="H60" s="18">
        <f>IF(AND(ISNUMBER(B60),ISNUMBER(G60)),B60-G60,"")</f>
        <v/>
      </c>
      <c r="I60" s="26" t="inlineStr">
        <is>
          <t>25 Jan</t>
        </is>
      </c>
    </row>
    <row r="61">
      <c r="A61" s="41" t="n">
        <v>46048</v>
      </c>
      <c r="B61" s="28" t="n">
        <v>0.5362</v>
      </c>
      <c r="C61" s="28" t="n">
        <v>0.5862000000000001</v>
      </c>
      <c r="D61" s="28" t="n">
        <v>0.4862</v>
      </c>
      <c r="E61" s="28" t="n">
        <v>0.501</v>
      </c>
      <c r="F61" s="28" t="n">
        <v>0.499</v>
      </c>
      <c r="G61" s="101">
        <f>IFERROR(IF(INDEX(Polymarket!$B$25:$B$303,MATCH($A61,Polymarket!$A$25:$A$303,0))=0,"",INDEX(Polymarket!$B$25:$B$303,MATCH($A61,Polymarket!$A$25:$A$303,0))),"")</f>
        <v/>
      </c>
      <c r="H61" s="31">
        <f>IF(AND(ISNUMBER(B61),ISNUMBER(G61)),B61-G61,"")</f>
        <v/>
      </c>
      <c r="I61" s="26" t="inlineStr">
        <is>
          <t>26 Jan</t>
        </is>
      </c>
    </row>
    <row r="62">
      <c r="A62" s="39" t="n">
        <v>46049</v>
      </c>
      <c r="B62" s="16" t="n">
        <v>0.5243</v>
      </c>
      <c r="C62" s="16" t="n">
        <v>0.5743</v>
      </c>
      <c r="D62" s="16" t="n">
        <v>0.4743</v>
      </c>
      <c r="E62" s="16" t="n">
        <v>0.501</v>
      </c>
      <c r="F62" s="16" t="n">
        <v>0.5</v>
      </c>
      <c r="G62" s="100">
        <f>IFERROR(IF(INDEX(Polymarket!$B$25:$B$303,MATCH($A62,Polymarket!$A$25:$A$303,0))=0,"",INDEX(Polymarket!$B$25:$B$303,MATCH($A62,Polymarket!$A$25:$A$303,0))),"")</f>
        <v/>
      </c>
      <c r="H62" s="18">
        <f>IF(AND(ISNUMBER(B62),ISNUMBER(G62)),B62-G62,"")</f>
        <v/>
      </c>
      <c r="I62" s="26" t="inlineStr">
        <is>
          <t>27 Jan</t>
        </is>
      </c>
    </row>
    <row r="63">
      <c r="A63" s="41" t="n">
        <v>46050</v>
      </c>
      <c r="B63" s="28" t="n">
        <v>0.5101</v>
      </c>
      <c r="C63" s="28" t="n">
        <v>0.5600999999999999</v>
      </c>
      <c r="D63" s="28" t="n">
        <v>0.4601</v>
      </c>
      <c r="E63" s="28" t="n">
        <v>0.501</v>
      </c>
      <c r="F63" s="28" t="n">
        <v>0.5</v>
      </c>
      <c r="G63" s="101">
        <f>IFERROR(IF(INDEX(Polymarket!$B$25:$B$303,MATCH($A63,Polymarket!$A$25:$A$303,0))=0,"",INDEX(Polymarket!$B$25:$B$303,MATCH($A63,Polymarket!$A$25:$A$303,0))),"")</f>
        <v/>
      </c>
      <c r="H63" s="31">
        <f>IF(AND(ISNUMBER(B63),ISNUMBER(G63)),B63-G63,"")</f>
        <v/>
      </c>
      <c r="I63" s="26" t="inlineStr">
        <is>
          <t>28 Jan</t>
        </is>
      </c>
    </row>
    <row r="64">
      <c r="A64" s="39" t="n">
        <v>46051</v>
      </c>
      <c r="B64" s="16" t="n">
        <v>0.5149</v>
      </c>
      <c r="C64" s="16" t="n">
        <v>0.5649000000000001</v>
      </c>
      <c r="D64" s="16" t="n">
        <v>0.4649</v>
      </c>
      <c r="E64" s="16" t="n">
        <v>0.501</v>
      </c>
      <c r="F64" s="16" t="n">
        <v>0.5</v>
      </c>
      <c r="G64" s="100">
        <f>IFERROR(IF(INDEX(Polymarket!$B$25:$B$303,MATCH($A64,Polymarket!$A$25:$A$303,0))=0,"",INDEX(Polymarket!$B$25:$B$303,MATCH($A64,Polymarket!$A$25:$A$303,0))),"")</f>
        <v/>
      </c>
      <c r="H64" s="18">
        <f>IF(AND(ISNUMBER(B64),ISNUMBER(G64)),B64-G64,"")</f>
        <v/>
      </c>
      <c r="I64" s="26" t="inlineStr">
        <is>
          <t>29 Jan</t>
        </is>
      </c>
    </row>
    <row r="65">
      <c r="A65" s="41" t="n">
        <v>46052</v>
      </c>
      <c r="B65" s="28" t="n">
        <v>0.5201</v>
      </c>
      <c r="C65" s="28" t="n">
        <v>0.5700999999999999</v>
      </c>
      <c r="D65" s="28" t="n">
        <v>0.4701</v>
      </c>
      <c r="E65" s="28" t="n">
        <v>0.501</v>
      </c>
      <c r="F65" s="28" t="n">
        <v>0.5</v>
      </c>
      <c r="G65" s="101">
        <f>IFERROR(IF(INDEX(Polymarket!$B$25:$B$303,MATCH($A65,Polymarket!$A$25:$A$303,0))=0,"",INDEX(Polymarket!$B$25:$B$303,MATCH($A65,Polymarket!$A$25:$A$303,0))),"")</f>
        <v/>
      </c>
      <c r="H65" s="31">
        <f>IF(AND(ISNUMBER(B65),ISNUMBER(G65)),B65-G65,"")</f>
        <v/>
      </c>
      <c r="I65" s="26" t="inlineStr">
        <is>
          <t>30 Jan</t>
        </is>
      </c>
    </row>
    <row r="66">
      <c r="A66" s="39" t="n">
        <v>46053</v>
      </c>
      <c r="B66" s="16" t="n">
        <v>0.5223</v>
      </c>
      <c r="C66" s="16" t="n">
        <v>0.5722999999999999</v>
      </c>
      <c r="D66" s="16" t="n">
        <v>0.4722999999999999</v>
      </c>
      <c r="E66" s="16" t="n">
        <v>0.501</v>
      </c>
      <c r="F66" s="16" t="n">
        <v>0.5</v>
      </c>
      <c r="G66" s="100">
        <f>IFERROR(IF(INDEX(Polymarket!$B$25:$B$303,MATCH($A66,Polymarket!$A$25:$A$303,0))=0,"",INDEX(Polymarket!$B$25:$B$303,MATCH($A66,Polymarket!$A$25:$A$303,0))),"")</f>
        <v/>
      </c>
      <c r="H66" s="18">
        <f>IF(AND(ISNUMBER(B66),ISNUMBER(G66)),B66-G66,"")</f>
        <v/>
      </c>
      <c r="I66" s="26" t="inlineStr">
        <is>
          <t>31 Jan</t>
        </is>
      </c>
    </row>
    <row r="67">
      <c r="A67" s="41" t="n">
        <v>46054</v>
      </c>
      <c r="B67" s="28" t="n">
        <v>0.5222</v>
      </c>
      <c r="C67" s="28" t="n">
        <v>0.5722</v>
      </c>
      <c r="D67" s="28" t="n">
        <v>0.4722</v>
      </c>
      <c r="E67" s="28" t="n">
        <v>0.501</v>
      </c>
      <c r="F67" s="28" t="n">
        <v>0.5</v>
      </c>
      <c r="G67" s="101">
        <f>IFERROR(IF(INDEX(Polymarket!$B$25:$B$303,MATCH($A67,Polymarket!$A$25:$A$303,0))=0,"",INDEX(Polymarket!$B$25:$B$303,MATCH($A67,Polymarket!$A$25:$A$303,0))),"")</f>
        <v/>
      </c>
      <c r="H67" s="31">
        <f>IF(AND(ISNUMBER(B67),ISNUMBER(G67)),B67-G67,"")</f>
        <v/>
      </c>
      <c r="I67" s="26" t="inlineStr">
        <is>
          <t>01 Feb</t>
        </is>
      </c>
    </row>
    <row r="68">
      <c r="A68" s="39" t="n">
        <v>46055</v>
      </c>
      <c r="B68" s="16" t="n">
        <v>0.5284</v>
      </c>
      <c r="C68" s="16" t="n">
        <v>0.5783999999999999</v>
      </c>
      <c r="D68" s="16" t="n">
        <v>0.4783999999999999</v>
      </c>
      <c r="E68" s="16" t="n">
        <v>0.501</v>
      </c>
      <c r="F68" s="16" t="n">
        <v>0.5</v>
      </c>
      <c r="G68" s="100">
        <f>IFERROR(IF(INDEX(Polymarket!$B$25:$B$303,MATCH($A68,Polymarket!$A$25:$A$303,0))=0,"",INDEX(Polymarket!$B$25:$B$303,MATCH($A68,Polymarket!$A$25:$A$303,0))),"")</f>
        <v/>
      </c>
      <c r="H68" s="18">
        <f>IF(AND(ISNUMBER(B68),ISNUMBER(G68)),B68-G68,"")</f>
        <v/>
      </c>
      <c r="I68" s="26" t="inlineStr">
        <is>
          <t>02 Feb</t>
        </is>
      </c>
    </row>
    <row r="69">
      <c r="A69" s="41" t="n">
        <v>46056</v>
      </c>
      <c r="B69" s="28" t="n">
        <v>0.5221</v>
      </c>
      <c r="C69" s="28" t="n">
        <v>0.5721000000000001</v>
      </c>
      <c r="D69" s="28" t="n">
        <v>0.4721</v>
      </c>
      <c r="E69" s="28" t="n">
        <v>0.501</v>
      </c>
      <c r="F69" s="28" t="n">
        <v>0.5</v>
      </c>
      <c r="G69" s="101">
        <f>IFERROR(IF(INDEX(Polymarket!$B$25:$B$303,MATCH($A69,Polymarket!$A$25:$A$303,0))=0,"",INDEX(Polymarket!$B$25:$B$303,MATCH($A69,Polymarket!$A$25:$A$303,0))),"")</f>
        <v/>
      </c>
      <c r="H69" s="31">
        <f>IF(AND(ISNUMBER(B69),ISNUMBER(G69)),B69-G69,"")</f>
        <v/>
      </c>
      <c r="I69" s="26" t="inlineStr">
        <is>
          <t>03 Feb</t>
        </is>
      </c>
    </row>
    <row r="70">
      <c r="A70" s="39" t="n">
        <v>46057</v>
      </c>
      <c r="B70" s="16" t="n">
        <v>0.5198</v>
      </c>
      <c r="C70" s="16" t="n">
        <v>0.5698000000000001</v>
      </c>
      <c r="D70" s="16" t="n">
        <v>0.4698000000000001</v>
      </c>
      <c r="E70" s="16" t="n">
        <v>0.501</v>
      </c>
      <c r="F70" s="16" t="n">
        <v>0.5</v>
      </c>
      <c r="G70" s="100">
        <f>IFERROR(IF(INDEX(Polymarket!$B$25:$B$303,MATCH($A70,Polymarket!$A$25:$A$303,0))=0,"",INDEX(Polymarket!$B$25:$B$303,MATCH($A70,Polymarket!$A$25:$A$303,0))),"")</f>
        <v/>
      </c>
      <c r="H70" s="18">
        <f>IF(AND(ISNUMBER(B70),ISNUMBER(G70)),B70-G70,"")</f>
        <v/>
      </c>
      <c r="I70" s="26" t="inlineStr">
        <is>
          <t>04 Feb</t>
        </is>
      </c>
    </row>
    <row r="71">
      <c r="A71" s="41" t="n">
        <v>46058</v>
      </c>
      <c r="B71" s="28" t="n">
        <v>0.5225</v>
      </c>
      <c r="C71" s="28" t="n">
        <v>0.5725</v>
      </c>
      <c r="D71" s="28" t="n">
        <v>0.4725</v>
      </c>
      <c r="E71" s="28" t="n">
        <v>0.501</v>
      </c>
      <c r="F71" s="28" t="n">
        <v>0.5</v>
      </c>
      <c r="G71" s="101">
        <f>IFERROR(IF(INDEX(Polymarket!$B$25:$B$303,MATCH($A71,Polymarket!$A$25:$A$303,0))=0,"",INDEX(Polymarket!$B$25:$B$303,MATCH($A71,Polymarket!$A$25:$A$303,0))),"")</f>
        <v/>
      </c>
      <c r="H71" s="31">
        <f>IF(AND(ISNUMBER(B71),ISNUMBER(G71)),B71-G71,"")</f>
        <v/>
      </c>
      <c r="I71" s="26" t="inlineStr">
        <is>
          <t>05 Feb</t>
        </is>
      </c>
    </row>
    <row r="72">
      <c r="A72" s="39" t="n">
        <v>46059</v>
      </c>
      <c r="B72" s="16" t="n">
        <v>0.5397</v>
      </c>
      <c r="C72" s="16" t="n">
        <v>0.5897</v>
      </c>
      <c r="D72" s="16" t="n">
        <v>0.4897</v>
      </c>
      <c r="E72" s="16" t="n">
        <v>0.502</v>
      </c>
      <c r="F72" s="16" t="n">
        <v>0.499</v>
      </c>
      <c r="G72" s="100">
        <f>IFERROR(IF(INDEX(Polymarket!$B$25:$B$303,MATCH($A72,Polymarket!$A$25:$A$303,0))=0,"",INDEX(Polymarket!$B$25:$B$303,MATCH($A72,Polymarket!$A$25:$A$303,0))),"")</f>
        <v/>
      </c>
      <c r="H72" s="18">
        <f>IF(AND(ISNUMBER(B72),ISNUMBER(G72)),B72-G72,"")</f>
        <v/>
      </c>
      <c r="I72" s="26" t="inlineStr">
        <is>
          <t>06 Feb</t>
        </is>
      </c>
    </row>
    <row r="73">
      <c r="A73" s="41" t="n">
        <v>46060</v>
      </c>
      <c r="B73" s="28" t="n">
        <v>0.5393</v>
      </c>
      <c r="C73" s="28" t="n">
        <v>0.5893</v>
      </c>
      <c r="D73" s="28" t="n">
        <v>0.4893</v>
      </c>
      <c r="E73" s="28" t="n">
        <v>0.502</v>
      </c>
      <c r="F73" s="28" t="n">
        <v>0.499</v>
      </c>
      <c r="G73" s="101">
        <f>IFERROR(IF(INDEX(Polymarket!$B$25:$B$303,MATCH($A73,Polymarket!$A$25:$A$303,0))=0,"",INDEX(Polymarket!$B$25:$B$303,MATCH($A73,Polymarket!$A$25:$A$303,0))),"")</f>
        <v/>
      </c>
      <c r="H73" s="31">
        <f>IF(AND(ISNUMBER(B73),ISNUMBER(G73)),B73-G73,"")</f>
        <v/>
      </c>
      <c r="I73" s="26" t="inlineStr">
        <is>
          <t>07 Feb</t>
        </is>
      </c>
    </row>
    <row r="74">
      <c r="A74" s="39" t="n">
        <v>46061</v>
      </c>
      <c r="B74" s="16" t="n">
        <v>0.5475</v>
      </c>
      <c r="C74" s="16" t="n">
        <v>0.5975</v>
      </c>
      <c r="D74" s="16" t="n">
        <v>0.4975</v>
      </c>
      <c r="E74" s="16" t="n">
        <v>0.502</v>
      </c>
      <c r="F74" s="16" t="n">
        <v>0.499</v>
      </c>
      <c r="G74" s="100">
        <f>IFERROR(IF(INDEX(Polymarket!$B$25:$B$303,MATCH($A74,Polymarket!$A$25:$A$303,0))=0,"",INDEX(Polymarket!$B$25:$B$303,MATCH($A74,Polymarket!$A$25:$A$303,0))),"")</f>
        <v/>
      </c>
      <c r="H74" s="18">
        <f>IF(AND(ISNUMBER(B74),ISNUMBER(G74)),B74-G74,"")</f>
        <v/>
      </c>
      <c r="I74" s="26" t="inlineStr">
        <is>
          <t>08 Feb</t>
        </is>
      </c>
    </row>
    <row r="75">
      <c r="A75" s="41" t="n">
        <v>46062</v>
      </c>
      <c r="B75" s="28" t="n">
        <v>0.54</v>
      </c>
      <c r="C75" s="28" t="n">
        <v>0.59</v>
      </c>
      <c r="D75" s="28" t="n">
        <v>0.49</v>
      </c>
      <c r="E75" s="28" t="n">
        <v>0.502</v>
      </c>
      <c r="F75" s="28" t="n">
        <v>0.499</v>
      </c>
      <c r="G75" s="101">
        <f>IFERROR(IF(INDEX(Polymarket!$B$25:$B$303,MATCH($A75,Polymarket!$A$25:$A$303,0))=0,"",INDEX(Polymarket!$B$25:$B$303,MATCH($A75,Polymarket!$A$25:$A$303,0))),"")</f>
        <v/>
      </c>
      <c r="H75" s="31">
        <f>IF(AND(ISNUMBER(B75),ISNUMBER(G75)),B75-G75,"")</f>
        <v/>
      </c>
      <c r="I75" s="26" t="inlineStr">
        <is>
          <t>09 Feb</t>
        </is>
      </c>
    </row>
    <row r="76">
      <c r="A76" s="39" t="n">
        <v>46063</v>
      </c>
      <c r="B76" s="16" t="n">
        <v>0.5363</v>
      </c>
      <c r="C76" s="16" t="n">
        <v>0.5863</v>
      </c>
      <c r="D76" s="16" t="n">
        <v>0.4863</v>
      </c>
      <c r="E76" s="16" t="n">
        <v>0.502</v>
      </c>
      <c r="F76" s="16" t="n">
        <v>0.499</v>
      </c>
      <c r="G76" s="100">
        <f>IFERROR(IF(INDEX(Polymarket!$B$25:$B$303,MATCH($A76,Polymarket!$A$25:$A$303,0))=0,"",INDEX(Polymarket!$B$25:$B$303,MATCH($A76,Polymarket!$A$25:$A$303,0))),"")</f>
        <v/>
      </c>
      <c r="H76" s="18">
        <f>IF(AND(ISNUMBER(B76),ISNUMBER(G76)),B76-G76,"")</f>
        <v/>
      </c>
      <c r="I76" s="26" t="inlineStr">
        <is>
          <t>10 Feb</t>
        </is>
      </c>
    </row>
    <row r="77">
      <c r="A77" s="41" t="n">
        <v>46064</v>
      </c>
      <c r="B77" s="28" t="n">
        <v>0.5454</v>
      </c>
      <c r="C77" s="28" t="n">
        <v>0.5954</v>
      </c>
      <c r="D77" s="28" t="n">
        <v>0.4954</v>
      </c>
      <c r="E77" s="28" t="n">
        <v>0.502</v>
      </c>
      <c r="F77" s="28" t="n">
        <v>0.499</v>
      </c>
      <c r="G77" s="101">
        <f>IFERROR(IF(INDEX(Polymarket!$B$25:$B$303,MATCH($A77,Polymarket!$A$25:$A$303,0))=0,"",INDEX(Polymarket!$B$25:$B$303,MATCH($A77,Polymarket!$A$25:$A$303,0))),"")</f>
        <v/>
      </c>
      <c r="H77" s="31">
        <f>IF(AND(ISNUMBER(B77),ISNUMBER(G77)),B77-G77,"")</f>
        <v/>
      </c>
      <c r="I77" s="26" t="inlineStr">
        <is>
          <t>11 Feb</t>
        </is>
      </c>
    </row>
    <row r="78">
      <c r="A78" s="39" t="n">
        <v>46065</v>
      </c>
      <c r="B78" s="16" t="n">
        <v>0.5286999999999999</v>
      </c>
      <c r="C78" s="16" t="n">
        <v>0.5787</v>
      </c>
      <c r="D78" s="16" t="n">
        <v>0.4787</v>
      </c>
      <c r="E78" s="16" t="n">
        <v>0.501</v>
      </c>
      <c r="F78" s="16" t="n">
        <v>0.499</v>
      </c>
      <c r="G78" s="100">
        <f>IFERROR(IF(INDEX(Polymarket!$B$25:$B$303,MATCH($A78,Polymarket!$A$25:$A$303,0))=0,"",INDEX(Polymarket!$B$25:$B$303,MATCH($A78,Polymarket!$A$25:$A$303,0))),"")</f>
        <v/>
      </c>
      <c r="H78" s="18">
        <f>IF(AND(ISNUMBER(B78),ISNUMBER(G78)),B78-G78,"")</f>
        <v/>
      </c>
      <c r="I78" s="26" t="inlineStr">
        <is>
          <t>12 Feb</t>
        </is>
      </c>
    </row>
    <row r="79">
      <c r="A79" s="41" t="n">
        <v>46066</v>
      </c>
      <c r="B79" s="28" t="n">
        <v>0.5311</v>
      </c>
      <c r="C79" s="28" t="n">
        <v>0.5810999999999999</v>
      </c>
      <c r="D79" s="28" t="n">
        <v>0.4811</v>
      </c>
      <c r="E79" s="28" t="n">
        <v>0.501</v>
      </c>
      <c r="F79" s="28" t="n">
        <v>0.499</v>
      </c>
      <c r="G79" s="101">
        <f>IFERROR(IF(INDEX(Polymarket!$B$25:$B$303,MATCH($A79,Polymarket!$A$25:$A$303,0))=0,"",INDEX(Polymarket!$B$25:$B$303,MATCH($A79,Polymarket!$A$25:$A$303,0))),"")</f>
        <v/>
      </c>
      <c r="H79" s="31">
        <f>IF(AND(ISNUMBER(B79),ISNUMBER(G79)),B79-G79,"")</f>
        <v/>
      </c>
      <c r="I79" s="26" t="inlineStr">
        <is>
          <t>13 Feb</t>
        </is>
      </c>
    </row>
    <row r="80">
      <c r="A80" s="39" t="n">
        <v>46067</v>
      </c>
      <c r="B80" s="16" t="n">
        <v>0.5364</v>
      </c>
      <c r="C80" s="16" t="n">
        <v>0.5864</v>
      </c>
      <c r="D80" s="16" t="n">
        <v>0.4864</v>
      </c>
      <c r="E80" s="16" t="n">
        <v>0.501</v>
      </c>
      <c r="F80" s="16" t="n">
        <v>0.499</v>
      </c>
      <c r="G80" s="100">
        <f>IFERROR(IF(INDEX(Polymarket!$B$25:$B$303,MATCH($A80,Polymarket!$A$25:$A$303,0))=0,"",INDEX(Polymarket!$B$25:$B$303,MATCH($A80,Polymarket!$A$25:$A$303,0))),"")</f>
        <v/>
      </c>
      <c r="H80" s="18">
        <f>IF(AND(ISNUMBER(B80),ISNUMBER(G80)),B80-G80,"")</f>
        <v/>
      </c>
      <c r="I80" s="26" t="inlineStr">
        <is>
          <t>14 Feb</t>
        </is>
      </c>
    </row>
    <row r="81">
      <c r="A81" s="41" t="n">
        <v>46068</v>
      </c>
      <c r="B81" s="28" t="n">
        <v>0.523</v>
      </c>
      <c r="C81" s="28" t="n">
        <v>0.5730000000000001</v>
      </c>
      <c r="D81" s="28" t="n">
        <v>0.473</v>
      </c>
      <c r="E81" s="28" t="n">
        <v>0.501</v>
      </c>
      <c r="F81" s="28" t="n">
        <v>0.499</v>
      </c>
      <c r="G81" s="101">
        <f>IFERROR(IF(INDEX(Polymarket!$B$25:$B$303,MATCH($A81,Polymarket!$A$25:$A$303,0))=0,"",INDEX(Polymarket!$B$25:$B$303,MATCH($A81,Polymarket!$A$25:$A$303,0))),"")</f>
        <v/>
      </c>
      <c r="H81" s="31">
        <f>IF(AND(ISNUMBER(B81),ISNUMBER(G81)),B81-G81,"")</f>
        <v/>
      </c>
      <c r="I81" s="26" t="inlineStr">
        <is>
          <t>15 Feb</t>
        </is>
      </c>
    </row>
    <row r="82">
      <c r="A82" s="39" t="n">
        <v>46069</v>
      </c>
      <c r="B82" s="16" t="n">
        <v>0.5348000000000001</v>
      </c>
      <c r="C82" s="16" t="n">
        <v>0.5848</v>
      </c>
      <c r="D82" s="16" t="n">
        <v>0.4848000000000001</v>
      </c>
      <c r="E82" s="16" t="n">
        <v>0.501</v>
      </c>
      <c r="F82" s="16" t="n">
        <v>0.499</v>
      </c>
      <c r="G82" s="100">
        <f>IFERROR(IF(INDEX(Polymarket!$B$25:$B$303,MATCH($A82,Polymarket!$A$25:$A$303,0))=0,"",INDEX(Polymarket!$B$25:$B$303,MATCH($A82,Polymarket!$A$25:$A$303,0))),"")</f>
        <v/>
      </c>
      <c r="H82" s="18">
        <f>IF(AND(ISNUMBER(B82),ISNUMBER(G82)),B82-G82,"")</f>
        <v/>
      </c>
      <c r="I82" s="26" t="inlineStr">
        <is>
          <t>16 Feb</t>
        </is>
      </c>
    </row>
    <row r="83">
      <c r="A83" s="41" t="n">
        <v>46070</v>
      </c>
      <c r="B83" s="28" t="n">
        <v>0.528</v>
      </c>
      <c r="C83" s="28" t="n">
        <v>0.5780000000000001</v>
      </c>
      <c r="D83" s="28" t="n">
        <v>0.478</v>
      </c>
      <c r="E83" s="28" t="n">
        <v>0.501</v>
      </c>
      <c r="F83" s="28" t="n">
        <v>0.499</v>
      </c>
      <c r="G83" s="101">
        <f>IFERROR(IF(INDEX(Polymarket!$B$25:$B$303,MATCH($A83,Polymarket!$A$25:$A$303,0))=0,"",INDEX(Polymarket!$B$25:$B$303,MATCH($A83,Polymarket!$A$25:$A$303,0))),"")</f>
        <v/>
      </c>
      <c r="H83" s="31">
        <f>IF(AND(ISNUMBER(B83),ISNUMBER(G83)),B83-G83,"")</f>
        <v/>
      </c>
      <c r="I83" s="26" t="inlineStr">
        <is>
          <t>17 Feb</t>
        </is>
      </c>
    </row>
    <row r="84">
      <c r="A84" s="39" t="n">
        <v>46071</v>
      </c>
      <c r="B84" s="16" t="n">
        <v>0.5303</v>
      </c>
      <c r="C84" s="16" t="n">
        <v>0.5803</v>
      </c>
      <c r="D84" s="16" t="n">
        <v>0.4803</v>
      </c>
      <c r="E84" s="16" t="n">
        <v>0.501</v>
      </c>
      <c r="F84" s="16" t="n">
        <v>0.499</v>
      </c>
      <c r="G84" s="100">
        <f>IFERROR(IF(INDEX(Polymarket!$B$25:$B$303,MATCH($A84,Polymarket!$A$25:$A$303,0))=0,"",INDEX(Polymarket!$B$25:$B$303,MATCH($A84,Polymarket!$A$25:$A$303,0))),"")</f>
        <v/>
      </c>
      <c r="H84" s="18">
        <f>IF(AND(ISNUMBER(B84),ISNUMBER(G84)),B84-G84,"")</f>
        <v/>
      </c>
      <c r="I84" s="26" t="inlineStr">
        <is>
          <t>18 Feb</t>
        </is>
      </c>
    </row>
    <row r="85">
      <c r="A85" s="41" t="n">
        <v>46072</v>
      </c>
      <c r="B85" s="28" t="n">
        <v>0.5259</v>
      </c>
      <c r="C85" s="28" t="n">
        <v>0.5759000000000001</v>
      </c>
      <c r="D85" s="28" t="n">
        <v>0.4759</v>
      </c>
      <c r="E85" s="28" t="n">
        <v>0.501</v>
      </c>
      <c r="F85" s="28" t="n">
        <v>0.499</v>
      </c>
      <c r="G85" s="101">
        <f>IFERROR(IF(INDEX(Polymarket!$B$25:$B$303,MATCH($A85,Polymarket!$A$25:$A$303,0))=0,"",INDEX(Polymarket!$B$25:$B$303,MATCH($A85,Polymarket!$A$25:$A$303,0))),"")</f>
        <v/>
      </c>
      <c r="H85" s="31">
        <f>IF(AND(ISNUMBER(B85),ISNUMBER(G85)),B85-G85,"")</f>
        <v/>
      </c>
      <c r="I85" s="26" t="inlineStr">
        <is>
          <t>19 Feb</t>
        </is>
      </c>
    </row>
    <row r="86">
      <c r="A86" s="39" t="n">
        <v>46073</v>
      </c>
      <c r="B86" s="16" t="n">
        <v>0.5286999999999999</v>
      </c>
      <c r="C86" s="16" t="n">
        <v>0.5787</v>
      </c>
      <c r="D86" s="16" t="n">
        <v>0.4787</v>
      </c>
      <c r="E86" s="16" t="n">
        <v>0.501</v>
      </c>
      <c r="F86" s="16" t="n">
        <v>0.499</v>
      </c>
      <c r="G86" s="100">
        <f>IFERROR(IF(INDEX(Polymarket!$B$25:$B$303,MATCH($A86,Polymarket!$A$25:$A$303,0))=0,"",INDEX(Polymarket!$B$25:$B$303,MATCH($A86,Polymarket!$A$25:$A$303,0))),"")</f>
        <v/>
      </c>
      <c r="H86" s="18">
        <f>IF(AND(ISNUMBER(B86),ISNUMBER(G86)),B86-G86,"")</f>
        <v/>
      </c>
      <c r="I86" s="26" t="inlineStr">
        <is>
          <t>20 Feb</t>
        </is>
      </c>
    </row>
    <row r="87">
      <c r="A87" s="41" t="n">
        <v>46074</v>
      </c>
      <c r="B87" s="28" t="n">
        <v>0.5331</v>
      </c>
      <c r="C87" s="28" t="n">
        <v>0.5831000000000001</v>
      </c>
      <c r="D87" s="28" t="n">
        <v>0.4831</v>
      </c>
      <c r="E87" s="28" t="n">
        <v>0.501</v>
      </c>
      <c r="F87" s="28" t="n">
        <v>0.499</v>
      </c>
      <c r="G87" s="101">
        <f>IFERROR(IF(INDEX(Polymarket!$B$25:$B$303,MATCH($A87,Polymarket!$A$25:$A$303,0))=0,"",INDEX(Polymarket!$B$25:$B$303,MATCH($A87,Polymarket!$A$25:$A$303,0))),"")</f>
        <v/>
      </c>
      <c r="H87" s="31">
        <f>IF(AND(ISNUMBER(B87),ISNUMBER(G87)),B87-G87,"")</f>
        <v/>
      </c>
      <c r="I87" s="26" t="inlineStr">
        <is>
          <t>21 Feb</t>
        </is>
      </c>
    </row>
    <row r="88">
      <c r="A88" s="39" t="n">
        <v>46075</v>
      </c>
      <c r="B88" s="16" t="n">
        <v>0.5233</v>
      </c>
      <c r="C88" s="16" t="n">
        <v>0.5733</v>
      </c>
      <c r="D88" s="16" t="n">
        <v>0.4733</v>
      </c>
      <c r="E88" s="16" t="n">
        <v>0.501</v>
      </c>
      <c r="F88" s="16" t="n">
        <v>0.5</v>
      </c>
      <c r="G88" s="100">
        <f>IFERROR(IF(INDEX(Polymarket!$B$25:$B$303,MATCH($A88,Polymarket!$A$25:$A$303,0))=0,"",INDEX(Polymarket!$B$25:$B$303,MATCH($A88,Polymarket!$A$25:$A$303,0))),"")</f>
        <v/>
      </c>
      <c r="H88" s="18">
        <f>IF(AND(ISNUMBER(B88),ISNUMBER(G88)),B88-G88,"")</f>
        <v/>
      </c>
      <c r="I88" s="26" t="inlineStr">
        <is>
          <t>22 Feb</t>
        </is>
      </c>
    </row>
    <row r="89">
      <c r="A89" s="41" t="n">
        <v>46076</v>
      </c>
      <c r="B89" s="28" t="n">
        <v>0.5303</v>
      </c>
      <c r="C89" s="28" t="n">
        <v>0.5803</v>
      </c>
      <c r="D89" s="28" t="n">
        <v>0.4803</v>
      </c>
      <c r="E89" s="28" t="n">
        <v>0.501</v>
      </c>
      <c r="F89" s="28" t="n">
        <v>0.499</v>
      </c>
      <c r="G89" s="101">
        <f>IFERROR(IF(INDEX(Polymarket!$B$25:$B$303,MATCH($A89,Polymarket!$A$25:$A$303,0))=0,"",INDEX(Polymarket!$B$25:$B$303,MATCH($A89,Polymarket!$A$25:$A$303,0))),"")</f>
        <v/>
      </c>
      <c r="H89" s="31">
        <f>IF(AND(ISNUMBER(B89),ISNUMBER(G89)),B89-G89,"")</f>
        <v/>
      </c>
      <c r="I89" s="26" t="inlineStr">
        <is>
          <t>23 Feb</t>
        </is>
      </c>
    </row>
    <row r="90">
      <c r="A90" s="39" t="n">
        <v>46077</v>
      </c>
      <c r="B90" s="16" t="n">
        <v>0.5316</v>
      </c>
      <c r="C90" s="16" t="n">
        <v>0.5816</v>
      </c>
      <c r="D90" s="16" t="n">
        <v>0.4816</v>
      </c>
      <c r="E90" s="16" t="n">
        <v>0.501</v>
      </c>
      <c r="F90" s="16" t="n">
        <v>0.499</v>
      </c>
      <c r="G90" s="100">
        <f>IFERROR(IF(INDEX(Polymarket!$B$25:$B$303,MATCH($A90,Polymarket!$A$25:$A$303,0))=0,"",INDEX(Polymarket!$B$25:$B$303,MATCH($A90,Polymarket!$A$25:$A$303,0))),"")</f>
        <v/>
      </c>
      <c r="H90" s="18">
        <f>IF(AND(ISNUMBER(B90),ISNUMBER(G90)),B90-G90,"")</f>
        <v/>
      </c>
      <c r="I90" s="26" t="inlineStr">
        <is>
          <t>24 Feb</t>
        </is>
      </c>
    </row>
    <row r="91">
      <c r="A91" s="41" t="n">
        <v>46078</v>
      </c>
      <c r="B91" s="28" t="n">
        <v>0.521</v>
      </c>
      <c r="C91" s="28" t="n">
        <v>0.5710000000000001</v>
      </c>
      <c r="D91" s="28" t="n">
        <v>0.471</v>
      </c>
      <c r="E91" s="28" t="n">
        <v>0.501</v>
      </c>
      <c r="F91" s="28" t="n">
        <v>0.5</v>
      </c>
      <c r="G91" s="101">
        <f>IFERROR(IF(INDEX(Polymarket!$B$25:$B$303,MATCH($A91,Polymarket!$A$25:$A$303,0))=0,"",INDEX(Polymarket!$B$25:$B$303,MATCH($A91,Polymarket!$A$25:$A$303,0))),"")</f>
        <v/>
      </c>
      <c r="H91" s="31">
        <f>IF(AND(ISNUMBER(B91),ISNUMBER(G91)),B91-G91,"")</f>
        <v/>
      </c>
      <c r="I91" s="26" t="inlineStr">
        <is>
          <t>25 Feb</t>
        </is>
      </c>
    </row>
    <row r="92">
      <c r="A92" s="39" t="n">
        <v>46079</v>
      </c>
      <c r="B92" s="16" t="n">
        <v>0.5214</v>
      </c>
      <c r="C92" s="16" t="n">
        <v>0.5714</v>
      </c>
      <c r="D92" s="16" t="n">
        <v>0.4714</v>
      </c>
      <c r="E92" s="16" t="n">
        <v>0.501</v>
      </c>
      <c r="F92" s="16" t="n">
        <v>0.5</v>
      </c>
      <c r="G92" s="100">
        <f>IFERROR(IF(INDEX(Polymarket!$B$25:$B$303,MATCH($A92,Polymarket!$A$25:$A$303,0))=0,"",INDEX(Polymarket!$B$25:$B$303,MATCH($A92,Polymarket!$A$25:$A$303,0))),"")</f>
        <v/>
      </c>
      <c r="H92" s="18">
        <f>IF(AND(ISNUMBER(B92),ISNUMBER(G92)),B92-G92,"")</f>
        <v/>
      </c>
      <c r="I92" s="26" t="inlineStr">
        <is>
          <t>26 Feb</t>
        </is>
      </c>
    </row>
    <row r="93">
      <c r="A93" s="41" t="n">
        <v>46080</v>
      </c>
      <c r="B93" s="28" t="n">
        <v>0.5235</v>
      </c>
      <c r="C93" s="28" t="n">
        <v>0.5734999999999999</v>
      </c>
      <c r="D93" s="28" t="n">
        <v>0.4734999999999999</v>
      </c>
      <c r="E93" s="28" t="n">
        <v>0.501</v>
      </c>
      <c r="F93" s="28" t="n">
        <v>0.5</v>
      </c>
      <c r="G93" s="101">
        <f>IFERROR(IF(INDEX(Polymarket!$B$25:$B$303,MATCH($A93,Polymarket!$A$25:$A$303,0))=0,"",INDEX(Polymarket!$B$25:$B$303,MATCH($A93,Polymarket!$A$25:$A$303,0))),"")</f>
        <v/>
      </c>
      <c r="H93" s="31">
        <f>IF(AND(ISNUMBER(B93),ISNUMBER(G93)),B93-G93,"")</f>
        <v/>
      </c>
      <c r="I93" s="26" t="inlineStr">
        <is>
          <t>27 Feb</t>
        </is>
      </c>
    </row>
    <row r="94">
      <c r="A94" s="39" t="n">
        <v>46081</v>
      </c>
      <c r="B94" s="16" t="n">
        <v>0.5237000000000001</v>
      </c>
      <c r="C94" s="16" t="n">
        <v>0.5737000000000001</v>
      </c>
      <c r="D94" s="16" t="n">
        <v>0.4737000000000001</v>
      </c>
      <c r="E94" s="16" t="n">
        <v>0.501</v>
      </c>
      <c r="F94" s="16" t="n">
        <v>0.5</v>
      </c>
      <c r="G94" s="100">
        <f>IFERROR(IF(INDEX(Polymarket!$B$25:$B$303,MATCH($A94,Polymarket!$A$25:$A$303,0))=0,"",INDEX(Polymarket!$B$25:$B$303,MATCH($A94,Polymarket!$A$25:$A$303,0))),"")</f>
        <v/>
      </c>
      <c r="H94" s="18">
        <f>IF(AND(ISNUMBER(B94),ISNUMBER(G94)),B94-G94,"")</f>
        <v/>
      </c>
      <c r="I94" s="26" t="inlineStr">
        <is>
          <t>28 Feb</t>
        </is>
      </c>
    </row>
    <row r="95">
      <c r="A95" s="41" t="n">
        <v>46082</v>
      </c>
      <c r="B95" s="28" t="n">
        <v>0.5298</v>
      </c>
      <c r="C95" s="28" t="n">
        <v>0.5798000000000001</v>
      </c>
      <c r="D95" s="28" t="n">
        <v>0.4798000000000001</v>
      </c>
      <c r="E95" s="28" t="n">
        <v>0.501</v>
      </c>
      <c r="F95" s="28" t="n">
        <v>0.5</v>
      </c>
      <c r="G95" s="101">
        <f>IFERROR(IF(INDEX(Polymarket!$B$25:$B$303,MATCH($A95,Polymarket!$A$25:$A$303,0))=0,"",INDEX(Polymarket!$B$25:$B$303,MATCH($A95,Polymarket!$A$25:$A$303,0))),"")</f>
        <v/>
      </c>
      <c r="H95" s="31">
        <f>IF(AND(ISNUMBER(B95),ISNUMBER(G95)),B95-G95,"")</f>
        <v/>
      </c>
      <c r="I95" s="26" t="inlineStr">
        <is>
          <t>01 Mar</t>
        </is>
      </c>
    </row>
    <row r="96">
      <c r="A96" s="39" t="n">
        <v>46083</v>
      </c>
      <c r="B96" s="16" t="n">
        <v>0.525</v>
      </c>
      <c r="C96" s="16" t="n">
        <v>0.575</v>
      </c>
      <c r="D96" s="16" t="n">
        <v>0.475</v>
      </c>
      <c r="E96" s="16" t="n">
        <v>0.501</v>
      </c>
      <c r="F96" s="16" t="n">
        <v>0.5</v>
      </c>
      <c r="G96" s="100">
        <f>IFERROR(IF(INDEX(Polymarket!$B$25:$B$303,MATCH($A96,Polymarket!$A$25:$A$303,0))=0,"",INDEX(Polymarket!$B$25:$B$303,MATCH($A96,Polymarket!$A$25:$A$303,0))),"")</f>
        <v/>
      </c>
      <c r="H96" s="18">
        <f>IF(AND(ISNUMBER(B96),ISNUMBER(G96)),B96-G96,"")</f>
        <v/>
      </c>
      <c r="I96" s="26" t="inlineStr">
        <is>
          <t>02 Mar</t>
        </is>
      </c>
    </row>
    <row r="97">
      <c r="A97" s="41" t="n">
        <v>46084</v>
      </c>
      <c r="B97" s="28" t="n">
        <v>0.5317</v>
      </c>
      <c r="C97" s="28" t="n">
        <v>0.5817</v>
      </c>
      <c r="D97" s="28" t="n">
        <v>0.4817</v>
      </c>
      <c r="E97" s="28" t="n">
        <v>0.501</v>
      </c>
      <c r="F97" s="28" t="n">
        <v>0.499</v>
      </c>
      <c r="G97" s="101">
        <f>IFERROR(IF(INDEX(Polymarket!$B$25:$B$303,MATCH($A97,Polymarket!$A$25:$A$303,0))=0,"",INDEX(Polymarket!$B$25:$B$303,MATCH($A97,Polymarket!$A$25:$A$303,0))),"")</f>
        <v/>
      </c>
      <c r="H97" s="31">
        <f>IF(AND(ISNUMBER(B97),ISNUMBER(G97)),B97-G97,"")</f>
        <v/>
      </c>
      <c r="I97" s="26" t="inlineStr">
        <is>
          <t>03 Mar</t>
        </is>
      </c>
    </row>
    <row r="98">
      <c r="A98" s="39" t="n">
        <v>46085</v>
      </c>
      <c r="B98" s="16" t="n">
        <v>0.5268</v>
      </c>
      <c r="C98" s="16" t="n">
        <v>0.5768000000000001</v>
      </c>
      <c r="D98" s="16" t="n">
        <v>0.4768000000000001</v>
      </c>
      <c r="E98" s="16" t="n">
        <v>0.501</v>
      </c>
      <c r="F98" s="16" t="n">
        <v>0.5</v>
      </c>
      <c r="G98" s="100">
        <f>IFERROR(IF(INDEX(Polymarket!$B$25:$B$303,MATCH($A98,Polymarket!$A$25:$A$303,0))=0,"",INDEX(Polymarket!$B$25:$B$303,MATCH($A98,Polymarket!$A$25:$A$303,0))),"")</f>
        <v/>
      </c>
      <c r="H98" s="18">
        <f>IF(AND(ISNUMBER(B98),ISNUMBER(G98)),B98-G98,"")</f>
        <v/>
      </c>
      <c r="I98" s="26" t="inlineStr">
        <is>
          <t>04 Mar</t>
        </is>
      </c>
    </row>
    <row r="99">
      <c r="A99" s="41" t="n">
        <v>46086</v>
      </c>
      <c r="B99" s="28" t="n">
        <v>0.5243</v>
      </c>
      <c r="C99" s="28" t="n">
        <v>0.5743</v>
      </c>
      <c r="D99" s="28" t="n">
        <v>0.4743</v>
      </c>
      <c r="E99" s="28" t="n">
        <v>0.501</v>
      </c>
      <c r="F99" s="28" t="n">
        <v>0.5</v>
      </c>
      <c r="G99" s="101">
        <f>IFERROR(IF(INDEX(Polymarket!$B$25:$B$303,MATCH($A99,Polymarket!$A$25:$A$303,0))=0,"",INDEX(Polymarket!$B$25:$B$303,MATCH($A99,Polymarket!$A$25:$A$303,0))),"")</f>
        <v/>
      </c>
      <c r="H99" s="31">
        <f>IF(AND(ISNUMBER(B99),ISNUMBER(G99)),B99-G99,"")</f>
        <v/>
      </c>
      <c r="I99" s="26" t="inlineStr">
        <is>
          <t>05 Mar</t>
        </is>
      </c>
    </row>
    <row r="100">
      <c r="A100" s="39" t="n">
        <v>46087</v>
      </c>
      <c r="B100" s="16" t="n">
        <v>0.5164</v>
      </c>
      <c r="C100" s="16" t="n">
        <v>0.5664</v>
      </c>
      <c r="D100" s="16" t="n">
        <v>0.4664</v>
      </c>
      <c r="E100" s="16" t="n">
        <v>0.501</v>
      </c>
      <c r="F100" s="16" t="n">
        <v>0.5</v>
      </c>
      <c r="G100" s="100">
        <f>IFERROR(IF(INDEX(Polymarket!$B$25:$B$303,MATCH($A100,Polymarket!$A$25:$A$303,0))=0,"",INDEX(Polymarket!$B$25:$B$303,MATCH($A100,Polymarket!$A$25:$A$303,0))),"")</f>
        <v/>
      </c>
      <c r="H100" s="18">
        <f>IF(AND(ISNUMBER(B100),ISNUMBER(G100)),B100-G100,"")</f>
        <v/>
      </c>
      <c r="I100" s="26" t="inlineStr">
        <is>
          <t>06 Mar</t>
        </is>
      </c>
    </row>
    <row r="101">
      <c r="A101" s="41" t="n">
        <v>46088</v>
      </c>
      <c r="B101" s="28" t="n">
        <v>0.5256</v>
      </c>
      <c r="C101" s="28" t="n">
        <v>0.5756</v>
      </c>
      <c r="D101" s="28" t="n">
        <v>0.4756</v>
      </c>
      <c r="E101" s="28" t="n">
        <v>0.501</v>
      </c>
      <c r="F101" s="28" t="n">
        <v>0.5</v>
      </c>
      <c r="G101" s="101">
        <f>IFERROR(IF(INDEX(Polymarket!$B$25:$B$303,MATCH($A101,Polymarket!$A$25:$A$303,0))=0,"",INDEX(Polymarket!$B$25:$B$303,MATCH($A101,Polymarket!$A$25:$A$303,0))),"")</f>
        <v/>
      </c>
      <c r="H101" s="31">
        <f>IF(AND(ISNUMBER(B101),ISNUMBER(G101)),B101-G101,"")</f>
        <v/>
      </c>
      <c r="I101" s="26" t="inlineStr">
        <is>
          <t>07 Mar</t>
        </is>
      </c>
    </row>
    <row r="102">
      <c r="A102" s="39" t="n">
        <v>46089</v>
      </c>
      <c r="B102" s="16" t="n">
        <v>0.529</v>
      </c>
      <c r="C102" s="16" t="n">
        <v>0.5790000000000001</v>
      </c>
      <c r="D102" s="16" t="n">
        <v>0.479</v>
      </c>
      <c r="E102" s="16" t="n">
        <v>0.501</v>
      </c>
      <c r="F102" s="16" t="n">
        <v>0.5</v>
      </c>
      <c r="G102" s="100">
        <f>IFERROR(IF(INDEX(Polymarket!$B$25:$B$303,MATCH($A102,Polymarket!$A$25:$A$303,0))=0,"",INDEX(Polymarket!$B$25:$B$303,MATCH($A102,Polymarket!$A$25:$A$303,0))),"")</f>
        <v/>
      </c>
      <c r="H102" s="18">
        <f>IF(AND(ISNUMBER(B102),ISNUMBER(G102)),B102-G102,"")</f>
        <v/>
      </c>
      <c r="I102" s="26" t="inlineStr">
        <is>
          <t>08 Mar</t>
        </is>
      </c>
    </row>
    <row r="103">
      <c r="A103" s="41" t="n">
        <v>46090</v>
      </c>
      <c r="B103" s="28" t="n">
        <v>0.5293</v>
      </c>
      <c r="C103" s="28" t="n">
        <v>0.5793</v>
      </c>
      <c r="D103" s="28" t="n">
        <v>0.4793</v>
      </c>
      <c r="E103" s="28" t="n">
        <v>0.501</v>
      </c>
      <c r="F103" s="28" t="n">
        <v>0.5</v>
      </c>
      <c r="G103" s="101">
        <f>IFERROR(IF(INDEX(Polymarket!$B$25:$B$303,MATCH($A103,Polymarket!$A$25:$A$303,0))=0,"",INDEX(Polymarket!$B$25:$B$303,MATCH($A103,Polymarket!$A$25:$A$303,0))),"")</f>
        <v/>
      </c>
      <c r="H103" s="31">
        <f>IF(AND(ISNUMBER(B103),ISNUMBER(G103)),B103-G103,"")</f>
        <v/>
      </c>
      <c r="I103" s="26" t="inlineStr">
        <is>
          <t>09 Mar</t>
        </is>
      </c>
    </row>
    <row r="104">
      <c r="A104" s="39" t="n">
        <v>46091</v>
      </c>
      <c r="B104" s="16" t="n">
        <v>0.5203</v>
      </c>
      <c r="C104" s="16" t="n">
        <v>0.5703</v>
      </c>
      <c r="D104" s="16" t="n">
        <v>0.4703</v>
      </c>
      <c r="E104" s="16" t="n">
        <v>0.501</v>
      </c>
      <c r="F104" s="16" t="n">
        <v>0.5</v>
      </c>
      <c r="G104" s="100">
        <f>IFERROR(IF(INDEX(Polymarket!$B$25:$B$303,MATCH($A104,Polymarket!$A$25:$A$303,0))=0,"",INDEX(Polymarket!$B$25:$B$303,MATCH($A104,Polymarket!$A$25:$A$303,0))),"")</f>
        <v/>
      </c>
      <c r="H104" s="18">
        <f>IF(AND(ISNUMBER(B104),ISNUMBER(G104)),B104-G104,"")</f>
        <v/>
      </c>
      <c r="I104" s="26" t="inlineStr">
        <is>
          <t>10 Mar</t>
        </is>
      </c>
    </row>
    <row r="105">
      <c r="A105" s="41" t="n">
        <v>46092</v>
      </c>
      <c r="B105" s="28" t="n">
        <v>0.5174</v>
      </c>
      <c r="C105" s="28" t="n">
        <v>0.5673999999999999</v>
      </c>
      <c r="D105" s="28" t="n">
        <v>0.4673999999999999</v>
      </c>
      <c r="E105" s="28" t="n">
        <v>0.501</v>
      </c>
      <c r="F105" s="28" t="n">
        <v>0.5</v>
      </c>
      <c r="G105" s="101">
        <f>IFERROR(IF(INDEX(Polymarket!$B$25:$B$303,MATCH($A105,Polymarket!$A$25:$A$303,0))=0,"",INDEX(Polymarket!$B$25:$B$303,MATCH($A105,Polymarket!$A$25:$A$303,0))),"")</f>
        <v/>
      </c>
      <c r="H105" s="31">
        <f>IF(AND(ISNUMBER(B105),ISNUMBER(G105)),B105-G105,"")</f>
        <v/>
      </c>
      <c r="I105" s="26" t="inlineStr">
        <is>
          <t>11 Mar</t>
        </is>
      </c>
    </row>
    <row r="106">
      <c r="A106" s="39" t="n">
        <v>46093</v>
      </c>
      <c r="B106" s="16" t="n">
        <v>0.5172</v>
      </c>
      <c r="C106" s="16" t="n">
        <v>0.5672</v>
      </c>
      <c r="D106" s="16" t="n">
        <v>0.4672</v>
      </c>
      <c r="E106" s="16" t="n">
        <v>0.501</v>
      </c>
      <c r="F106" s="16" t="n">
        <v>0.5</v>
      </c>
      <c r="G106" s="100">
        <f>IFERROR(IF(INDEX(Polymarket!$B$25:$B$303,MATCH($A106,Polymarket!$A$25:$A$303,0))=0,"",INDEX(Polymarket!$B$25:$B$303,MATCH($A106,Polymarket!$A$25:$A$303,0))),"")</f>
        <v/>
      </c>
      <c r="H106" s="18">
        <f>IF(AND(ISNUMBER(B106),ISNUMBER(G106)),B106-G106,"")</f>
        <v/>
      </c>
      <c r="I106" s="26" t="inlineStr">
        <is>
          <t>12 Mar</t>
        </is>
      </c>
    </row>
    <row r="107">
      <c r="A107" s="41" t="n">
        <v>46094</v>
      </c>
      <c r="B107" s="28" t="n">
        <v>0.521</v>
      </c>
      <c r="C107" s="28" t="n">
        <v>0.5710000000000001</v>
      </c>
      <c r="D107" s="28" t="n">
        <v>0.471</v>
      </c>
      <c r="E107" s="28" t="n">
        <v>0.501</v>
      </c>
      <c r="F107" s="28" t="n">
        <v>0.5</v>
      </c>
      <c r="G107" s="101">
        <f>IFERROR(IF(INDEX(Polymarket!$B$25:$B$303,MATCH($A107,Polymarket!$A$25:$A$303,0))=0,"",INDEX(Polymarket!$B$25:$B$303,MATCH($A107,Polymarket!$A$25:$A$303,0))),"")</f>
        <v/>
      </c>
      <c r="H107" s="31">
        <f>IF(AND(ISNUMBER(B107),ISNUMBER(G107)),B107-G107,"")</f>
        <v/>
      </c>
      <c r="I107" s="26" t="inlineStr">
        <is>
          <t>13 Mar</t>
        </is>
      </c>
    </row>
    <row r="108">
      <c r="A108" s="39" t="n">
        <v>46095</v>
      </c>
      <c r="B108" s="16" t="n">
        <v>0.5207000000000001</v>
      </c>
      <c r="C108" s="16" t="n">
        <v>0.5707000000000001</v>
      </c>
      <c r="D108" s="16" t="n">
        <v>0.4707000000000001</v>
      </c>
      <c r="E108" s="16" t="n">
        <v>0.501</v>
      </c>
      <c r="F108" s="16" t="n">
        <v>0.5</v>
      </c>
      <c r="G108" s="100">
        <f>IFERROR(IF(INDEX(Polymarket!$B$25:$B$303,MATCH($A108,Polymarket!$A$25:$A$303,0))=0,"",INDEX(Polymarket!$B$25:$B$303,MATCH($A108,Polymarket!$A$25:$A$303,0))),"")</f>
        <v/>
      </c>
      <c r="H108" s="18">
        <f>IF(AND(ISNUMBER(B108),ISNUMBER(G108)),B108-G108,"")</f>
        <v/>
      </c>
      <c r="I108" s="26" t="inlineStr">
        <is>
          <t>14 Mar</t>
        </is>
      </c>
    </row>
    <row r="109">
      <c r="A109" s="41" t="n">
        <v>46096</v>
      </c>
      <c r="B109" s="28" t="n">
        <v>0.5165999999999999</v>
      </c>
      <c r="C109" s="28" t="n">
        <v>0.5666</v>
      </c>
      <c r="D109" s="28" t="n">
        <v>0.4666</v>
      </c>
      <c r="E109" s="28" t="n">
        <v>0.501</v>
      </c>
      <c r="F109" s="28" t="n">
        <v>0.5</v>
      </c>
      <c r="G109" s="101">
        <f>IFERROR(IF(INDEX(Polymarket!$B$25:$B$303,MATCH($A109,Polymarket!$A$25:$A$303,0))=0,"",INDEX(Polymarket!$B$25:$B$303,MATCH($A109,Polymarket!$A$25:$A$303,0))),"")</f>
        <v/>
      </c>
      <c r="H109" s="31">
        <f>IF(AND(ISNUMBER(B109),ISNUMBER(G109)),B109-G109,"")</f>
        <v/>
      </c>
      <c r="I109" s="26" t="inlineStr">
        <is>
          <t>15 Mar</t>
        </is>
      </c>
    </row>
    <row r="110">
      <c r="A110" s="39" t="n">
        <v>46097</v>
      </c>
      <c r="B110" s="16" t="n">
        <v>0.5222</v>
      </c>
      <c r="C110" s="16" t="n">
        <v>0.5722</v>
      </c>
      <c r="D110" s="16" t="n">
        <v>0.4722</v>
      </c>
      <c r="E110" s="16" t="n">
        <v>0.501</v>
      </c>
      <c r="F110" s="16" t="n">
        <v>0.5</v>
      </c>
      <c r="G110" s="100">
        <f>IFERROR(IF(INDEX(Polymarket!$B$25:$B$303,MATCH($A110,Polymarket!$A$25:$A$303,0))=0,"",INDEX(Polymarket!$B$25:$B$303,MATCH($A110,Polymarket!$A$25:$A$303,0))),"")</f>
        <v/>
      </c>
      <c r="H110" s="18">
        <f>IF(AND(ISNUMBER(B110),ISNUMBER(G110)),B110-G110,"")</f>
        <v/>
      </c>
      <c r="I110" s="26" t="inlineStr">
        <is>
          <t>16 Mar</t>
        </is>
      </c>
    </row>
    <row r="111">
      <c r="A111" s="41" t="n">
        <v>46098</v>
      </c>
      <c r="B111" s="28" t="n">
        <v>0.5199</v>
      </c>
      <c r="C111" s="28" t="n">
        <v>0.5699000000000001</v>
      </c>
      <c r="D111" s="28" t="n">
        <v>0.4699</v>
      </c>
      <c r="E111" s="28" t="n">
        <v>0.501</v>
      </c>
      <c r="F111" s="28" t="n">
        <v>0.5</v>
      </c>
      <c r="G111" s="101">
        <f>IFERROR(IF(INDEX(Polymarket!$B$25:$B$303,MATCH($A111,Polymarket!$A$25:$A$303,0))=0,"",INDEX(Polymarket!$B$25:$B$303,MATCH($A111,Polymarket!$A$25:$A$303,0))),"")</f>
        <v/>
      </c>
      <c r="H111" s="31">
        <f>IF(AND(ISNUMBER(B111),ISNUMBER(G111)),B111-G111,"")</f>
        <v/>
      </c>
      <c r="I111" s="26" t="inlineStr">
        <is>
          <t>17 Mar</t>
        </is>
      </c>
    </row>
    <row r="112">
      <c r="A112" s="39" t="n">
        <v>46099</v>
      </c>
      <c r="B112" s="16" t="n">
        <v>0.5227000000000001</v>
      </c>
      <c r="C112" s="16" t="n">
        <v>0.5727</v>
      </c>
      <c r="D112" s="16" t="n">
        <v>0.4727</v>
      </c>
      <c r="E112" s="16" t="n">
        <v>0.501</v>
      </c>
      <c r="F112" s="16" t="n">
        <v>0.5</v>
      </c>
      <c r="G112" s="100">
        <f>IFERROR(IF(INDEX(Polymarket!$B$25:$B$303,MATCH($A112,Polymarket!$A$25:$A$303,0))=0,"",INDEX(Polymarket!$B$25:$B$303,MATCH($A112,Polymarket!$A$25:$A$303,0))),"")</f>
        <v/>
      </c>
      <c r="H112" s="18">
        <f>IF(AND(ISNUMBER(B112),ISNUMBER(G112)),B112-G112,"")</f>
        <v/>
      </c>
      <c r="I112" s="26" t="inlineStr">
        <is>
          <t>18 Mar</t>
        </is>
      </c>
    </row>
    <row r="113">
      <c r="A113" s="41" t="n">
        <v>46100</v>
      </c>
      <c r="B113" s="28" t="n">
        <v>0.5221</v>
      </c>
      <c r="C113" s="28" t="n">
        <v>0.5721000000000001</v>
      </c>
      <c r="D113" s="28" t="n">
        <v>0.4721</v>
      </c>
      <c r="E113" s="28" t="n">
        <v>0.501</v>
      </c>
      <c r="F113" s="28" t="n">
        <v>0.5</v>
      </c>
      <c r="G113" s="101">
        <f>IFERROR(IF(INDEX(Polymarket!$B$25:$B$303,MATCH($A113,Polymarket!$A$25:$A$303,0))=0,"",INDEX(Polymarket!$B$25:$B$303,MATCH($A113,Polymarket!$A$25:$A$303,0))),"")</f>
        <v/>
      </c>
      <c r="H113" s="31">
        <f>IF(AND(ISNUMBER(B113),ISNUMBER(G113)),B113-G113,"")</f>
        <v/>
      </c>
      <c r="I113" s="26" t="inlineStr">
        <is>
          <t>19 Mar</t>
        </is>
      </c>
    </row>
    <row r="114">
      <c r="A114" s="39" t="n">
        <v>46101</v>
      </c>
      <c r="B114" s="16" t="n">
        <v>0.5264</v>
      </c>
      <c r="C114" s="16" t="n">
        <v>0.5764</v>
      </c>
      <c r="D114" s="16" t="n">
        <v>0.4764</v>
      </c>
      <c r="E114" s="16" t="n">
        <v>0.501</v>
      </c>
      <c r="F114" s="16" t="n">
        <v>0.5</v>
      </c>
      <c r="G114" s="100">
        <f>IFERROR(IF(INDEX(Polymarket!$B$25:$B$303,MATCH($A114,Polymarket!$A$25:$A$303,0))=0,"",INDEX(Polymarket!$B$25:$B$303,MATCH($A114,Polymarket!$A$25:$A$303,0))),"")</f>
        <v/>
      </c>
      <c r="H114" s="18">
        <f>IF(AND(ISNUMBER(B114),ISNUMBER(G114)),B114-G114,"")</f>
        <v/>
      </c>
      <c r="I114" s="26" t="inlineStr">
        <is>
          <t>20 Mar</t>
        </is>
      </c>
    </row>
    <row r="115">
      <c r="A115" s="41" t="n">
        <v>46102</v>
      </c>
      <c r="B115" s="28" t="n">
        <v>0.5249</v>
      </c>
      <c r="C115" s="28" t="n">
        <v>0.5749</v>
      </c>
      <c r="D115" s="28" t="n">
        <v>0.4749</v>
      </c>
      <c r="E115" s="28" t="n">
        <v>0.501</v>
      </c>
      <c r="F115" s="28" t="n">
        <v>0.5</v>
      </c>
      <c r="G115" s="101">
        <f>IFERROR(IF(INDEX(Polymarket!$B$25:$B$303,MATCH($A115,Polymarket!$A$25:$A$303,0))=0,"",INDEX(Polymarket!$B$25:$B$303,MATCH($A115,Polymarket!$A$25:$A$303,0))),"")</f>
        <v/>
      </c>
      <c r="H115" s="31">
        <f>IF(AND(ISNUMBER(B115),ISNUMBER(G115)),B115-G115,"")</f>
        <v/>
      </c>
      <c r="I115" s="26" t="inlineStr">
        <is>
          <t>21 Mar</t>
        </is>
      </c>
    </row>
    <row r="116">
      <c r="A116" s="39" t="n">
        <v>46103</v>
      </c>
      <c r="B116" s="16" t="n">
        <v>0.5244</v>
      </c>
      <c r="C116" s="16" t="n">
        <v>0.5744</v>
      </c>
      <c r="D116" s="16" t="n">
        <v>0.4744</v>
      </c>
      <c r="E116" s="16" t="n">
        <v>0.501</v>
      </c>
      <c r="F116" s="16" t="n">
        <v>0.5</v>
      </c>
      <c r="G116" s="100">
        <f>IFERROR(IF(INDEX(Polymarket!$B$25:$B$303,MATCH($A116,Polymarket!$A$25:$A$303,0))=0,"",INDEX(Polymarket!$B$25:$B$303,MATCH($A116,Polymarket!$A$25:$A$303,0))),"")</f>
        <v/>
      </c>
      <c r="H116" s="18">
        <f>IF(AND(ISNUMBER(B116),ISNUMBER(G116)),B116-G116,"")</f>
        <v/>
      </c>
      <c r="I116" s="26" t="inlineStr">
        <is>
          <t>22 Mar</t>
        </is>
      </c>
    </row>
    <row r="117">
      <c r="A117" s="41" t="n">
        <v>46104</v>
      </c>
      <c r="B117" s="28" t="n">
        <v>0.5377</v>
      </c>
      <c r="C117" s="28" t="n">
        <v>0.5877</v>
      </c>
      <c r="D117" s="28" t="n">
        <v>0.4877</v>
      </c>
      <c r="E117" s="28" t="n">
        <v>0.501</v>
      </c>
      <c r="F117" s="28" t="n">
        <v>0.499</v>
      </c>
      <c r="G117" s="101">
        <f>IFERROR(IF(INDEX(Polymarket!$B$25:$B$303,MATCH($A117,Polymarket!$A$25:$A$303,0))=0,"",INDEX(Polymarket!$B$25:$B$303,MATCH($A117,Polymarket!$A$25:$A$303,0))),"")</f>
        <v/>
      </c>
      <c r="H117" s="31">
        <f>IF(AND(ISNUMBER(B117),ISNUMBER(G117)),B117-G117,"")</f>
        <v/>
      </c>
      <c r="I117" s="26" t="inlineStr">
        <is>
          <t>23 Mar</t>
        </is>
      </c>
    </row>
    <row r="118">
      <c r="A118" s="39" t="n">
        <v>46105</v>
      </c>
      <c r="B118" s="16" t="n">
        <v>0.5363</v>
      </c>
      <c r="C118" s="16" t="n">
        <v>0.5863</v>
      </c>
      <c r="D118" s="16" t="n">
        <v>0.4863</v>
      </c>
      <c r="E118" s="16" t="n">
        <v>0.501</v>
      </c>
      <c r="F118" s="16" t="n">
        <v>0.499</v>
      </c>
      <c r="G118" s="100">
        <f>IFERROR(IF(INDEX(Polymarket!$B$25:$B$303,MATCH($A118,Polymarket!$A$25:$A$303,0))=0,"",INDEX(Polymarket!$B$25:$B$303,MATCH($A118,Polymarket!$A$25:$A$303,0))),"")</f>
        <v/>
      </c>
      <c r="H118" s="18">
        <f>IF(AND(ISNUMBER(B118),ISNUMBER(G118)),B118-G118,"")</f>
        <v/>
      </c>
      <c r="I118" s="26" t="inlineStr">
        <is>
          <t>24 Mar</t>
        </is>
      </c>
    </row>
    <row r="119">
      <c r="A119" s="41" t="n">
        <v>46106</v>
      </c>
      <c r="B119" s="28" t="n">
        <v>0.5368000000000001</v>
      </c>
      <c r="C119" s="28" t="n">
        <v>0.5868000000000001</v>
      </c>
      <c r="D119" s="28" t="n">
        <v>0.4868000000000001</v>
      </c>
      <c r="E119" s="28" t="n">
        <v>0.501</v>
      </c>
      <c r="F119" s="28" t="n">
        <v>0.499</v>
      </c>
      <c r="G119" s="101">
        <f>IFERROR(IF(INDEX(Polymarket!$B$25:$B$303,MATCH($A119,Polymarket!$A$25:$A$303,0))=0,"",INDEX(Polymarket!$B$25:$B$303,MATCH($A119,Polymarket!$A$25:$A$303,0))),"")</f>
        <v/>
      </c>
      <c r="H119" s="31">
        <f>IF(AND(ISNUMBER(B119),ISNUMBER(G119)),B119-G119,"")</f>
        <v/>
      </c>
      <c r="I119" s="26" t="inlineStr">
        <is>
          <t>25 Mar</t>
        </is>
      </c>
    </row>
    <row r="120">
      <c r="A120" s="39" t="n">
        <v>46107</v>
      </c>
      <c r="B120" s="16" t="n">
        <v>0.5349</v>
      </c>
      <c r="C120" s="16" t="n">
        <v>0.5849</v>
      </c>
      <c r="D120" s="16" t="n">
        <v>0.4849</v>
      </c>
      <c r="E120" s="16" t="n">
        <v>0.501</v>
      </c>
      <c r="F120" s="16" t="n">
        <v>0.499</v>
      </c>
      <c r="G120" s="100">
        <f>IFERROR(IF(INDEX(Polymarket!$B$25:$B$303,MATCH($A120,Polymarket!$A$25:$A$303,0))=0,"",INDEX(Polymarket!$B$25:$B$303,MATCH($A120,Polymarket!$A$25:$A$303,0))),"")</f>
        <v/>
      </c>
      <c r="H120" s="18">
        <f>IF(AND(ISNUMBER(B120),ISNUMBER(G120)),B120-G120,"")</f>
        <v/>
      </c>
      <c r="I120" s="26" t="inlineStr">
        <is>
          <t>26 Mar</t>
        </is>
      </c>
    </row>
    <row r="121">
      <c r="A121" s="41" t="n">
        <v>46108</v>
      </c>
      <c r="B121" s="28" t="n">
        <v>0.5284</v>
      </c>
      <c r="C121" s="28" t="n">
        <v>0.5783999999999999</v>
      </c>
      <c r="D121" s="28" t="n">
        <v>0.4783999999999999</v>
      </c>
      <c r="E121" s="28" t="n">
        <v>0.501</v>
      </c>
      <c r="F121" s="28" t="n">
        <v>0.499</v>
      </c>
      <c r="G121" s="101">
        <f>IFERROR(IF(INDEX(Polymarket!$B$25:$B$303,MATCH($A121,Polymarket!$A$25:$A$303,0))=0,"",INDEX(Polymarket!$B$25:$B$303,MATCH($A121,Polymarket!$A$25:$A$303,0))),"")</f>
        <v/>
      </c>
      <c r="H121" s="31">
        <f>IF(AND(ISNUMBER(B121),ISNUMBER(G121)),B121-G121,"")</f>
        <v/>
      </c>
      <c r="I121" s="26" t="inlineStr">
        <is>
          <t>27 Mar</t>
        </is>
      </c>
    </row>
    <row r="122">
      <c r="A122" s="39" t="n">
        <v>46109</v>
      </c>
      <c r="B122" s="16" t="n">
        <v>0.5357</v>
      </c>
      <c r="C122" s="16" t="n">
        <v>0.5856999999999999</v>
      </c>
      <c r="D122" s="16" t="n">
        <v>0.4856999999999999</v>
      </c>
      <c r="E122" s="16" t="n">
        <v>0.501</v>
      </c>
      <c r="F122" s="16" t="n">
        <v>0.499</v>
      </c>
      <c r="G122" s="100">
        <f>IFERROR(IF(INDEX(Polymarket!$B$25:$B$303,MATCH($A122,Polymarket!$A$25:$A$303,0))=0,"",INDEX(Polymarket!$B$25:$B$303,MATCH($A122,Polymarket!$A$25:$A$303,0))),"")</f>
        <v/>
      </c>
      <c r="H122" s="18">
        <f>IF(AND(ISNUMBER(B122),ISNUMBER(G122)),B122-G122,"")</f>
        <v/>
      </c>
      <c r="I122" s="26" t="inlineStr">
        <is>
          <t>28 Mar</t>
        </is>
      </c>
    </row>
    <row r="123">
      <c r="A123" s="41" t="n">
        <v>46110</v>
      </c>
      <c r="B123" s="28" t="n">
        <v>0.5276999999999999</v>
      </c>
      <c r="C123" s="28" t="n">
        <v>0.5777</v>
      </c>
      <c r="D123" s="28" t="n">
        <v>0.4777</v>
      </c>
      <c r="E123" s="28" t="n">
        <v>0.501</v>
      </c>
      <c r="F123" s="28" t="n">
        <v>0.499</v>
      </c>
      <c r="G123" s="101">
        <f>IFERROR(IF(INDEX(Polymarket!$B$25:$B$303,MATCH($A123,Polymarket!$A$25:$A$303,0))=0,"",INDEX(Polymarket!$B$25:$B$303,MATCH($A123,Polymarket!$A$25:$A$303,0))),"")</f>
        <v/>
      </c>
      <c r="H123" s="31">
        <f>IF(AND(ISNUMBER(B123),ISNUMBER(G123)),B123-G123,"")</f>
        <v/>
      </c>
      <c r="I123" s="26" t="inlineStr">
        <is>
          <t>29 Mar</t>
        </is>
      </c>
    </row>
    <row r="124">
      <c r="A124" s="39" t="n">
        <v>46111</v>
      </c>
      <c r="B124" s="16" t="n">
        <v>0.5368000000000001</v>
      </c>
      <c r="C124" s="16" t="n">
        <v>0.5868000000000001</v>
      </c>
      <c r="D124" s="16" t="n">
        <v>0.4868000000000001</v>
      </c>
      <c r="E124" s="16" t="n">
        <v>0.501</v>
      </c>
      <c r="F124" s="16" t="n">
        <v>0.499</v>
      </c>
      <c r="G124" s="100">
        <f>IFERROR(IF(INDEX(Polymarket!$B$25:$B$303,MATCH($A124,Polymarket!$A$25:$A$303,0))=0,"",INDEX(Polymarket!$B$25:$B$303,MATCH($A124,Polymarket!$A$25:$A$303,0))),"")</f>
        <v/>
      </c>
      <c r="H124" s="18">
        <f>IF(AND(ISNUMBER(B124),ISNUMBER(G124)),B124-G124,"")</f>
        <v/>
      </c>
      <c r="I124" s="26" t="inlineStr">
        <is>
          <t>30 Mar</t>
        </is>
      </c>
    </row>
    <row r="125">
      <c r="A125" s="41" t="n">
        <v>46112</v>
      </c>
      <c r="B125" s="28" t="n">
        <v>0.5315</v>
      </c>
      <c r="C125" s="28" t="n">
        <v>0.5815</v>
      </c>
      <c r="D125" s="28" t="n">
        <v>0.4815</v>
      </c>
      <c r="E125" s="28" t="n">
        <v>0.501</v>
      </c>
      <c r="F125" s="28" t="n">
        <v>0.499</v>
      </c>
      <c r="G125" s="101">
        <f>IFERROR(IF(INDEX(Polymarket!$B$25:$B$303,MATCH($A125,Polymarket!$A$25:$A$303,0))=0,"",INDEX(Polymarket!$B$25:$B$303,MATCH($A125,Polymarket!$A$25:$A$303,0))),"")</f>
        <v/>
      </c>
      <c r="H125" s="31">
        <f>IF(AND(ISNUMBER(B125),ISNUMBER(G125)),B125-G125,"")</f>
        <v/>
      </c>
      <c r="I125" s="26" t="inlineStr">
        <is>
          <t>31 Mar</t>
        </is>
      </c>
    </row>
    <row r="126">
      <c r="A126" s="39" t="n">
        <v>46113</v>
      </c>
      <c r="B126" s="16" t="n">
        <v>0.5374</v>
      </c>
      <c r="C126" s="16" t="n">
        <v>0.5874</v>
      </c>
      <c r="D126" s="16" t="n">
        <v>0.4874</v>
      </c>
      <c r="E126" s="16" t="n">
        <v>0.501</v>
      </c>
      <c r="F126" s="16" t="n">
        <v>0.499</v>
      </c>
      <c r="G126" s="100">
        <f>IFERROR(IF(INDEX(Polymarket!$B$25:$B$303,MATCH($A126,Polymarket!$A$25:$A$303,0))=0,"",INDEX(Polymarket!$B$25:$B$303,MATCH($A126,Polymarket!$A$25:$A$303,0))),"")</f>
        <v/>
      </c>
      <c r="H126" s="18">
        <f>IF(AND(ISNUMBER(B126),ISNUMBER(G126)),B126-G126,"")</f>
        <v/>
      </c>
      <c r="I126" s="26" t="inlineStr">
        <is>
          <t>01 Apr</t>
        </is>
      </c>
    </row>
    <row r="127">
      <c r="A127" s="41" t="n">
        <v>46114</v>
      </c>
      <c r="B127" s="28" t="n">
        <v>0.5259</v>
      </c>
      <c r="C127" s="28" t="n">
        <v>0.5759000000000001</v>
      </c>
      <c r="D127" s="28" t="n">
        <v>0.4759</v>
      </c>
      <c r="E127" s="28" t="n">
        <v>0.501</v>
      </c>
      <c r="F127" s="28" t="n">
        <v>0.499</v>
      </c>
      <c r="G127" s="101">
        <f>IFERROR(IF(INDEX(Polymarket!$B$25:$B$303,MATCH($A127,Polymarket!$A$25:$A$303,0))=0,"",INDEX(Polymarket!$B$25:$B$303,MATCH($A127,Polymarket!$A$25:$A$303,0))),"")</f>
        <v/>
      </c>
      <c r="H127" s="31">
        <f>IF(AND(ISNUMBER(B127),ISNUMBER(G127)),B127-G127,"")</f>
        <v/>
      </c>
      <c r="I127" s="26" t="inlineStr">
        <is>
          <t>02 Apr</t>
        </is>
      </c>
    </row>
    <row r="128">
      <c r="A128" s="39" t="n">
        <v>46115</v>
      </c>
      <c r="B128" s="16" t="n">
        <v>0.5334</v>
      </c>
      <c r="C128" s="16" t="n">
        <v>0.5833999999999999</v>
      </c>
      <c r="D128" s="16" t="n">
        <v>0.4833999999999999</v>
      </c>
      <c r="E128" s="16" t="n">
        <v>0.501</v>
      </c>
      <c r="F128" s="16" t="n">
        <v>0.499</v>
      </c>
      <c r="G128" s="100">
        <f>IFERROR(IF(INDEX(Polymarket!$B$25:$B$303,MATCH($A128,Polymarket!$A$25:$A$303,0))=0,"",INDEX(Polymarket!$B$25:$B$303,MATCH($A128,Polymarket!$A$25:$A$303,0))),"")</f>
        <v/>
      </c>
      <c r="H128" s="18">
        <f>IF(AND(ISNUMBER(B128),ISNUMBER(G128)),B128-G128,"")</f>
        <v/>
      </c>
      <c r="I128" s="26" t="inlineStr">
        <is>
          <t>03 Apr</t>
        </is>
      </c>
    </row>
    <row r="129">
      <c r="A129" s="41" t="n">
        <v>46116</v>
      </c>
      <c r="B129" s="28" t="n">
        <v>0.5312</v>
      </c>
      <c r="C129" s="28" t="n">
        <v>0.5811999999999999</v>
      </c>
      <c r="D129" s="28" t="n">
        <v>0.4812</v>
      </c>
      <c r="E129" s="28" t="n">
        <v>0.501</v>
      </c>
      <c r="F129" s="28" t="n">
        <v>0.499</v>
      </c>
      <c r="G129" s="101">
        <f>IFERROR(IF(INDEX(Polymarket!$B$25:$B$303,MATCH($A129,Polymarket!$A$25:$A$303,0))=0,"",INDEX(Polymarket!$B$25:$B$303,MATCH($A129,Polymarket!$A$25:$A$303,0))),"")</f>
        <v/>
      </c>
      <c r="H129" s="31">
        <f>IF(AND(ISNUMBER(B129),ISNUMBER(G129)),B129-G129,"")</f>
        <v/>
      </c>
      <c r="I129" s="26" t="inlineStr">
        <is>
          <t>04 Apr</t>
        </is>
      </c>
    </row>
    <row r="130">
      <c r="A130" s="39" t="n">
        <v>46117</v>
      </c>
      <c r="B130" s="16" t="n">
        <v>0.5292</v>
      </c>
      <c r="C130" s="16" t="n">
        <v>0.5792</v>
      </c>
      <c r="D130" s="16" t="n">
        <v>0.4792</v>
      </c>
      <c r="E130" s="16" t="n">
        <v>0.501</v>
      </c>
      <c r="F130" s="16" t="n">
        <v>0.499</v>
      </c>
      <c r="G130" s="100">
        <f>IFERROR(IF(INDEX(Polymarket!$B$25:$B$303,MATCH($A130,Polymarket!$A$25:$A$303,0))=0,"",INDEX(Polymarket!$B$25:$B$303,MATCH($A130,Polymarket!$A$25:$A$303,0))),"")</f>
        <v/>
      </c>
      <c r="H130" s="18">
        <f>IF(AND(ISNUMBER(B130),ISNUMBER(G130)),B130-G130,"")</f>
        <v/>
      </c>
      <c r="I130" s="26" t="inlineStr">
        <is>
          <t>05 Apr</t>
        </is>
      </c>
    </row>
    <row r="131">
      <c r="A131" s="41" t="n">
        <v>46118</v>
      </c>
      <c r="B131" s="28" t="n">
        <v>0.5399</v>
      </c>
      <c r="C131" s="28" t="n">
        <v>0.5899</v>
      </c>
      <c r="D131" s="28" t="n">
        <v>0.4899</v>
      </c>
      <c r="E131" s="28" t="n">
        <v>0.501</v>
      </c>
      <c r="F131" s="28" t="n">
        <v>0.499</v>
      </c>
      <c r="G131" s="101">
        <f>IFERROR(IF(INDEX(Polymarket!$B$25:$B$303,MATCH($A131,Polymarket!$A$25:$A$303,0))=0,"",INDEX(Polymarket!$B$25:$B$303,MATCH($A131,Polymarket!$A$25:$A$303,0))),"")</f>
        <v/>
      </c>
      <c r="H131" s="31">
        <f>IF(AND(ISNUMBER(B131),ISNUMBER(G131)),B131-G131,"")</f>
        <v/>
      </c>
      <c r="I131" s="26" t="inlineStr">
        <is>
          <t>06 Apr</t>
        </is>
      </c>
    </row>
    <row r="132">
      <c r="A132" s="39" t="n">
        <v>46119</v>
      </c>
      <c r="B132" s="16" t="n">
        <v>0.5247000000000001</v>
      </c>
      <c r="C132" s="16" t="n">
        <v>0.5747000000000001</v>
      </c>
      <c r="D132" s="16" t="n">
        <v>0.4747000000000001</v>
      </c>
      <c r="E132" s="16" t="n">
        <v>0.501</v>
      </c>
      <c r="F132" s="16" t="n">
        <v>0.5</v>
      </c>
      <c r="G132" s="100">
        <f>IFERROR(IF(INDEX(Polymarket!$B$25:$B$303,MATCH($A132,Polymarket!$A$25:$A$303,0))=0,"",INDEX(Polymarket!$B$25:$B$303,MATCH($A132,Polymarket!$A$25:$A$303,0))),"")</f>
        <v/>
      </c>
      <c r="H132" s="18">
        <f>IF(AND(ISNUMBER(B132),ISNUMBER(G132)),B132-G132,"")</f>
        <v/>
      </c>
      <c r="I132" s="26" t="inlineStr">
        <is>
          <t>07 Apr</t>
        </is>
      </c>
    </row>
    <row r="133">
      <c r="A133" s="41" t="n">
        <v>46120</v>
      </c>
      <c r="B133" s="28" t="n">
        <v>0.5335</v>
      </c>
      <c r="C133" s="28" t="n">
        <v>0.5834999999999999</v>
      </c>
      <c r="D133" s="28" t="n">
        <v>0.4834999999999999</v>
      </c>
      <c r="E133" s="28" t="n">
        <v>0.501</v>
      </c>
      <c r="F133" s="28" t="n">
        <v>0.499</v>
      </c>
      <c r="G133" s="101">
        <f>IFERROR(IF(INDEX(Polymarket!$B$25:$B$303,MATCH($A133,Polymarket!$A$25:$A$303,0))=0,"",INDEX(Polymarket!$B$25:$B$303,MATCH($A133,Polymarket!$A$25:$A$303,0))),"")</f>
        <v/>
      </c>
      <c r="H133" s="31">
        <f>IF(AND(ISNUMBER(B133),ISNUMBER(G133)),B133-G133,"")</f>
        <v/>
      </c>
      <c r="I133" s="26" t="inlineStr">
        <is>
          <t>08 Apr</t>
        </is>
      </c>
    </row>
    <row r="134">
      <c r="A134" s="39" t="n">
        <v>46121</v>
      </c>
      <c r="B134" s="16" t="n">
        <v>0.5232</v>
      </c>
      <c r="C134" s="16" t="n">
        <v>0.5732</v>
      </c>
      <c r="D134" s="16" t="n">
        <v>0.4732</v>
      </c>
      <c r="E134" s="16" t="n">
        <v>0.501</v>
      </c>
      <c r="F134" s="16" t="n">
        <v>0.5</v>
      </c>
      <c r="G134" s="100">
        <f>IFERROR(IF(INDEX(Polymarket!$B$25:$B$303,MATCH($A134,Polymarket!$A$25:$A$303,0))=0,"",INDEX(Polymarket!$B$25:$B$303,MATCH($A134,Polymarket!$A$25:$A$303,0))),"")</f>
        <v/>
      </c>
      <c r="H134" s="18">
        <f>IF(AND(ISNUMBER(B134),ISNUMBER(G134)),B134-G134,"")</f>
        <v/>
      </c>
      <c r="I134" s="26" t="inlineStr">
        <is>
          <t>09 Apr</t>
        </is>
      </c>
    </row>
    <row r="135">
      <c r="A135" s="41" t="n">
        <v>46122</v>
      </c>
      <c r="B135" s="28" t="n">
        <v>0.5285</v>
      </c>
      <c r="C135" s="28" t="n">
        <v>0.5784999999999999</v>
      </c>
      <c r="D135" s="28" t="n">
        <v>0.4784999999999999</v>
      </c>
      <c r="E135" s="28" t="n">
        <v>0.501</v>
      </c>
      <c r="F135" s="28" t="n">
        <v>0.499</v>
      </c>
      <c r="G135" s="101">
        <f>IFERROR(IF(INDEX(Polymarket!$B$25:$B$303,MATCH($A135,Polymarket!$A$25:$A$303,0))=0,"",INDEX(Polymarket!$B$25:$B$303,MATCH($A135,Polymarket!$A$25:$A$303,0))),"")</f>
        <v/>
      </c>
      <c r="H135" s="31">
        <f>IF(AND(ISNUMBER(B135),ISNUMBER(G135)),B135-G135,"")</f>
        <v/>
      </c>
      <c r="I135" s="26" t="inlineStr">
        <is>
          <t>10 Apr</t>
        </is>
      </c>
    </row>
    <row r="136">
      <c r="A136" s="39" t="n">
        <v>46123</v>
      </c>
      <c r="B136" s="16" t="n">
        <v>0.5276999999999999</v>
      </c>
      <c r="C136" s="16" t="n">
        <v>0.5777</v>
      </c>
      <c r="D136" s="16" t="n">
        <v>0.4777</v>
      </c>
      <c r="E136" s="16" t="n">
        <v>0.501</v>
      </c>
      <c r="F136" s="16" t="n">
        <v>0.499</v>
      </c>
      <c r="G136" s="100">
        <f>IFERROR(IF(INDEX(Polymarket!$B$25:$B$303,MATCH($A136,Polymarket!$A$25:$A$303,0))=0,"",INDEX(Polymarket!$B$25:$B$303,MATCH($A136,Polymarket!$A$25:$A$303,0))),"")</f>
        <v/>
      </c>
      <c r="H136" s="18">
        <f>IF(AND(ISNUMBER(B136),ISNUMBER(G136)),B136-G136,"")</f>
        <v/>
      </c>
      <c r="I136" s="26" t="inlineStr">
        <is>
          <t>11 Apr</t>
        </is>
      </c>
    </row>
    <row r="137">
      <c r="A137" s="41" t="n">
        <v>46124</v>
      </c>
      <c r="B137" s="28" t="n">
        <v>0.5213</v>
      </c>
      <c r="C137" s="28" t="n">
        <v>0.5712999999999999</v>
      </c>
      <c r="D137" s="28" t="n">
        <v>0.4712999999999999</v>
      </c>
      <c r="E137" s="28" t="n">
        <v>0.501</v>
      </c>
      <c r="F137" s="28" t="n">
        <v>0.5</v>
      </c>
      <c r="G137" s="101">
        <f>IFERROR(IF(INDEX(Polymarket!$B$25:$B$303,MATCH($A137,Polymarket!$A$25:$A$303,0))=0,"",INDEX(Polymarket!$B$25:$B$303,MATCH($A137,Polymarket!$A$25:$A$303,0))),"")</f>
        <v/>
      </c>
      <c r="H137" s="31">
        <f>IF(AND(ISNUMBER(B137),ISNUMBER(G137)),B137-G137,"")</f>
        <v/>
      </c>
      <c r="I137" s="26" t="inlineStr">
        <is>
          <t>12 Apr</t>
        </is>
      </c>
    </row>
    <row r="138">
      <c r="A138" s="39" t="n">
        <v>46125</v>
      </c>
      <c r="B138" s="16" t="n">
        <v>0.5603</v>
      </c>
      <c r="C138" s="16" t="n">
        <v>0.6103000000000001</v>
      </c>
      <c r="D138" s="16" t="n">
        <v>0.5103</v>
      </c>
      <c r="E138" s="16" t="n">
        <v>0.502</v>
      </c>
      <c r="F138" s="16" t="n">
        <v>0.498</v>
      </c>
      <c r="G138" s="100">
        <f>IFERROR(IF(INDEX(Polymarket!$B$25:$B$303,MATCH($A138,Polymarket!$A$25:$A$303,0))=0,"",INDEX(Polymarket!$B$25:$B$303,MATCH($A138,Polymarket!$A$25:$A$303,0))),"")</f>
        <v/>
      </c>
      <c r="H138" s="18">
        <f>IF(AND(ISNUMBER(B138),ISNUMBER(G138)),B138-G138,"")</f>
        <v/>
      </c>
      <c r="I138" s="26" t="inlineStr">
        <is>
          <t>13 Apr</t>
        </is>
      </c>
    </row>
    <row r="139">
      <c r="A139" s="41" t="n">
        <v>46126</v>
      </c>
      <c r="B139" s="28" t="n">
        <v>0.5616</v>
      </c>
      <c r="C139" s="28" t="n">
        <v>0.6115999999999999</v>
      </c>
      <c r="D139" s="28" t="n">
        <v>0.5115999999999999</v>
      </c>
      <c r="E139" s="28" t="n">
        <v>0.503</v>
      </c>
      <c r="F139" s="28" t="n">
        <v>0.498</v>
      </c>
      <c r="G139" s="101">
        <f>IFERROR(IF(INDEX(Polymarket!$B$25:$B$303,MATCH($A139,Polymarket!$A$25:$A$303,0))=0,"",INDEX(Polymarket!$B$25:$B$303,MATCH($A139,Polymarket!$A$25:$A$303,0))),"")</f>
        <v/>
      </c>
      <c r="H139" s="31">
        <f>IF(AND(ISNUMBER(B139),ISNUMBER(G139)),B139-G139,"")</f>
        <v/>
      </c>
      <c r="I139" s="26" t="inlineStr">
        <is>
          <t>14 Apr</t>
        </is>
      </c>
    </row>
    <row r="140">
      <c r="A140" s="39" t="n">
        <v>46127</v>
      </c>
      <c r="B140" s="16" t="n">
        <v>0.5668</v>
      </c>
      <c r="C140" s="16" t="n">
        <v>0.6168</v>
      </c>
      <c r="D140" s="16" t="n">
        <v>0.5168</v>
      </c>
      <c r="E140" s="16" t="n">
        <v>0.503</v>
      </c>
      <c r="F140" s="16" t="n">
        <v>0.498</v>
      </c>
      <c r="G140" s="100">
        <f>IFERROR(IF(INDEX(Polymarket!$B$25:$B$303,MATCH($A140,Polymarket!$A$25:$A$303,0))=0,"",INDEX(Polymarket!$B$25:$B$303,MATCH($A140,Polymarket!$A$25:$A$303,0))),"")</f>
        <v/>
      </c>
      <c r="H140" s="18">
        <f>IF(AND(ISNUMBER(B140),ISNUMBER(G140)),B140-G140,"")</f>
        <v/>
      </c>
      <c r="I140" s="26" t="inlineStr">
        <is>
          <t>15 Apr</t>
        </is>
      </c>
    </row>
    <row r="141">
      <c r="A141" s="41" t="n">
        <v>46128</v>
      </c>
      <c r="B141" s="28" t="n">
        <v>0.5570000000000001</v>
      </c>
      <c r="C141" s="28" t="n">
        <v>0.607</v>
      </c>
      <c r="D141" s="28" t="n">
        <v>0.507</v>
      </c>
      <c r="E141" s="28" t="n">
        <v>0.503</v>
      </c>
      <c r="F141" s="28" t="n">
        <v>0.498</v>
      </c>
      <c r="G141" s="101">
        <f>IFERROR(IF(INDEX(Polymarket!$B$25:$B$303,MATCH($A141,Polymarket!$A$25:$A$303,0))=0,"",INDEX(Polymarket!$B$25:$B$303,MATCH($A141,Polymarket!$A$25:$A$303,0))),"")</f>
        <v/>
      </c>
      <c r="H141" s="31">
        <f>IF(AND(ISNUMBER(B141),ISNUMBER(G141)),B141-G141,"")</f>
        <v/>
      </c>
      <c r="I141" s="26" t="inlineStr">
        <is>
          <t>16 Apr</t>
        </is>
      </c>
    </row>
    <row r="142">
      <c r="A142" s="39" t="n">
        <v>46129</v>
      </c>
      <c r="B142" s="16" t="n">
        <v>0.556</v>
      </c>
      <c r="C142" s="16" t="n">
        <v>0.6060000000000001</v>
      </c>
      <c r="D142" s="16" t="n">
        <v>0.5060000000000001</v>
      </c>
      <c r="E142" s="16" t="n">
        <v>0.502</v>
      </c>
      <c r="F142" s="16" t="n">
        <v>0.498</v>
      </c>
      <c r="G142" s="100">
        <f>IFERROR(IF(INDEX(Polymarket!$B$25:$B$303,MATCH($A142,Polymarket!$A$25:$A$303,0))=0,"",INDEX(Polymarket!$B$25:$B$303,MATCH($A142,Polymarket!$A$25:$A$303,0))),"")</f>
        <v/>
      </c>
      <c r="H142" s="18">
        <f>IF(AND(ISNUMBER(B142),ISNUMBER(G142)),B142-G142,"")</f>
        <v/>
      </c>
      <c r="I142" s="26" t="inlineStr">
        <is>
          <t>17 Apr</t>
        </is>
      </c>
    </row>
    <row r="143">
      <c r="A143" s="41" t="n">
        <v>46130</v>
      </c>
      <c r="B143" s="28" t="n">
        <v>0.5681</v>
      </c>
      <c r="C143" s="28" t="n">
        <v>0.6181</v>
      </c>
      <c r="D143" s="28" t="n">
        <v>0.5181</v>
      </c>
      <c r="E143" s="28" t="n">
        <v>0.503</v>
      </c>
      <c r="F143" s="28" t="n">
        <v>0.498</v>
      </c>
      <c r="G143" s="101">
        <f>IFERROR(IF(INDEX(Polymarket!$B$25:$B$303,MATCH($A143,Polymarket!$A$25:$A$303,0))=0,"",INDEX(Polymarket!$B$25:$B$303,MATCH($A143,Polymarket!$A$25:$A$303,0))),"")</f>
        <v/>
      </c>
      <c r="H143" s="31">
        <f>IF(AND(ISNUMBER(B143),ISNUMBER(G143)),B143-G143,"")</f>
        <v/>
      </c>
      <c r="I143" s="26" t="inlineStr">
        <is>
          <t>18 Apr</t>
        </is>
      </c>
    </row>
    <row r="144">
      <c r="A144" s="39" t="n">
        <v>46131</v>
      </c>
      <c r="B144" s="16" t="n">
        <v>0.5611</v>
      </c>
      <c r="C144" s="16" t="n">
        <v>0.6111000000000001</v>
      </c>
      <c r="D144" s="16" t="n">
        <v>0.5111000000000001</v>
      </c>
      <c r="E144" s="16" t="n">
        <v>0.503</v>
      </c>
      <c r="F144" s="16" t="n">
        <v>0.498</v>
      </c>
      <c r="G144" s="100">
        <f>IFERROR(IF(INDEX(Polymarket!$B$25:$B$303,MATCH($A144,Polymarket!$A$25:$A$303,0))=0,"",INDEX(Polymarket!$B$25:$B$303,MATCH($A144,Polymarket!$A$25:$A$303,0))),"")</f>
        <v/>
      </c>
      <c r="H144" s="18">
        <f>IF(AND(ISNUMBER(B144),ISNUMBER(G144)),B144-G144,"")</f>
        <v/>
      </c>
      <c r="I144" s="26" t="inlineStr">
        <is>
          <t>19 Apr</t>
        </is>
      </c>
    </row>
    <row r="145">
      <c r="A145" s="41" t="n">
        <v>46132</v>
      </c>
      <c r="B145" s="28" t="n">
        <v>0.5565</v>
      </c>
      <c r="C145" s="28" t="n">
        <v>0.6065</v>
      </c>
      <c r="D145" s="28" t="n">
        <v>0.5065</v>
      </c>
      <c r="E145" s="28" t="n">
        <v>0.502</v>
      </c>
      <c r="F145" s="28" t="n">
        <v>0.498</v>
      </c>
      <c r="G145" s="101">
        <f>IFERROR(IF(INDEX(Polymarket!$B$25:$B$303,MATCH($A145,Polymarket!$A$25:$A$303,0))=0,"",INDEX(Polymarket!$B$25:$B$303,MATCH($A145,Polymarket!$A$25:$A$303,0))),"")</f>
        <v/>
      </c>
      <c r="H145" s="31">
        <f>IF(AND(ISNUMBER(B145),ISNUMBER(G145)),B145-G145,"")</f>
        <v/>
      </c>
      <c r="I145" s="26" t="inlineStr">
        <is>
          <t>20 Apr</t>
        </is>
      </c>
    </row>
    <row r="146">
      <c r="A146" s="39" t="n">
        <v>46133</v>
      </c>
      <c r="B146" s="16" t="n">
        <v>0.5623</v>
      </c>
      <c r="C146" s="16" t="n">
        <v>0.6123000000000001</v>
      </c>
      <c r="D146" s="16" t="n">
        <v>0.5123000000000001</v>
      </c>
      <c r="E146" s="16" t="n">
        <v>0.503</v>
      </c>
      <c r="F146" s="16" t="n">
        <v>0.498</v>
      </c>
      <c r="G146" s="100">
        <f>IFERROR(IF(INDEX(Polymarket!$B$25:$B$303,MATCH($A146,Polymarket!$A$25:$A$303,0))=0,"",INDEX(Polymarket!$B$25:$B$303,MATCH($A146,Polymarket!$A$25:$A$303,0))),"")</f>
        <v/>
      </c>
      <c r="H146" s="18">
        <f>IF(AND(ISNUMBER(B146),ISNUMBER(G146)),B146-G146,"")</f>
        <v/>
      </c>
      <c r="I146" s="26" t="inlineStr">
        <is>
          <t>21 Apr</t>
        </is>
      </c>
    </row>
    <row r="147">
      <c r="A147" s="41" t="n">
        <v>46134</v>
      </c>
      <c r="B147" s="28" t="n">
        <v>0.5617</v>
      </c>
      <c r="C147" s="28" t="n">
        <v>0.6116999999999999</v>
      </c>
      <c r="D147" s="28" t="n">
        <v>0.5116999999999999</v>
      </c>
      <c r="E147" s="28" t="n">
        <v>0.503</v>
      </c>
      <c r="F147" s="28" t="n">
        <v>0.498</v>
      </c>
      <c r="G147" s="101">
        <f>IFERROR(IF(INDEX(Polymarket!$B$25:$B$303,MATCH($A147,Polymarket!$A$25:$A$303,0))=0,"",INDEX(Polymarket!$B$25:$B$303,MATCH($A147,Polymarket!$A$25:$A$303,0))),"")</f>
        <v/>
      </c>
      <c r="H147" s="31">
        <f>IF(AND(ISNUMBER(B147),ISNUMBER(G147)),B147-G147,"")</f>
        <v/>
      </c>
      <c r="I147" s="26" t="inlineStr">
        <is>
          <t>22 Apr</t>
        </is>
      </c>
    </row>
    <row r="148">
      <c r="A148" s="39" t="n">
        <v>46135</v>
      </c>
      <c r="B148" s="16" t="n">
        <v>0.5614</v>
      </c>
      <c r="C148" s="16" t="n">
        <v>0.6114000000000001</v>
      </c>
      <c r="D148" s="16" t="n">
        <v>0.5114</v>
      </c>
      <c r="E148" s="16" t="n">
        <v>0.502</v>
      </c>
      <c r="F148" s="16" t="n">
        <v>0.498</v>
      </c>
      <c r="G148" s="100">
        <f>IFERROR(IF(INDEX(Polymarket!$B$25:$B$303,MATCH($A148,Polymarket!$A$25:$A$303,0))=0,"",INDEX(Polymarket!$B$25:$B$303,MATCH($A148,Polymarket!$A$25:$A$303,0))),"")</f>
        <v/>
      </c>
      <c r="H148" s="18">
        <f>IF(AND(ISNUMBER(B148),ISNUMBER(G148)),B148-G148,"")</f>
        <v/>
      </c>
      <c r="I148" s="26" t="inlineStr">
        <is>
          <t>23 Apr</t>
        </is>
      </c>
    </row>
    <row r="149">
      <c r="A149" s="41" t="n">
        <v>46136</v>
      </c>
      <c r="B149" s="28" t="n">
        <v>0.5619</v>
      </c>
      <c r="C149" s="28" t="n">
        <v>0.6119</v>
      </c>
      <c r="D149" s="28" t="n">
        <v>0.5119</v>
      </c>
      <c r="E149" s="28" t="n">
        <v>0.503</v>
      </c>
      <c r="F149" s="28" t="n">
        <v>0.498</v>
      </c>
      <c r="G149" s="101">
        <f>IFERROR(IF(INDEX(Polymarket!$B$25:$B$303,MATCH($A149,Polymarket!$A$25:$A$303,0))=0,"",INDEX(Polymarket!$B$25:$B$303,MATCH($A149,Polymarket!$A$25:$A$303,0))),"")</f>
        <v/>
      </c>
      <c r="H149" s="31">
        <f>IF(AND(ISNUMBER(B149),ISNUMBER(G149)),B149-G149,"")</f>
        <v/>
      </c>
      <c r="I149" s="26" t="inlineStr">
        <is>
          <t>24 Apr</t>
        </is>
      </c>
    </row>
    <row r="150">
      <c r="A150" s="39" t="n">
        <v>46137</v>
      </c>
      <c r="B150" s="16" t="n">
        <v>0.5591</v>
      </c>
      <c r="C150" s="16" t="n">
        <v>0.6091000000000001</v>
      </c>
      <c r="D150" s="16" t="n">
        <v>0.5091</v>
      </c>
      <c r="E150" s="16" t="n">
        <v>0.502</v>
      </c>
      <c r="F150" s="16" t="n">
        <v>0.498</v>
      </c>
      <c r="G150" s="100">
        <f>IFERROR(IF(INDEX(Polymarket!$B$25:$B$303,MATCH($A150,Polymarket!$A$25:$A$303,0))=0,"",INDEX(Polymarket!$B$25:$B$303,MATCH($A150,Polymarket!$A$25:$A$303,0))),"")</f>
        <v/>
      </c>
      <c r="H150" s="18">
        <f>IF(AND(ISNUMBER(B150),ISNUMBER(G150)),B150-G150,"")</f>
        <v/>
      </c>
      <c r="I150" s="26" t="inlineStr">
        <is>
          <t>25 Apr</t>
        </is>
      </c>
    </row>
    <row r="151">
      <c r="A151" s="41" t="n">
        <v>46138</v>
      </c>
      <c r="B151" s="28" t="n">
        <v>0.5649</v>
      </c>
      <c r="C151" s="28" t="n">
        <v>0.6149</v>
      </c>
      <c r="D151" s="28" t="n">
        <v>0.5148999999999999</v>
      </c>
      <c r="E151" s="28" t="n">
        <v>0.503</v>
      </c>
      <c r="F151" s="28" t="n">
        <v>0.498</v>
      </c>
      <c r="G151" s="101">
        <f>IFERROR(IF(INDEX(Polymarket!$B$25:$B$303,MATCH($A151,Polymarket!$A$25:$A$303,0))=0,"",INDEX(Polymarket!$B$25:$B$303,MATCH($A151,Polymarket!$A$25:$A$303,0))),"")</f>
        <v/>
      </c>
      <c r="H151" s="31">
        <f>IF(AND(ISNUMBER(B151),ISNUMBER(G151)),B151-G151,"")</f>
        <v/>
      </c>
      <c r="I151" s="26" t="inlineStr">
        <is>
          <t>26 Apr</t>
        </is>
      </c>
    </row>
    <row r="152">
      <c r="A152" s="39" t="n">
        <v>46139</v>
      </c>
      <c r="B152" s="16" t="n">
        <v>0.5535</v>
      </c>
      <c r="C152" s="16" t="n">
        <v>0.6035</v>
      </c>
      <c r="D152" s="16" t="n">
        <v>0.5035000000000001</v>
      </c>
      <c r="E152" s="16" t="n">
        <v>0.502</v>
      </c>
      <c r="F152" s="16" t="n">
        <v>0.498</v>
      </c>
      <c r="G152" s="100">
        <f>IFERROR(IF(INDEX(Polymarket!$B$25:$B$303,MATCH($A152,Polymarket!$A$25:$A$303,0))=0,"",INDEX(Polymarket!$B$25:$B$303,MATCH($A152,Polymarket!$A$25:$A$303,0))),"")</f>
        <v/>
      </c>
      <c r="H152" s="18">
        <f>IF(AND(ISNUMBER(B152),ISNUMBER(G152)),B152-G152,"")</f>
        <v/>
      </c>
      <c r="I152" s="26" t="inlineStr">
        <is>
          <t>27 Apr</t>
        </is>
      </c>
    </row>
    <row r="153">
      <c r="A153" s="41" t="n">
        <v>46140</v>
      </c>
      <c r="B153" s="28" t="n">
        <v>0.5582</v>
      </c>
      <c r="C153" s="28" t="n">
        <v>0.6082</v>
      </c>
      <c r="D153" s="28" t="n">
        <v>0.5082</v>
      </c>
      <c r="E153" s="28" t="n">
        <v>0.502</v>
      </c>
      <c r="F153" s="28" t="n">
        <v>0.498</v>
      </c>
      <c r="G153" s="101">
        <f>IFERROR(IF(INDEX(Polymarket!$B$25:$B$303,MATCH($A153,Polymarket!$A$25:$A$303,0))=0,"",INDEX(Polymarket!$B$25:$B$303,MATCH($A153,Polymarket!$A$25:$A$303,0))),"")</f>
        <v/>
      </c>
      <c r="H153" s="31">
        <f>IF(AND(ISNUMBER(B153),ISNUMBER(G153)),B153-G153,"")</f>
        <v/>
      </c>
      <c r="I153" s="26" t="inlineStr">
        <is>
          <t>28 Apr</t>
        </is>
      </c>
    </row>
    <row r="154">
      <c r="A154" s="39" t="n">
        <v>46141</v>
      </c>
      <c r="B154" s="16" t="n">
        <v>0.5568</v>
      </c>
      <c r="C154" s="16" t="n">
        <v>0.6067999999999999</v>
      </c>
      <c r="D154" s="16" t="n">
        <v>0.5067999999999999</v>
      </c>
      <c r="E154" s="16" t="n">
        <v>0.502</v>
      </c>
      <c r="F154" s="16" t="n">
        <v>0.498</v>
      </c>
      <c r="G154" s="100">
        <f>IFERROR(IF(INDEX(Polymarket!$B$25:$B$303,MATCH($A154,Polymarket!$A$25:$A$303,0))=0,"",INDEX(Polymarket!$B$25:$B$303,MATCH($A154,Polymarket!$A$25:$A$303,0))),"")</f>
        <v/>
      </c>
      <c r="H154" s="18">
        <f>IF(AND(ISNUMBER(B154),ISNUMBER(G154)),B154-G154,"")</f>
        <v/>
      </c>
      <c r="I154" s="26" t="inlineStr">
        <is>
          <t>29 Apr</t>
        </is>
      </c>
    </row>
    <row r="155">
      <c r="A155" s="41" t="n">
        <v>46142</v>
      </c>
      <c r="B155" s="28" t="n">
        <v>0.5629</v>
      </c>
      <c r="C155" s="28" t="n">
        <v>0.6128999999999999</v>
      </c>
      <c r="D155" s="28" t="n">
        <v>0.5128999999999999</v>
      </c>
      <c r="E155" s="28" t="n">
        <v>0.503</v>
      </c>
      <c r="F155" s="28" t="n">
        <v>0.498</v>
      </c>
      <c r="G155" s="101">
        <f>IFERROR(IF(INDEX(Polymarket!$B$25:$B$303,MATCH($A155,Polymarket!$A$25:$A$303,0))=0,"",INDEX(Polymarket!$B$25:$B$303,MATCH($A155,Polymarket!$A$25:$A$303,0))),"")</f>
        <v/>
      </c>
      <c r="H155" s="31">
        <f>IF(AND(ISNUMBER(B155),ISNUMBER(G155)),B155-G155,"")</f>
        <v/>
      </c>
      <c r="I155" s="26" t="inlineStr">
        <is>
          <t>30 Apr</t>
        </is>
      </c>
    </row>
    <row r="156">
      <c r="A156" s="39" t="n">
        <v>46143</v>
      </c>
      <c r="B156" s="16" t="n">
        <v>0.5645</v>
      </c>
      <c r="C156" s="16" t="n">
        <v>0.6145</v>
      </c>
      <c r="D156" s="16" t="n">
        <v>0.5145000000000001</v>
      </c>
      <c r="E156" s="16" t="n">
        <v>0.503</v>
      </c>
      <c r="F156" s="16" t="n">
        <v>0.498</v>
      </c>
      <c r="G156" s="100">
        <f>IFERROR(IF(INDEX(Polymarket!$B$25:$B$303,MATCH($A156,Polymarket!$A$25:$A$303,0))=0,"",INDEX(Polymarket!$B$25:$B$303,MATCH($A156,Polymarket!$A$25:$A$303,0))),"")</f>
        <v/>
      </c>
      <c r="H156" s="18">
        <f>IF(AND(ISNUMBER(B156),ISNUMBER(G156)),B156-G156,"")</f>
        <v/>
      </c>
      <c r="I156" s="26" t="inlineStr">
        <is>
          <t>01 May</t>
        </is>
      </c>
    </row>
    <row r="157">
      <c r="A157" s="41" t="n">
        <v>46144</v>
      </c>
      <c r="B157" s="28" t="n">
        <v>0.5561</v>
      </c>
      <c r="C157" s="28" t="n">
        <v>0.6061000000000001</v>
      </c>
      <c r="D157" s="28" t="n">
        <v>0.5061000000000001</v>
      </c>
      <c r="E157" s="28" t="n">
        <v>0.502</v>
      </c>
      <c r="F157" s="28" t="n">
        <v>0.498</v>
      </c>
      <c r="G157" s="101">
        <f>IFERROR(IF(INDEX(Polymarket!$B$25:$B$303,MATCH($A157,Polymarket!$A$25:$A$303,0))=0,"",INDEX(Polymarket!$B$25:$B$303,MATCH($A157,Polymarket!$A$25:$A$303,0))),"")</f>
        <v/>
      </c>
      <c r="H157" s="31">
        <f>IF(AND(ISNUMBER(B157),ISNUMBER(G157)),B157-G157,"")</f>
        <v/>
      </c>
      <c r="I157" s="26" t="inlineStr">
        <is>
          <t>02 May</t>
        </is>
      </c>
    </row>
    <row r="158">
      <c r="A158" s="39" t="n">
        <v>46145</v>
      </c>
      <c r="B158" s="16" t="n">
        <v>0.5563</v>
      </c>
      <c r="C158" s="16" t="n">
        <v>0.6063000000000001</v>
      </c>
      <c r="D158" s="16" t="n">
        <v>0.5063</v>
      </c>
      <c r="E158" s="16" t="n">
        <v>0.502</v>
      </c>
      <c r="F158" s="16" t="n">
        <v>0.498</v>
      </c>
      <c r="G158" s="100">
        <f>IFERROR(IF(INDEX(Polymarket!$B$25:$B$303,MATCH($A158,Polymarket!$A$25:$A$303,0))=0,"",INDEX(Polymarket!$B$25:$B$303,MATCH($A158,Polymarket!$A$25:$A$303,0))),"")</f>
        <v/>
      </c>
      <c r="H158" s="18">
        <f>IF(AND(ISNUMBER(B158),ISNUMBER(G158)),B158-G158,"")</f>
        <v/>
      </c>
      <c r="I158" s="26" t="inlineStr">
        <is>
          <t>03 May</t>
        </is>
      </c>
    </row>
    <row r="159">
      <c r="A159" s="41" t="n">
        <v>46146</v>
      </c>
      <c r="B159" s="28" t="n">
        <v>0.5532</v>
      </c>
      <c r="C159" s="28" t="n">
        <v>0.6032</v>
      </c>
      <c r="D159" s="28" t="n">
        <v>0.5032</v>
      </c>
      <c r="E159" s="28" t="n">
        <v>0.502</v>
      </c>
      <c r="F159" s="28" t="n">
        <v>0.498</v>
      </c>
      <c r="G159" s="101">
        <f>IFERROR(IF(INDEX(Polymarket!$B$25:$B$303,MATCH($A159,Polymarket!$A$25:$A$303,0))=0,"",INDEX(Polymarket!$B$25:$B$303,MATCH($A159,Polymarket!$A$25:$A$303,0))),"")</f>
        <v/>
      </c>
      <c r="H159" s="31">
        <f>IF(AND(ISNUMBER(B159),ISNUMBER(G159)),B159-G159,"")</f>
        <v/>
      </c>
      <c r="I159" s="26" t="inlineStr">
        <is>
          <t>04 May</t>
        </is>
      </c>
    </row>
    <row r="160">
      <c r="A160" s="39" t="n">
        <v>46147</v>
      </c>
      <c r="B160" s="16" t="n">
        <v>0.5634</v>
      </c>
      <c r="C160" s="16" t="n">
        <v>0.6134000000000001</v>
      </c>
      <c r="D160" s="16" t="n">
        <v>0.5134000000000001</v>
      </c>
      <c r="E160" s="16" t="n">
        <v>0.502</v>
      </c>
      <c r="F160" s="16" t="n">
        <v>0.498</v>
      </c>
      <c r="G160" s="100">
        <f>IFERROR(IF(INDEX(Polymarket!$B$25:$B$303,MATCH($A160,Polymarket!$A$25:$A$303,0))=0,"",INDEX(Polymarket!$B$25:$B$303,MATCH($A160,Polymarket!$A$25:$A$303,0))),"")</f>
        <v/>
      </c>
      <c r="H160" s="18">
        <f>IF(AND(ISNUMBER(B160),ISNUMBER(G160)),B160-G160,"")</f>
        <v/>
      </c>
      <c r="I160" s="26" t="inlineStr">
        <is>
          <t>05 May</t>
        </is>
      </c>
    </row>
    <row r="161">
      <c r="A161" s="41" t="n">
        <v>46148</v>
      </c>
      <c r="B161" s="28" t="n">
        <v>0.5601</v>
      </c>
      <c r="C161" s="28" t="n">
        <v>0.6101000000000001</v>
      </c>
      <c r="D161" s="28" t="n">
        <v>0.5101</v>
      </c>
      <c r="E161" s="28" t="n">
        <v>0.502</v>
      </c>
      <c r="F161" s="28" t="n">
        <v>0.498</v>
      </c>
      <c r="G161" s="101">
        <f>IFERROR(IF(INDEX(Polymarket!$B$25:$B$303,MATCH($A161,Polymarket!$A$25:$A$303,0))=0,"",INDEX(Polymarket!$B$25:$B$303,MATCH($A161,Polymarket!$A$25:$A$303,0))),"")</f>
        <v/>
      </c>
      <c r="H161" s="31">
        <f>IF(AND(ISNUMBER(B161),ISNUMBER(G161)),B161-G161,"")</f>
        <v/>
      </c>
      <c r="I161" s="26" t="inlineStr">
        <is>
          <t>06 May</t>
        </is>
      </c>
    </row>
    <row r="162">
      <c r="A162" s="39" t="n">
        <v>46149</v>
      </c>
      <c r="B162" s="16" t="n">
        <v>0.5613</v>
      </c>
      <c r="C162" s="16" t="n">
        <v>0.6113000000000001</v>
      </c>
      <c r="D162" s="16" t="n">
        <v>0.5113</v>
      </c>
      <c r="E162" s="16" t="n">
        <v>0.502</v>
      </c>
      <c r="F162" s="16" t="n">
        <v>0.498</v>
      </c>
      <c r="G162" s="100">
        <f>IFERROR(IF(INDEX(Polymarket!$B$25:$B$303,MATCH($A162,Polymarket!$A$25:$A$303,0))=0,"",INDEX(Polymarket!$B$25:$B$303,MATCH($A162,Polymarket!$A$25:$A$303,0))),"")</f>
        <v/>
      </c>
      <c r="H162" s="18">
        <f>IF(AND(ISNUMBER(B162),ISNUMBER(G162)),B162-G162,"")</f>
        <v/>
      </c>
      <c r="I162" s="26" t="inlineStr">
        <is>
          <t>07 May</t>
        </is>
      </c>
    </row>
    <row r="163">
      <c r="A163" s="41" t="n">
        <v>46150</v>
      </c>
      <c r="B163" s="28" t="n">
        <v>0.5576</v>
      </c>
      <c r="C163" s="28" t="n">
        <v>0.6076</v>
      </c>
      <c r="D163" s="28" t="n">
        <v>0.5075999999999999</v>
      </c>
      <c r="E163" s="28" t="n">
        <v>0.502</v>
      </c>
      <c r="F163" s="28" t="n">
        <v>0.498</v>
      </c>
      <c r="G163" s="101">
        <f>IFERROR(IF(INDEX(Polymarket!$B$25:$B$303,MATCH($A163,Polymarket!$A$25:$A$303,0))=0,"",INDEX(Polymarket!$B$25:$B$303,MATCH($A163,Polymarket!$A$25:$A$303,0))),"")</f>
        <v/>
      </c>
      <c r="H163" s="31">
        <f>IF(AND(ISNUMBER(B163),ISNUMBER(G163)),B163-G163,"")</f>
        <v/>
      </c>
      <c r="I163" s="26" t="inlineStr">
        <is>
          <t>08 May</t>
        </is>
      </c>
    </row>
    <row r="164">
      <c r="A164" s="39" t="n">
        <v>46151</v>
      </c>
      <c r="B164" s="16" t="n">
        <v>0.5669</v>
      </c>
      <c r="C164" s="16" t="n">
        <v>0.6169</v>
      </c>
      <c r="D164" s="16" t="n">
        <v>0.5169</v>
      </c>
      <c r="E164" s="16" t="n">
        <v>0.503</v>
      </c>
      <c r="F164" s="16" t="n">
        <v>0.498</v>
      </c>
      <c r="G164" s="100">
        <f>IFERROR(IF(INDEX(Polymarket!$B$25:$B$303,MATCH($A164,Polymarket!$A$25:$A$303,0))=0,"",INDEX(Polymarket!$B$25:$B$303,MATCH($A164,Polymarket!$A$25:$A$303,0))),"")</f>
        <v/>
      </c>
      <c r="H164" s="18">
        <f>IF(AND(ISNUMBER(B164),ISNUMBER(G164)),B164-G164,"")</f>
        <v/>
      </c>
      <c r="I164" s="26" t="inlineStr">
        <is>
          <t>09 May</t>
        </is>
      </c>
    </row>
    <row r="165">
      <c r="A165" s="41" t="n">
        <v>46152</v>
      </c>
      <c r="B165" s="28" t="n">
        <v>0.5609</v>
      </c>
      <c r="C165" s="28" t="n">
        <v>0.6109</v>
      </c>
      <c r="D165" s="28" t="n">
        <v>0.5108999999999999</v>
      </c>
      <c r="E165" s="28" t="n">
        <v>0.502</v>
      </c>
      <c r="F165" s="28" t="n">
        <v>0.498</v>
      </c>
      <c r="G165" s="101">
        <f>IFERROR(IF(INDEX(Polymarket!$B$25:$B$303,MATCH($A165,Polymarket!$A$25:$A$303,0))=0,"",INDEX(Polymarket!$B$25:$B$303,MATCH($A165,Polymarket!$A$25:$A$303,0))),"")</f>
        <v/>
      </c>
      <c r="H165" s="31">
        <f>IF(AND(ISNUMBER(B165),ISNUMBER(G165)),B165-G165,"")</f>
        <v/>
      </c>
      <c r="I165" s="26" t="inlineStr">
        <is>
          <t>10 May</t>
        </is>
      </c>
    </row>
    <row r="166">
      <c r="A166" s="39" t="n">
        <v>46153</v>
      </c>
      <c r="B166" s="16" t="n">
        <v>0.5657</v>
      </c>
      <c r="C166" s="16" t="n">
        <v>0.6157</v>
      </c>
      <c r="D166" s="16" t="n">
        <v>0.5157</v>
      </c>
      <c r="E166" s="16" t="n">
        <v>0.503</v>
      </c>
      <c r="F166" s="16" t="n">
        <v>0.498</v>
      </c>
      <c r="G166" s="100">
        <f>IFERROR(IF(INDEX(Polymarket!$B$25:$B$303,MATCH($A166,Polymarket!$A$25:$A$303,0))=0,"",INDEX(Polymarket!$B$25:$B$303,MATCH($A166,Polymarket!$A$25:$A$303,0))),"")</f>
        <v/>
      </c>
      <c r="H166" s="18">
        <f>IF(AND(ISNUMBER(B166),ISNUMBER(G166)),B166-G166,"")</f>
        <v/>
      </c>
      <c r="I166" s="26" t="inlineStr">
        <is>
          <t>11 May</t>
        </is>
      </c>
    </row>
    <row r="167">
      <c r="A167" s="41" t="n">
        <v>46154</v>
      </c>
      <c r="B167" s="28" t="n">
        <v>0.5738</v>
      </c>
      <c r="C167" s="28" t="n">
        <v>0.6237999999999999</v>
      </c>
      <c r="D167" s="28" t="n">
        <v>0.5237999999999999</v>
      </c>
      <c r="E167" s="28" t="n">
        <v>0.503</v>
      </c>
      <c r="F167" s="28" t="n">
        <v>0.498</v>
      </c>
      <c r="G167" s="101">
        <f>IFERROR(IF(INDEX(Polymarket!$B$25:$B$303,MATCH($A167,Polymarket!$A$25:$A$303,0))=0,"",INDEX(Polymarket!$B$25:$B$303,MATCH($A167,Polymarket!$A$25:$A$303,0))),"")</f>
        <v/>
      </c>
      <c r="H167" s="31">
        <f>IF(AND(ISNUMBER(B167),ISNUMBER(G167)),B167-G167,"")</f>
        <v/>
      </c>
      <c r="I167" s="26" t="inlineStr">
        <is>
          <t>12 May</t>
        </is>
      </c>
    </row>
    <row r="168">
      <c r="A168" s="39" t="n">
        <v>46155</v>
      </c>
      <c r="B168" s="16" t="n">
        <v>0.5567</v>
      </c>
      <c r="C168" s="16" t="n">
        <v>0.6066999999999999</v>
      </c>
      <c r="D168" s="16" t="n">
        <v>0.5066999999999999</v>
      </c>
      <c r="E168" s="16" t="n">
        <v>0.502</v>
      </c>
      <c r="F168" s="16" t="n">
        <v>0.498</v>
      </c>
      <c r="G168" s="100">
        <f>IFERROR(IF(INDEX(Polymarket!$B$25:$B$303,MATCH($A168,Polymarket!$A$25:$A$303,0))=0,"",INDEX(Polymarket!$B$25:$B$303,MATCH($A168,Polymarket!$A$25:$A$303,0))),"")</f>
        <v/>
      </c>
      <c r="H168" s="18">
        <f>IF(AND(ISNUMBER(B168),ISNUMBER(G168)),B168-G168,"")</f>
        <v/>
      </c>
      <c r="I168" s="26" t="inlineStr">
        <is>
          <t>13 May</t>
        </is>
      </c>
    </row>
    <row r="169">
      <c r="A169" s="41" t="n">
        <v>46156</v>
      </c>
      <c r="B169" s="28" t="n">
        <v>0.5634</v>
      </c>
      <c r="C169" s="28" t="n">
        <v>0.6134000000000001</v>
      </c>
      <c r="D169" s="28" t="n">
        <v>0.5134000000000001</v>
      </c>
      <c r="E169" s="28" t="n">
        <v>0.503</v>
      </c>
      <c r="F169" s="28" t="n">
        <v>0.498</v>
      </c>
      <c r="G169" s="101">
        <f>IFERROR(IF(INDEX(Polymarket!$B$25:$B$303,MATCH($A169,Polymarket!$A$25:$A$303,0))=0,"",INDEX(Polymarket!$B$25:$B$303,MATCH($A169,Polymarket!$A$25:$A$303,0))),"")</f>
        <v/>
      </c>
      <c r="H169" s="31">
        <f>IF(AND(ISNUMBER(B169),ISNUMBER(G169)),B169-G169,"")</f>
        <v/>
      </c>
      <c r="I169" s="26" t="inlineStr">
        <is>
          <t>14 May</t>
        </is>
      </c>
    </row>
    <row r="170">
      <c r="A170" s="39" t="n">
        <v>46157</v>
      </c>
      <c r="B170" s="16" t="n">
        <v>0.5558999999999999</v>
      </c>
      <c r="C170" s="16" t="n">
        <v>0.6059</v>
      </c>
      <c r="D170" s="16" t="n">
        <v>0.5059</v>
      </c>
      <c r="E170" s="16" t="n">
        <v>0.502</v>
      </c>
      <c r="F170" s="16" t="n">
        <v>0.498</v>
      </c>
      <c r="G170" s="100">
        <f>IFERROR(IF(INDEX(Polymarket!$B$25:$B$303,MATCH($A170,Polymarket!$A$25:$A$303,0))=0,"",INDEX(Polymarket!$B$25:$B$303,MATCH($A170,Polymarket!$A$25:$A$303,0))),"")</f>
        <v/>
      </c>
      <c r="H170" s="18">
        <f>IF(AND(ISNUMBER(B170),ISNUMBER(G170)),B170-G170,"")</f>
        <v/>
      </c>
      <c r="I170" s="26" t="inlineStr">
        <is>
          <t>15 May</t>
        </is>
      </c>
    </row>
    <row r="171">
      <c r="A171" s="41" t="n">
        <v>46158</v>
      </c>
      <c r="B171" s="28" t="n">
        <v>0.5762</v>
      </c>
      <c r="C171" s="28" t="n">
        <v>0.6262000000000001</v>
      </c>
      <c r="D171" s="28" t="n">
        <v>0.5262</v>
      </c>
      <c r="E171" s="28" t="n">
        <v>0.503</v>
      </c>
      <c r="F171" s="28" t="n">
        <v>0.498</v>
      </c>
      <c r="G171" s="101">
        <f>IFERROR(IF(INDEX(Polymarket!$B$25:$B$303,MATCH($A171,Polymarket!$A$25:$A$303,0))=0,"",INDEX(Polymarket!$B$25:$B$303,MATCH($A171,Polymarket!$A$25:$A$303,0))),"")</f>
        <v/>
      </c>
      <c r="H171" s="31">
        <f>IF(AND(ISNUMBER(B171),ISNUMBER(G171)),B171-G171,"")</f>
        <v/>
      </c>
      <c r="I171" s="26" t="inlineStr">
        <is>
          <t>16 May</t>
        </is>
      </c>
    </row>
    <row r="172">
      <c r="A172" s="39" t="n">
        <v>46159</v>
      </c>
      <c r="B172" s="16" t="n">
        <v>0.5704</v>
      </c>
      <c r="C172" s="16" t="n">
        <v>0.6204</v>
      </c>
      <c r="D172" s="16" t="n">
        <v>0.5204</v>
      </c>
      <c r="E172" s="16" t="n">
        <v>0.503</v>
      </c>
      <c r="F172" s="16" t="n">
        <v>0.498</v>
      </c>
      <c r="G172" s="100">
        <f>IFERROR(IF(INDEX(Polymarket!$B$25:$B$303,MATCH($A172,Polymarket!$A$25:$A$303,0))=0,"",INDEX(Polymarket!$B$25:$B$303,MATCH($A172,Polymarket!$A$25:$A$303,0))),"")</f>
        <v/>
      </c>
      <c r="H172" s="18">
        <f>IF(AND(ISNUMBER(B172),ISNUMBER(G172)),B172-G172,"")</f>
        <v/>
      </c>
      <c r="I172" s="26" t="inlineStr">
        <is>
          <t>17 May</t>
        </is>
      </c>
    </row>
    <row r="173">
      <c r="A173" s="41" t="n">
        <v>46160</v>
      </c>
      <c r="B173" s="28" t="n">
        <v>0.5658</v>
      </c>
      <c r="C173" s="28" t="n">
        <v>0.6158</v>
      </c>
      <c r="D173" s="28" t="n">
        <v>0.5158</v>
      </c>
      <c r="E173" s="28" t="n">
        <v>0.503</v>
      </c>
      <c r="F173" s="28" t="n">
        <v>0.498</v>
      </c>
      <c r="G173" s="101">
        <f>IFERROR(IF(INDEX(Polymarket!$B$25:$B$303,MATCH($A173,Polymarket!$A$25:$A$303,0))=0,"",INDEX(Polymarket!$B$25:$B$303,MATCH($A173,Polymarket!$A$25:$A$303,0))),"")</f>
        <v/>
      </c>
      <c r="H173" s="31">
        <f>IF(AND(ISNUMBER(B173),ISNUMBER(G173)),B173-G173,"")</f>
        <v/>
      </c>
      <c r="I173" s="26" t="inlineStr">
        <is>
          <t>18 May</t>
        </is>
      </c>
    </row>
    <row r="174">
      <c r="A174" s="39" t="n">
        <v>46161</v>
      </c>
      <c r="B174" s="16" t="n">
        <v>0.5689</v>
      </c>
      <c r="C174" s="16" t="n">
        <v>0.6188999999999999</v>
      </c>
      <c r="D174" s="16" t="n">
        <v>0.5188999999999999</v>
      </c>
      <c r="E174" s="16" t="n">
        <v>0.503</v>
      </c>
      <c r="F174" s="16" t="n">
        <v>0.498</v>
      </c>
      <c r="G174" s="100">
        <f>IFERROR(IF(INDEX(Polymarket!$B$25:$B$303,MATCH($A174,Polymarket!$A$25:$A$303,0))=0,"",INDEX(Polymarket!$B$25:$B$303,MATCH($A174,Polymarket!$A$25:$A$303,0))),"")</f>
        <v/>
      </c>
      <c r="H174" s="18">
        <f>IF(AND(ISNUMBER(B174),ISNUMBER(G174)),B174-G174,"")</f>
        <v/>
      </c>
      <c r="I174" s="26" t="inlineStr">
        <is>
          <t>19 May</t>
        </is>
      </c>
    </row>
    <row r="175">
      <c r="A175" s="41" t="n">
        <v>46162</v>
      </c>
      <c r="B175" s="28" t="n">
        <v>0.5618</v>
      </c>
      <c r="C175" s="28" t="n">
        <v>0.6118</v>
      </c>
      <c r="D175" s="28" t="n">
        <v>0.5118</v>
      </c>
      <c r="E175" s="28" t="n">
        <v>0.502</v>
      </c>
      <c r="F175" s="28" t="n">
        <v>0.498</v>
      </c>
      <c r="G175" s="101">
        <f>IFERROR(IF(INDEX(Polymarket!$B$25:$B$303,MATCH($A175,Polymarket!$A$25:$A$303,0))=0,"",INDEX(Polymarket!$B$25:$B$303,MATCH($A175,Polymarket!$A$25:$A$303,0))),"")</f>
        <v/>
      </c>
      <c r="H175" s="31">
        <f>IF(AND(ISNUMBER(B175),ISNUMBER(G175)),B175-G175,"")</f>
        <v/>
      </c>
      <c r="I175" s="26" t="inlineStr">
        <is>
          <t>20 May</t>
        </is>
      </c>
    </row>
    <row r="176">
      <c r="A176" s="39" t="n">
        <v>46163</v>
      </c>
      <c r="B176" s="16" t="n">
        <v>0.5783</v>
      </c>
      <c r="C176" s="16" t="n">
        <v>0.6283000000000001</v>
      </c>
      <c r="D176" s="16" t="n">
        <v>0.5283000000000001</v>
      </c>
      <c r="E176" s="16" t="n">
        <v>0.503</v>
      </c>
      <c r="F176" s="16" t="n">
        <v>0.498</v>
      </c>
      <c r="G176" s="100">
        <f>IFERROR(IF(INDEX(Polymarket!$B$25:$B$303,MATCH($A176,Polymarket!$A$25:$A$303,0))=0,"",INDEX(Polymarket!$B$25:$B$303,MATCH($A176,Polymarket!$A$25:$A$303,0))),"")</f>
        <v/>
      </c>
      <c r="H176" s="18">
        <f>IF(AND(ISNUMBER(B176),ISNUMBER(G176)),B176-G176,"")</f>
        <v/>
      </c>
      <c r="I176" s="26" t="inlineStr">
        <is>
          <t>21 May</t>
        </is>
      </c>
    </row>
    <row r="177">
      <c r="A177" s="41" t="n">
        <v>46164</v>
      </c>
      <c r="B177" s="28" t="n">
        <v>0.5687</v>
      </c>
      <c r="C177" s="28" t="n">
        <v>0.6187</v>
      </c>
      <c r="D177" s="28" t="n">
        <v>0.5186999999999999</v>
      </c>
      <c r="E177" s="28" t="n">
        <v>0.503</v>
      </c>
      <c r="F177" s="28" t="n">
        <v>0.498</v>
      </c>
      <c r="G177" s="101">
        <f>IFERROR(IF(INDEX(Polymarket!$B$25:$B$303,MATCH($A177,Polymarket!$A$25:$A$303,0))=0,"",INDEX(Polymarket!$B$25:$B$303,MATCH($A177,Polymarket!$A$25:$A$303,0))),"")</f>
        <v/>
      </c>
      <c r="H177" s="31">
        <f>IF(AND(ISNUMBER(B177),ISNUMBER(G177)),B177-G177,"")</f>
        <v/>
      </c>
      <c r="I177" s="26" t="inlineStr">
        <is>
          <t>22 May</t>
        </is>
      </c>
    </row>
    <row r="178">
      <c r="A178" s="39" t="n">
        <v>46165</v>
      </c>
      <c r="B178" s="16" t="n">
        <v>0.5702</v>
      </c>
      <c r="C178" s="16" t="n">
        <v>0.6202000000000001</v>
      </c>
      <c r="D178" s="16" t="n">
        <v>0.5202</v>
      </c>
      <c r="E178" s="16" t="n">
        <v>0.503</v>
      </c>
      <c r="F178" s="16" t="n">
        <v>0.498</v>
      </c>
      <c r="G178" s="100">
        <f>IFERROR(IF(INDEX(Polymarket!$B$25:$B$303,MATCH($A178,Polymarket!$A$25:$A$303,0))=0,"",INDEX(Polymarket!$B$25:$B$303,MATCH($A178,Polymarket!$A$25:$A$303,0))),"")</f>
        <v/>
      </c>
      <c r="H178" s="18">
        <f>IF(AND(ISNUMBER(B178),ISNUMBER(G178)),B178-G178,"")</f>
        <v/>
      </c>
      <c r="I178" s="26" t="inlineStr">
        <is>
          <t>23 May</t>
        </is>
      </c>
    </row>
    <row r="179">
      <c r="A179" s="41" t="n">
        <v>46166</v>
      </c>
      <c r="B179" s="28" t="n">
        <v>0.5597</v>
      </c>
      <c r="C179" s="28" t="n">
        <v>0.6097</v>
      </c>
      <c r="D179" s="28" t="n">
        <v>0.5097</v>
      </c>
      <c r="E179" s="28" t="n">
        <v>0.502</v>
      </c>
      <c r="F179" s="28" t="n">
        <v>0.498</v>
      </c>
      <c r="G179" s="101">
        <f>IFERROR(IF(INDEX(Polymarket!$B$25:$B$303,MATCH($A179,Polymarket!$A$25:$A$303,0))=0,"",INDEX(Polymarket!$B$25:$B$303,MATCH($A179,Polymarket!$A$25:$A$303,0))),"")</f>
        <v/>
      </c>
      <c r="H179" s="31">
        <f>IF(AND(ISNUMBER(B179),ISNUMBER(G179)),B179-G179,"")</f>
        <v/>
      </c>
      <c r="I179" s="26" t="inlineStr">
        <is>
          <t>24 May</t>
        </is>
      </c>
    </row>
    <row r="180">
      <c r="A180" s="39" t="n">
        <v>46167</v>
      </c>
      <c r="B180" s="16" t="n">
        <v>0.5683</v>
      </c>
      <c r="C180" s="16" t="n">
        <v>0.6183000000000001</v>
      </c>
      <c r="D180" s="16" t="n">
        <v>0.5183000000000001</v>
      </c>
      <c r="E180" s="16" t="n">
        <v>0.503</v>
      </c>
      <c r="F180" s="16" t="n">
        <v>0.498</v>
      </c>
      <c r="G180" s="100">
        <f>IFERROR(IF(INDEX(Polymarket!$B$25:$B$303,MATCH($A180,Polymarket!$A$25:$A$303,0))=0,"",INDEX(Polymarket!$B$25:$B$303,MATCH($A180,Polymarket!$A$25:$A$303,0))),"")</f>
        <v/>
      </c>
      <c r="H180" s="18">
        <f>IF(AND(ISNUMBER(B180),ISNUMBER(G180)),B180-G180,"")</f>
        <v/>
      </c>
      <c r="I180" s="26" t="inlineStr">
        <is>
          <t>25 May</t>
        </is>
      </c>
    </row>
    <row r="181">
      <c r="A181" s="41" t="n">
        <v>46168</v>
      </c>
      <c r="B181" s="28" t="n">
        <v>0.5641</v>
      </c>
      <c r="C181" s="28" t="n">
        <v>0.6141000000000001</v>
      </c>
      <c r="D181" s="28" t="n">
        <v>0.5141</v>
      </c>
      <c r="E181" s="28" t="n">
        <v>0.503</v>
      </c>
      <c r="F181" s="28" t="n">
        <v>0.498</v>
      </c>
      <c r="G181" s="101">
        <f>IFERROR(IF(INDEX(Polymarket!$B$25:$B$303,MATCH($A181,Polymarket!$A$25:$A$303,0))=0,"",INDEX(Polymarket!$B$25:$B$303,MATCH($A181,Polymarket!$A$25:$A$303,0))),"")</f>
        <v/>
      </c>
      <c r="H181" s="31">
        <f>IF(AND(ISNUMBER(B181),ISNUMBER(G181)),B181-G181,"")</f>
        <v/>
      </c>
      <c r="I181" s="26" t="inlineStr">
        <is>
          <t>26 May</t>
        </is>
      </c>
    </row>
    <row r="182">
      <c r="A182" s="39" t="n">
        <v>46169</v>
      </c>
      <c r="B182" s="16" t="n">
        <v>0.5518</v>
      </c>
      <c r="C182" s="16" t="n">
        <v>0.6017999999999999</v>
      </c>
      <c r="D182" s="16" t="n">
        <v>0.5017999999999999</v>
      </c>
      <c r="E182" s="16" t="n">
        <v>0.502</v>
      </c>
      <c r="F182" s="16" t="n">
        <v>0.498</v>
      </c>
      <c r="G182" s="100">
        <f>IFERROR(IF(INDEX(Polymarket!$B$25:$B$303,MATCH($A182,Polymarket!$A$25:$A$303,0))=0,"",INDEX(Polymarket!$B$25:$B$303,MATCH($A182,Polymarket!$A$25:$A$303,0))),"")</f>
        <v/>
      </c>
      <c r="H182" s="18">
        <f>IF(AND(ISNUMBER(B182),ISNUMBER(G182)),B182-G182,"")</f>
        <v/>
      </c>
      <c r="I182" s="26" t="inlineStr">
        <is>
          <t>27 May</t>
        </is>
      </c>
    </row>
    <row r="183">
      <c r="A183" s="41" t="n">
        <v>46170</v>
      </c>
      <c r="B183" s="28" t="n">
        <v>0.5624</v>
      </c>
      <c r="C183" s="28" t="n">
        <v>0.6124000000000001</v>
      </c>
      <c r="D183" s="28" t="n">
        <v>0.5124</v>
      </c>
      <c r="E183" s="28" t="n">
        <v>0.503</v>
      </c>
      <c r="F183" s="28" t="n">
        <v>0.498</v>
      </c>
      <c r="G183" s="101">
        <f>IFERROR(IF(INDEX(Polymarket!$B$25:$B$303,MATCH($A183,Polymarket!$A$25:$A$303,0))=0,"",INDEX(Polymarket!$B$25:$B$303,MATCH($A183,Polymarket!$A$25:$A$303,0))),"")</f>
        <v/>
      </c>
      <c r="H183" s="31">
        <f>IF(AND(ISNUMBER(B183),ISNUMBER(G183)),B183-G183,"")</f>
        <v/>
      </c>
      <c r="I183" s="26" t="inlineStr">
        <is>
          <t>28 May</t>
        </is>
      </c>
    </row>
    <row r="184">
      <c r="A184" s="39" t="n">
        <v>46171</v>
      </c>
      <c r="B184" s="16" t="n">
        <v>0.5689</v>
      </c>
      <c r="C184" s="16" t="n">
        <v>0.6188999999999999</v>
      </c>
      <c r="D184" s="16" t="n">
        <v>0.5188999999999999</v>
      </c>
      <c r="E184" s="16" t="n">
        <v>0.503</v>
      </c>
      <c r="F184" s="16" t="n">
        <v>0.498</v>
      </c>
      <c r="G184" s="100">
        <f>IFERROR(IF(INDEX(Polymarket!$B$25:$B$303,MATCH($A184,Polymarket!$A$25:$A$303,0))=0,"",INDEX(Polymarket!$B$25:$B$303,MATCH($A184,Polymarket!$A$25:$A$303,0))),"")</f>
        <v/>
      </c>
      <c r="H184" s="18">
        <f>IF(AND(ISNUMBER(B184),ISNUMBER(G184)),B184-G184,"")</f>
        <v/>
      </c>
      <c r="I184" s="26" t="inlineStr">
        <is>
          <t>29 May</t>
        </is>
      </c>
    </row>
    <row r="185">
      <c r="A185" s="41" t="n">
        <v>46172</v>
      </c>
      <c r="B185" s="28" t="n">
        <v>0.5605</v>
      </c>
      <c r="C185" s="28" t="n">
        <v>0.6104999999999999</v>
      </c>
      <c r="D185" s="28" t="n">
        <v>0.5105</v>
      </c>
      <c r="E185" s="28" t="n">
        <v>0.503</v>
      </c>
      <c r="F185" s="28" t="n">
        <v>0.498</v>
      </c>
      <c r="G185" s="101">
        <f>IFERROR(IF(INDEX(Polymarket!$B$25:$B$303,MATCH($A185,Polymarket!$A$25:$A$303,0))=0,"",INDEX(Polymarket!$B$25:$B$303,MATCH($A185,Polymarket!$A$25:$A$303,0))),"")</f>
        <v/>
      </c>
      <c r="H185" s="31">
        <f>IF(AND(ISNUMBER(B185),ISNUMBER(G185)),B185-G185,"")</f>
        <v/>
      </c>
      <c r="I185" s="26" t="inlineStr">
        <is>
          <t>30 May</t>
        </is>
      </c>
    </row>
    <row r="186">
      <c r="A186" s="39" t="n">
        <v>46173</v>
      </c>
      <c r="B186" s="16" t="n">
        <v>0.5627</v>
      </c>
      <c r="C186" s="16" t="n">
        <v>0.6126999999999999</v>
      </c>
      <c r="D186" s="16" t="n">
        <v>0.5126999999999999</v>
      </c>
      <c r="E186" s="16" t="n">
        <v>0.503</v>
      </c>
      <c r="F186" s="16" t="n">
        <v>0.498</v>
      </c>
      <c r="G186" s="100">
        <f>IFERROR(IF(INDEX(Polymarket!$B$25:$B$303,MATCH($A186,Polymarket!$A$25:$A$303,0))=0,"",INDEX(Polymarket!$B$25:$B$303,MATCH($A186,Polymarket!$A$25:$A$303,0))),"")</f>
        <v/>
      </c>
      <c r="H186" s="18">
        <f>IF(AND(ISNUMBER(B186),ISNUMBER(G186)),B186-G186,"")</f>
        <v/>
      </c>
      <c r="I186" s="26" t="inlineStr">
        <is>
          <t>31 May</t>
        </is>
      </c>
    </row>
    <row r="187">
      <c r="A187" s="41" t="n">
        <v>46174</v>
      </c>
      <c r="B187" s="28" t="n">
        <v>0.5609</v>
      </c>
      <c r="C187" s="28" t="n">
        <v>0.6109</v>
      </c>
      <c r="D187" s="28" t="n">
        <v>0.5108999999999999</v>
      </c>
      <c r="E187" s="28" t="n">
        <v>0.502</v>
      </c>
      <c r="F187" s="28" t="n">
        <v>0.498</v>
      </c>
      <c r="G187" s="101">
        <f>IFERROR(IF(INDEX(Polymarket!$B$25:$B$303,MATCH($A187,Polymarket!$A$25:$A$303,0))=0,"",INDEX(Polymarket!$B$25:$B$303,MATCH($A187,Polymarket!$A$25:$A$303,0))),"")</f>
        <v/>
      </c>
      <c r="H187" s="31">
        <f>IF(AND(ISNUMBER(B187),ISNUMBER(G187)),B187-G187,"")</f>
        <v/>
      </c>
      <c r="I187" s="26" t="inlineStr">
        <is>
          <t>01 Jun</t>
        </is>
      </c>
    </row>
    <row r="188">
      <c r="A188" s="39" t="n">
        <v>46175</v>
      </c>
      <c r="B188" s="16" t="n">
        <v>0.5613</v>
      </c>
      <c r="C188" s="16" t="n">
        <v>0.6113000000000001</v>
      </c>
      <c r="D188" s="16" t="n">
        <v>0.5113</v>
      </c>
      <c r="E188" s="16" t="n">
        <v>0.503</v>
      </c>
      <c r="F188" s="16" t="n">
        <v>0.498</v>
      </c>
      <c r="G188" s="100">
        <f>IFERROR(IF(INDEX(Polymarket!$B$25:$B$303,MATCH($A188,Polymarket!$A$25:$A$303,0))=0,"",INDEX(Polymarket!$B$25:$B$303,MATCH($A188,Polymarket!$A$25:$A$303,0))),"")</f>
        <v/>
      </c>
      <c r="H188" s="18">
        <f>IF(AND(ISNUMBER(B188),ISNUMBER(G188)),B188-G188,"")</f>
        <v/>
      </c>
      <c r="I188" s="26" t="inlineStr">
        <is>
          <t>02 Jun</t>
        </is>
      </c>
    </row>
    <row r="189">
      <c r="A189" s="41" t="n">
        <v>46176</v>
      </c>
      <c r="B189" s="28" t="n">
        <v>0.576</v>
      </c>
      <c r="C189" s="28" t="n">
        <v>0.6259999999999999</v>
      </c>
      <c r="D189" s="28" t="n">
        <v>0.5259999999999999</v>
      </c>
      <c r="E189" s="28" t="n">
        <v>0.503</v>
      </c>
      <c r="F189" s="28" t="n">
        <v>0.4970000000000001</v>
      </c>
      <c r="G189" s="101">
        <f>IFERROR(IF(INDEX(Polymarket!$B$25:$B$303,MATCH($A189,Polymarket!$A$25:$A$303,0))=0,"",INDEX(Polymarket!$B$25:$B$303,MATCH($A189,Polymarket!$A$25:$A$303,0))),"")</f>
        <v/>
      </c>
      <c r="H189" s="31">
        <f>IF(AND(ISNUMBER(B189),ISNUMBER(G189)),B189-G189,"")</f>
        <v/>
      </c>
      <c r="I189" s="26" t="inlineStr">
        <is>
          <t>03 Jun</t>
        </is>
      </c>
    </row>
    <row r="190">
      <c r="A190" s="39" t="n">
        <v>46177</v>
      </c>
      <c r="B190" s="16" t="n">
        <v>0.5657</v>
      </c>
      <c r="C190" s="16" t="n">
        <v>0.6157</v>
      </c>
      <c r="D190" s="16" t="n">
        <v>0.5157</v>
      </c>
      <c r="E190" s="16" t="n">
        <v>0.503</v>
      </c>
      <c r="F190" s="16" t="n">
        <v>0.498</v>
      </c>
      <c r="G190" s="100">
        <f>IFERROR(IF(INDEX(Polymarket!$B$25:$B$303,MATCH($A190,Polymarket!$A$25:$A$303,0))=0,"",INDEX(Polymarket!$B$25:$B$303,MATCH($A190,Polymarket!$A$25:$A$303,0))),"")</f>
        <v/>
      </c>
      <c r="H190" s="18">
        <f>IF(AND(ISNUMBER(B190),ISNUMBER(G190)),B190-G190,"")</f>
        <v/>
      </c>
      <c r="I190" s="26" t="inlineStr">
        <is>
          <t>04 Jun</t>
        </is>
      </c>
    </row>
    <row r="191">
      <c r="A191" s="41" t="n">
        <v>46178</v>
      </c>
      <c r="B191" s="28" t="n">
        <v>0.5648</v>
      </c>
      <c r="C191" s="28" t="n">
        <v>0.6148</v>
      </c>
      <c r="D191" s="28" t="n">
        <v>0.5147999999999999</v>
      </c>
      <c r="E191" s="28" t="n">
        <v>0.503</v>
      </c>
      <c r="F191" s="28" t="n">
        <v>0.498</v>
      </c>
      <c r="G191" s="101">
        <f>IFERROR(IF(INDEX(Polymarket!$B$25:$B$303,MATCH($A191,Polymarket!$A$25:$A$303,0))=0,"",INDEX(Polymarket!$B$25:$B$303,MATCH($A191,Polymarket!$A$25:$A$303,0))),"")</f>
        <v/>
      </c>
      <c r="H191" s="31">
        <f>IF(AND(ISNUMBER(B191),ISNUMBER(G191)),B191-G191,"")</f>
        <v/>
      </c>
      <c r="I191" s="26" t="inlineStr">
        <is>
          <t>05 Jun</t>
        </is>
      </c>
    </row>
    <row r="192">
      <c r="A192" s="39" t="n">
        <v>46179</v>
      </c>
      <c r="B192" s="16" t="n">
        <v>0.5602</v>
      </c>
      <c r="C192" s="16" t="n">
        <v>0.6102000000000001</v>
      </c>
      <c r="D192" s="16" t="n">
        <v>0.5102</v>
      </c>
      <c r="E192" s="16" t="n">
        <v>0.503</v>
      </c>
      <c r="F192" s="16" t="n">
        <v>0.498</v>
      </c>
      <c r="G192" s="100">
        <f>IFERROR(IF(INDEX(Polymarket!$B$25:$B$303,MATCH($A192,Polymarket!$A$25:$A$303,0))=0,"",INDEX(Polymarket!$B$25:$B$303,MATCH($A192,Polymarket!$A$25:$A$303,0))),"")</f>
        <v/>
      </c>
      <c r="H192" s="18">
        <f>IF(AND(ISNUMBER(B192),ISNUMBER(G192)),B192-G192,"")</f>
        <v/>
      </c>
      <c r="I192" s="26" t="inlineStr">
        <is>
          <t>06 Jun</t>
        </is>
      </c>
    </row>
    <row r="193">
      <c r="A193" s="41" t="n">
        <v>46180</v>
      </c>
      <c r="B193" s="28" t="n">
        <v>0.5508999999999999</v>
      </c>
      <c r="C193" s="28" t="n">
        <v>0.6009</v>
      </c>
      <c r="D193" s="28" t="n">
        <v>0.5009</v>
      </c>
      <c r="E193" s="28" t="n">
        <v>0.502</v>
      </c>
      <c r="F193" s="28" t="n">
        <v>0.498</v>
      </c>
      <c r="G193" s="101">
        <f>IFERROR(IF(INDEX(Polymarket!$B$25:$B$303,MATCH($A193,Polymarket!$A$25:$A$303,0))=0,"",INDEX(Polymarket!$B$25:$B$303,MATCH($A193,Polymarket!$A$25:$A$303,0))),"")</f>
        <v/>
      </c>
      <c r="H193" s="31">
        <f>IF(AND(ISNUMBER(B193),ISNUMBER(G193)),B193-G193,"")</f>
        <v/>
      </c>
      <c r="I193" s="26" t="inlineStr">
        <is>
          <t>07 Jun</t>
        </is>
      </c>
    </row>
    <row r="194">
      <c r="A194" s="39" t="n">
        <v>46181</v>
      </c>
      <c r="B194" s="16" t="n">
        <v>0.5623</v>
      </c>
      <c r="C194" s="16" t="n">
        <v>0.6123000000000001</v>
      </c>
      <c r="D194" s="16" t="n">
        <v>0.5123000000000001</v>
      </c>
      <c r="E194" s="16" t="n">
        <v>0.503</v>
      </c>
      <c r="F194" s="16" t="n">
        <v>0.498</v>
      </c>
      <c r="G194" s="100">
        <f>IFERROR(IF(INDEX(Polymarket!$B$25:$B$303,MATCH($A194,Polymarket!$A$25:$A$303,0))=0,"",INDEX(Polymarket!$B$25:$B$303,MATCH($A194,Polymarket!$A$25:$A$303,0))),"")</f>
        <v/>
      </c>
      <c r="H194" s="18">
        <f>IF(AND(ISNUMBER(B194),ISNUMBER(G194)),B194-G194,"")</f>
        <v/>
      </c>
      <c r="I194" s="26" t="inlineStr">
        <is>
          <t>08 Jun</t>
        </is>
      </c>
    </row>
    <row r="195">
      <c r="A195" s="41" t="n">
        <v>46182</v>
      </c>
      <c r="B195" s="28" t="n">
        <v>0.5704</v>
      </c>
      <c r="C195" s="28" t="n">
        <v>0.6204</v>
      </c>
      <c r="D195" s="28" t="n">
        <v>0.5204</v>
      </c>
      <c r="E195" s="28" t="n">
        <v>0.503</v>
      </c>
      <c r="F195" s="28" t="n">
        <v>0.498</v>
      </c>
      <c r="G195" s="101">
        <f>IFERROR(IF(INDEX(Polymarket!$B$25:$B$303,MATCH($A195,Polymarket!$A$25:$A$303,0))=0,"",INDEX(Polymarket!$B$25:$B$303,MATCH($A195,Polymarket!$A$25:$A$303,0))),"")</f>
        <v/>
      </c>
      <c r="H195" s="31">
        <f>IF(AND(ISNUMBER(B195),ISNUMBER(G195)),B195-G195,"")</f>
        <v/>
      </c>
      <c r="I195" s="26" t="inlineStr">
        <is>
          <t>09 Jun</t>
        </is>
      </c>
    </row>
    <row r="196">
      <c r="A196" s="39" t="n">
        <v>46183</v>
      </c>
      <c r="B196" s="16" t="n">
        <v>0.5594</v>
      </c>
      <c r="C196" s="16" t="n">
        <v>0.6093999999999999</v>
      </c>
      <c r="D196" s="16" t="n">
        <v>0.5094</v>
      </c>
      <c r="E196" s="16" t="n">
        <v>0.502</v>
      </c>
      <c r="F196" s="16" t="n">
        <v>0.498</v>
      </c>
      <c r="G196" s="100">
        <f>IFERROR(IF(INDEX(Polymarket!$B$25:$B$303,MATCH($A196,Polymarket!$A$25:$A$303,0))=0,"",INDEX(Polymarket!$B$25:$B$303,MATCH($A196,Polymarket!$A$25:$A$303,0))),"")</f>
        <v/>
      </c>
      <c r="H196" s="18">
        <f>IF(AND(ISNUMBER(B196),ISNUMBER(G196)),B196-G196,"")</f>
        <v/>
      </c>
      <c r="I196" s="26" t="inlineStr">
        <is>
          <t>10 Jun</t>
        </is>
      </c>
    </row>
    <row r="197">
      <c r="A197" s="41" t="n">
        <v>46184</v>
      </c>
      <c r="B197" s="28" t="n">
        <v>0.5669</v>
      </c>
      <c r="C197" s="28" t="n">
        <v>0.6169</v>
      </c>
      <c r="D197" s="28" t="n">
        <v>0.5169</v>
      </c>
      <c r="E197" s="28" t="n">
        <v>0.503</v>
      </c>
      <c r="F197" s="28" t="n">
        <v>0.498</v>
      </c>
      <c r="G197" s="101">
        <f>IFERROR(IF(INDEX(Polymarket!$B$25:$B$303,MATCH($A197,Polymarket!$A$25:$A$303,0))=0,"",INDEX(Polymarket!$B$25:$B$303,MATCH($A197,Polymarket!$A$25:$A$303,0))),"")</f>
        <v/>
      </c>
      <c r="H197" s="31">
        <f>IF(AND(ISNUMBER(B197),ISNUMBER(G197)),B197-G197,"")</f>
        <v/>
      </c>
      <c r="I197" s="26" t="inlineStr">
        <is>
          <t>11 Jun</t>
        </is>
      </c>
    </row>
    <row r="198">
      <c r="A198" s="39" t="n">
        <v>46185</v>
      </c>
      <c r="B198" s="16" t="n">
        <v>0.5532</v>
      </c>
      <c r="C198" s="16" t="n">
        <v>0.6032</v>
      </c>
      <c r="D198" s="16" t="n">
        <v>0.5032</v>
      </c>
      <c r="E198" s="16" t="n">
        <v>0.502</v>
      </c>
      <c r="F198" s="16" t="n">
        <v>0.498</v>
      </c>
      <c r="G198" s="100">
        <f>IFERROR(IF(INDEX(Polymarket!$B$25:$B$303,MATCH($A198,Polymarket!$A$25:$A$303,0))=0,"",INDEX(Polymarket!$B$25:$B$303,MATCH($A198,Polymarket!$A$25:$A$303,0))),"")</f>
        <v/>
      </c>
      <c r="H198" s="18">
        <f>IF(AND(ISNUMBER(B198),ISNUMBER(G198)),B198-G198,"")</f>
        <v/>
      </c>
      <c r="I198" s="26" t="inlineStr">
        <is>
          <t>12 Jun</t>
        </is>
      </c>
    </row>
    <row r="199">
      <c r="A199" s="41" t="n">
        <v>46186</v>
      </c>
      <c r="B199" s="28" t="n">
        <v>0.5639</v>
      </c>
      <c r="C199" s="28" t="n">
        <v>0.6138999999999999</v>
      </c>
      <c r="D199" s="28" t="n">
        <v>0.5138999999999999</v>
      </c>
      <c r="E199" s="28" t="n">
        <v>0.503</v>
      </c>
      <c r="F199" s="28" t="n">
        <v>0.498</v>
      </c>
      <c r="G199" s="101">
        <f>IFERROR(IF(INDEX(Polymarket!$B$25:$B$303,MATCH($A199,Polymarket!$A$25:$A$303,0))=0,"",INDEX(Polymarket!$B$25:$B$303,MATCH($A199,Polymarket!$A$25:$A$303,0))),"")</f>
        <v/>
      </c>
      <c r="H199" s="31">
        <f>IF(AND(ISNUMBER(B199),ISNUMBER(G199)),B199-G199,"")</f>
        <v/>
      </c>
      <c r="I199" s="26" t="inlineStr">
        <is>
          <t>13 Jun</t>
        </is>
      </c>
    </row>
    <row r="200">
      <c r="A200" s="39" t="n">
        <v>46187</v>
      </c>
      <c r="B200" s="16" t="n">
        <v>0.5511</v>
      </c>
      <c r="C200" s="16" t="n">
        <v>0.6011000000000001</v>
      </c>
      <c r="D200" s="16" t="n">
        <v>0.5011000000000001</v>
      </c>
      <c r="E200" s="16" t="n">
        <v>0.502</v>
      </c>
      <c r="F200" s="16" t="n">
        <v>0.498</v>
      </c>
      <c r="G200" s="100">
        <f>IFERROR(IF(INDEX(Polymarket!$B$25:$B$303,MATCH($A200,Polymarket!$A$25:$A$303,0))=0,"",INDEX(Polymarket!$B$25:$B$303,MATCH($A200,Polymarket!$A$25:$A$303,0))),"")</f>
        <v/>
      </c>
      <c r="H200" s="18">
        <f>IF(AND(ISNUMBER(B200),ISNUMBER(G200)),B200-G200,"")</f>
        <v/>
      </c>
      <c r="I200" s="26" t="inlineStr">
        <is>
          <t>14 Jun</t>
        </is>
      </c>
    </row>
    <row r="201">
      <c r="A201" s="41" t="n">
        <v>46188</v>
      </c>
      <c r="B201" s="28" t="n">
        <v>0.5577</v>
      </c>
      <c r="C201" s="28" t="n">
        <v>0.6076999999999999</v>
      </c>
      <c r="D201" s="28" t="n">
        <v>0.5076999999999999</v>
      </c>
      <c r="E201" s="28" t="n">
        <v>0.502</v>
      </c>
      <c r="F201" s="28" t="n">
        <v>0.498</v>
      </c>
      <c r="G201" s="101">
        <f>IFERROR(IF(INDEX(Polymarket!$B$25:$B$303,MATCH($A201,Polymarket!$A$25:$A$303,0))=0,"",INDEX(Polymarket!$B$25:$B$303,MATCH($A201,Polymarket!$A$25:$A$303,0))),"")</f>
        <v/>
      </c>
      <c r="H201" s="31">
        <f>IF(AND(ISNUMBER(B201),ISNUMBER(G201)),B201-G201,"")</f>
        <v/>
      </c>
      <c r="I201" s="26" t="inlineStr">
        <is>
          <t>15 Jun</t>
        </is>
      </c>
    </row>
    <row r="202">
      <c r="A202" s="39" t="n">
        <v>46189</v>
      </c>
      <c r="B202" s="16" t="n">
        <v>0.5601</v>
      </c>
      <c r="C202" s="16" t="n">
        <v>0.6101000000000001</v>
      </c>
      <c r="D202" s="16" t="n">
        <v>0.5101</v>
      </c>
      <c r="E202" s="16" t="n">
        <v>0.502</v>
      </c>
      <c r="F202" s="16" t="n">
        <v>0.498</v>
      </c>
      <c r="G202" s="100">
        <f>IFERROR(IF(INDEX(Polymarket!$B$25:$B$303,MATCH($A202,Polymarket!$A$25:$A$303,0))=0,"",INDEX(Polymarket!$B$25:$B$303,MATCH($A202,Polymarket!$A$25:$A$303,0))),"")</f>
        <v/>
      </c>
      <c r="H202" s="18">
        <f>IF(AND(ISNUMBER(B202),ISNUMBER(G202)),B202-G202,"")</f>
        <v/>
      </c>
      <c r="I202" s="26" t="inlineStr">
        <is>
          <t>16 Jun</t>
        </is>
      </c>
    </row>
    <row r="203">
      <c r="A203" s="41" t="n">
        <v>46190</v>
      </c>
      <c r="B203" s="28" t="n">
        <v>0.5644</v>
      </c>
      <c r="C203" s="28" t="n">
        <v>0.6143999999999999</v>
      </c>
      <c r="D203" s="28" t="n">
        <v>0.5144</v>
      </c>
      <c r="E203" s="28" t="n">
        <v>0.503</v>
      </c>
      <c r="F203" s="28" t="n">
        <v>0.498</v>
      </c>
      <c r="G203" s="101">
        <f>IFERROR(IF(INDEX(Polymarket!$B$25:$B$303,MATCH($A203,Polymarket!$A$25:$A$303,0))=0,"",INDEX(Polymarket!$B$25:$B$303,MATCH($A203,Polymarket!$A$25:$A$303,0))),"")</f>
        <v/>
      </c>
      <c r="H203" s="31">
        <f>IF(AND(ISNUMBER(B203),ISNUMBER(G203)),B203-G203,"")</f>
        <v/>
      </c>
      <c r="I203" s="26" t="inlineStr">
        <is>
          <t>17 Jun</t>
        </is>
      </c>
    </row>
    <row r="204">
      <c r="A204" s="39" t="n">
        <v>46191</v>
      </c>
      <c r="B204" s="16" t="n">
        <v>0.5568</v>
      </c>
      <c r="C204" s="16" t="n">
        <v>0.6067999999999999</v>
      </c>
      <c r="D204" s="16" t="n">
        <v>0.5067999999999999</v>
      </c>
      <c r="E204" s="16" t="n">
        <v>0.502</v>
      </c>
      <c r="F204" s="16" t="n">
        <v>0.498</v>
      </c>
      <c r="G204" s="100">
        <f>IFERROR(IF(INDEX(Polymarket!$B$25:$B$303,MATCH($A204,Polymarket!$A$25:$A$303,0))=0,"",INDEX(Polymarket!$B$25:$B$303,MATCH($A204,Polymarket!$A$25:$A$303,0))),"")</f>
        <v/>
      </c>
      <c r="H204" s="18">
        <f>IF(AND(ISNUMBER(B204),ISNUMBER(G204)),B204-G204,"")</f>
        <v/>
      </c>
      <c r="I204" s="26" t="inlineStr">
        <is>
          <t>18 Jun</t>
        </is>
      </c>
    </row>
    <row r="205">
      <c r="A205" s="41" t="n">
        <v>46192</v>
      </c>
      <c r="B205" s="28" t="n">
        <v>0.5518</v>
      </c>
      <c r="C205" s="28" t="n">
        <v>0.6017999999999999</v>
      </c>
      <c r="D205" s="28" t="n">
        <v>0.5017999999999999</v>
      </c>
      <c r="E205" s="28" t="n">
        <v>0.502</v>
      </c>
      <c r="F205" s="28" t="n">
        <v>0.498</v>
      </c>
      <c r="G205" s="101">
        <f>IFERROR(IF(INDEX(Polymarket!$B$25:$B$303,MATCH($A205,Polymarket!$A$25:$A$303,0))=0,"",INDEX(Polymarket!$B$25:$B$303,MATCH($A205,Polymarket!$A$25:$A$303,0))),"")</f>
        <v/>
      </c>
      <c r="H205" s="31">
        <f>IF(AND(ISNUMBER(B205),ISNUMBER(G205)),B205-G205,"")</f>
        <v/>
      </c>
      <c r="I205" s="26" t="inlineStr">
        <is>
          <t>19 Jun</t>
        </is>
      </c>
    </row>
    <row r="206">
      <c r="A206" s="39" t="n">
        <v>46193</v>
      </c>
      <c r="B206" s="16" t="n">
        <v>0.5561</v>
      </c>
      <c r="C206" s="16" t="n">
        <v>0.6061000000000001</v>
      </c>
      <c r="D206" s="16" t="n">
        <v>0.5061000000000001</v>
      </c>
      <c r="E206" s="16" t="n">
        <v>0.502</v>
      </c>
      <c r="F206" s="16" t="n">
        <v>0.498</v>
      </c>
      <c r="G206" s="100">
        <f>IFERROR(IF(INDEX(Polymarket!$B$25:$B$303,MATCH($A206,Polymarket!$A$25:$A$303,0))=0,"",INDEX(Polymarket!$B$25:$B$303,MATCH($A206,Polymarket!$A$25:$A$303,0))),"")</f>
        <v/>
      </c>
      <c r="H206" s="18">
        <f>IF(AND(ISNUMBER(B206),ISNUMBER(G206)),B206-G206,"")</f>
        <v/>
      </c>
      <c r="I206" s="26" t="inlineStr">
        <is>
          <t>20 Jun</t>
        </is>
      </c>
    </row>
    <row r="207">
      <c r="A207" s="41" t="n">
        <v>46194</v>
      </c>
      <c r="B207" s="28" t="n">
        <v>0.5600000000000001</v>
      </c>
      <c r="C207" s="28" t="n">
        <v>0.6100000000000001</v>
      </c>
      <c r="D207" s="28" t="n">
        <v>0.5100000000000001</v>
      </c>
      <c r="E207" s="28" t="n">
        <v>0.503</v>
      </c>
      <c r="F207" s="28" t="n">
        <v>0.498</v>
      </c>
      <c r="G207" s="101">
        <f>IFERROR(IF(INDEX(Polymarket!$B$25:$B$303,MATCH($A207,Polymarket!$A$25:$A$303,0))=0,"",INDEX(Polymarket!$B$25:$B$303,MATCH($A207,Polymarket!$A$25:$A$303,0))),"")</f>
        <v/>
      </c>
      <c r="H207" s="31">
        <f>IF(AND(ISNUMBER(B207),ISNUMBER(G207)),B207-G207,"")</f>
        <v/>
      </c>
      <c r="I207" s="26" t="inlineStr">
        <is>
          <t>21 Jun</t>
        </is>
      </c>
    </row>
    <row r="208">
      <c r="A208" s="39" t="n">
        <v>46195</v>
      </c>
      <c r="B208" s="16" t="n">
        <v>0.5605</v>
      </c>
      <c r="C208" s="16" t="n">
        <v>0.6104999999999999</v>
      </c>
      <c r="D208" s="16" t="n">
        <v>0.5105</v>
      </c>
      <c r="E208" s="16" t="n">
        <v>0.502</v>
      </c>
      <c r="F208" s="16" t="n">
        <v>0.498</v>
      </c>
      <c r="G208" s="100">
        <f>IFERROR(IF(INDEX(Polymarket!$B$25:$B$303,MATCH($A208,Polymarket!$A$25:$A$303,0))=0,"",INDEX(Polymarket!$B$25:$B$303,MATCH($A208,Polymarket!$A$25:$A$303,0))),"")</f>
        <v/>
      </c>
      <c r="H208" s="18">
        <f>IF(AND(ISNUMBER(B208),ISNUMBER(G208)),B208-G208,"")</f>
        <v/>
      </c>
      <c r="I208" s="26" t="inlineStr">
        <is>
          <t>22 Jun</t>
        </is>
      </c>
    </row>
    <row r="209">
      <c r="A209" s="41" t="n">
        <v>46196</v>
      </c>
      <c r="B209" s="28" t="n">
        <v>0.5622</v>
      </c>
      <c r="C209" s="28" t="n">
        <v>0.6122000000000001</v>
      </c>
      <c r="D209" s="28" t="n">
        <v>0.5122000000000001</v>
      </c>
      <c r="E209" s="28" t="n">
        <v>0.503</v>
      </c>
      <c r="F209" s="28" t="n">
        <v>0.498</v>
      </c>
      <c r="G209" s="101">
        <f>IFERROR(IF(INDEX(Polymarket!$B$25:$B$303,MATCH($A209,Polymarket!$A$25:$A$303,0))=0,"",INDEX(Polymarket!$B$25:$B$303,MATCH($A209,Polymarket!$A$25:$A$303,0))),"")</f>
        <v/>
      </c>
      <c r="H209" s="31">
        <f>IF(AND(ISNUMBER(B209),ISNUMBER(G209)),B209-G209,"")</f>
        <v/>
      </c>
      <c r="I209" s="26" t="inlineStr">
        <is>
          <t>23 Jun</t>
        </is>
      </c>
    </row>
    <row r="210">
      <c r="A210" s="39" t="n">
        <v>46197</v>
      </c>
      <c r="B210" s="16" t="n">
        <v>0.5620000000000001</v>
      </c>
      <c r="C210" s="16" t="n">
        <v>0.612</v>
      </c>
      <c r="D210" s="16" t="n">
        <v>0.512</v>
      </c>
      <c r="E210" s="16" t="n">
        <v>0.502</v>
      </c>
      <c r="F210" s="16" t="n">
        <v>0.498</v>
      </c>
      <c r="G210" s="100">
        <f>IFERROR(IF(INDEX(Polymarket!$B$25:$B$303,MATCH($A210,Polymarket!$A$25:$A$303,0))=0,"",INDEX(Polymarket!$B$25:$B$303,MATCH($A210,Polymarket!$A$25:$A$303,0))),"")</f>
        <v/>
      </c>
      <c r="H210" s="18">
        <f>IF(AND(ISNUMBER(B210),ISNUMBER(G210)),B210-G210,"")</f>
        <v/>
      </c>
      <c r="I210" s="26" t="inlineStr">
        <is>
          <t>24 Jun</t>
        </is>
      </c>
    </row>
    <row r="211">
      <c r="A211" s="41" t="n">
        <v>46198</v>
      </c>
      <c r="B211" s="28" t="n">
        <v>0.5674</v>
      </c>
      <c r="C211" s="28" t="n">
        <v>0.6174000000000001</v>
      </c>
      <c r="D211" s="28" t="n">
        <v>0.5174</v>
      </c>
      <c r="E211" s="28" t="n">
        <v>0.503</v>
      </c>
      <c r="F211" s="28" t="n">
        <v>0.498</v>
      </c>
      <c r="G211" s="101">
        <f>IFERROR(IF(INDEX(Polymarket!$B$25:$B$303,MATCH($A211,Polymarket!$A$25:$A$303,0))=0,"",INDEX(Polymarket!$B$25:$B$303,MATCH($A211,Polymarket!$A$25:$A$303,0))),"")</f>
        <v/>
      </c>
      <c r="H211" s="31">
        <f>IF(AND(ISNUMBER(B211),ISNUMBER(G211)),B211-G211,"")</f>
        <v/>
      </c>
      <c r="I211" s="26" t="inlineStr">
        <is>
          <t>25 Jun</t>
        </is>
      </c>
    </row>
    <row r="212">
      <c r="A212" s="39" t="n">
        <v>46199</v>
      </c>
      <c r="B212" s="16" t="n">
        <v>0.5610000000000001</v>
      </c>
      <c r="C212" s="16" t="n">
        <v>0.6110000000000001</v>
      </c>
      <c r="D212" s="16" t="n">
        <v>0.5110000000000001</v>
      </c>
      <c r="E212" s="16" t="n">
        <v>0.502</v>
      </c>
      <c r="F212" s="16" t="n">
        <v>0.498</v>
      </c>
      <c r="G212" s="100">
        <f>IFERROR(IF(INDEX(Polymarket!$B$25:$B$303,MATCH($A212,Polymarket!$A$25:$A$303,0))=0,"",INDEX(Polymarket!$B$25:$B$303,MATCH($A212,Polymarket!$A$25:$A$303,0))),"")</f>
        <v/>
      </c>
      <c r="H212" s="18">
        <f>IF(AND(ISNUMBER(B212),ISNUMBER(G212)),B212-G212,"")</f>
        <v/>
      </c>
      <c r="I212" s="26" t="inlineStr">
        <is>
          <t>26 Jun</t>
        </is>
      </c>
    </row>
    <row r="213">
      <c r="A213" s="41" t="n">
        <v>46200</v>
      </c>
      <c r="B213" s="28" t="n">
        <v>0.5610000000000001</v>
      </c>
      <c r="C213" s="28" t="n">
        <v>0.6110000000000001</v>
      </c>
      <c r="D213" s="28" t="n">
        <v>0.5110000000000001</v>
      </c>
      <c r="E213" s="28" t="n">
        <v>0.503</v>
      </c>
      <c r="F213" s="28" t="n">
        <v>0.498</v>
      </c>
      <c r="G213" s="101">
        <f>IFERROR(IF(INDEX(Polymarket!$B$25:$B$303,MATCH($A213,Polymarket!$A$25:$A$303,0))=0,"",INDEX(Polymarket!$B$25:$B$303,MATCH($A213,Polymarket!$A$25:$A$303,0))),"")</f>
        <v/>
      </c>
      <c r="H213" s="31">
        <f>IF(AND(ISNUMBER(B213),ISNUMBER(G213)),B213-G213,"")</f>
        <v/>
      </c>
      <c r="I213" s="26" t="inlineStr">
        <is>
          <t>27 Jun</t>
        </is>
      </c>
    </row>
    <row r="214">
      <c r="A214" s="39" t="n">
        <v>46201</v>
      </c>
      <c r="B214" s="16" t="n">
        <v>0.5569</v>
      </c>
      <c r="C214" s="16" t="n">
        <v>0.6069</v>
      </c>
      <c r="D214" s="16" t="n">
        <v>0.5069</v>
      </c>
      <c r="E214" s="16" t="n">
        <v>0.502</v>
      </c>
      <c r="F214" s="16" t="n">
        <v>0.498</v>
      </c>
      <c r="G214" s="100">
        <f>IFERROR(IF(INDEX(Polymarket!$B$25:$B$303,MATCH($A214,Polymarket!$A$25:$A$303,0))=0,"",INDEX(Polymarket!$B$25:$B$303,MATCH($A214,Polymarket!$A$25:$A$303,0))),"")</f>
        <v/>
      </c>
      <c r="H214" s="18">
        <f>IF(AND(ISNUMBER(B214),ISNUMBER(G214)),B214-G214,"")</f>
        <v/>
      </c>
      <c r="I214" s="26" t="inlineStr">
        <is>
          <t>28 Jun</t>
        </is>
      </c>
    </row>
    <row r="215">
      <c r="A215" s="41" t="n">
        <v>46202</v>
      </c>
      <c r="B215" s="28" t="n">
        <v>0.5485</v>
      </c>
      <c r="C215" s="28" t="n">
        <v>0.5985</v>
      </c>
      <c r="D215" s="28" t="n">
        <v>0.4985</v>
      </c>
      <c r="E215" s="28" t="n">
        <v>0.502</v>
      </c>
      <c r="F215" s="28" t="n">
        <v>0.499</v>
      </c>
      <c r="G215" s="101">
        <f>IFERROR(IF(INDEX(Polymarket!$B$25:$B$303,MATCH($A215,Polymarket!$A$25:$A$303,0))=0,"",INDEX(Polymarket!$B$25:$B$303,MATCH($A215,Polymarket!$A$25:$A$303,0))),"")</f>
        <v/>
      </c>
      <c r="H215" s="31">
        <f>IF(AND(ISNUMBER(B215),ISNUMBER(G215)),B215-G215,"")</f>
        <v/>
      </c>
      <c r="I215" s="26" t="inlineStr">
        <is>
          <t>29 Jun</t>
        </is>
      </c>
    </row>
    <row r="216">
      <c r="A216" s="39" t="n">
        <v>46203</v>
      </c>
      <c r="B216" s="16" t="n">
        <v>0.5571</v>
      </c>
      <c r="C216" s="16" t="n">
        <v>0.6071</v>
      </c>
      <c r="D216" s="16" t="n">
        <v>0.5071</v>
      </c>
      <c r="E216" s="16" t="n">
        <v>0.502</v>
      </c>
      <c r="F216" s="16" t="n">
        <v>0.498</v>
      </c>
      <c r="G216" s="100">
        <f>IFERROR(IF(INDEX(Polymarket!$B$25:$B$303,MATCH($A216,Polymarket!$A$25:$A$303,0))=0,"",INDEX(Polymarket!$B$25:$B$303,MATCH($A216,Polymarket!$A$25:$A$303,0))),"")</f>
        <v/>
      </c>
      <c r="H216" s="18">
        <f>IF(AND(ISNUMBER(B216),ISNUMBER(G216)),B216-G216,"")</f>
        <v/>
      </c>
      <c r="I216" s="26" t="inlineStr">
        <is>
          <t>30 Jun</t>
        </is>
      </c>
    </row>
    <row r="217">
      <c r="A217" s="41" t="n">
        <v>46204</v>
      </c>
      <c r="B217" s="28" t="n">
        <v>0.5646</v>
      </c>
      <c r="C217" s="28" t="n">
        <v>0.6146</v>
      </c>
      <c r="D217" s="28" t="n">
        <v>0.5146000000000001</v>
      </c>
      <c r="E217" s="28" t="n">
        <v>0.503</v>
      </c>
      <c r="F217" s="28" t="n">
        <v>0.498</v>
      </c>
      <c r="G217" s="101">
        <f>IFERROR(IF(INDEX(Polymarket!$B$25:$B$303,MATCH($A217,Polymarket!$A$25:$A$303,0))=0,"",INDEX(Polymarket!$B$25:$B$303,MATCH($A217,Polymarket!$A$25:$A$303,0))),"")</f>
        <v/>
      </c>
      <c r="H217" s="31">
        <f>IF(AND(ISNUMBER(B217),ISNUMBER(G217)),B217-G217,"")</f>
        <v/>
      </c>
      <c r="I217" s="26" t="inlineStr">
        <is>
          <t>01 Jul</t>
        </is>
      </c>
    </row>
    <row r="218">
      <c r="A218" s="39" t="n">
        <v>46205</v>
      </c>
      <c r="B218" s="16" t="n">
        <v>0.5484</v>
      </c>
      <c r="C218" s="16" t="n">
        <v>0.5984</v>
      </c>
      <c r="D218" s="16" t="n">
        <v>0.4984</v>
      </c>
      <c r="E218" s="16" t="n">
        <v>0.502</v>
      </c>
      <c r="F218" s="16" t="n">
        <v>0.498</v>
      </c>
      <c r="G218" s="100">
        <f>IFERROR(IF(INDEX(Polymarket!$B$25:$B$303,MATCH($A218,Polymarket!$A$25:$A$303,0))=0,"",INDEX(Polymarket!$B$25:$B$303,MATCH($A218,Polymarket!$A$25:$A$303,0))),"")</f>
        <v/>
      </c>
      <c r="H218" s="18">
        <f>IF(AND(ISNUMBER(B218),ISNUMBER(G218)),B218-G218,"")</f>
        <v/>
      </c>
      <c r="I218" s="26" t="inlineStr">
        <is>
          <t>02 Jul</t>
        </is>
      </c>
    </row>
    <row r="219">
      <c r="A219" s="41" t="n">
        <v>46206</v>
      </c>
      <c r="B219" s="28" t="n">
        <v>0.5533</v>
      </c>
      <c r="C219" s="28" t="n">
        <v>0.6032999999999999</v>
      </c>
      <c r="D219" s="28" t="n">
        <v>0.5033</v>
      </c>
      <c r="E219" s="28" t="n">
        <v>0.502</v>
      </c>
      <c r="F219" s="28" t="n">
        <v>0.498</v>
      </c>
      <c r="G219" s="101">
        <f>IFERROR(IF(INDEX(Polymarket!$B$25:$B$303,MATCH($A219,Polymarket!$A$25:$A$303,0))=0,"",INDEX(Polymarket!$B$25:$B$303,MATCH($A219,Polymarket!$A$25:$A$303,0))),"")</f>
        <v/>
      </c>
      <c r="H219" s="31">
        <f>IF(AND(ISNUMBER(B219),ISNUMBER(G219)),B219-G219,"")</f>
        <v/>
      </c>
      <c r="I219" s="26" t="inlineStr">
        <is>
          <t>03 Jul</t>
        </is>
      </c>
    </row>
    <row r="220">
      <c r="A220" s="39" t="n">
        <v>46207</v>
      </c>
      <c r="B220" s="16" t="n">
        <v>0.5543</v>
      </c>
      <c r="C220" s="16" t="n">
        <v>0.6042999999999999</v>
      </c>
      <c r="D220" s="16" t="n">
        <v>0.5043</v>
      </c>
      <c r="E220" s="16" t="n">
        <v>0.502</v>
      </c>
      <c r="F220" s="16" t="n">
        <v>0.498</v>
      </c>
      <c r="G220" s="100">
        <f>IFERROR(IF(INDEX(Polymarket!$B$25:$B$303,MATCH($A220,Polymarket!$A$25:$A$303,0))=0,"",INDEX(Polymarket!$B$25:$B$303,MATCH($A220,Polymarket!$A$25:$A$303,0))),"")</f>
        <v/>
      </c>
      <c r="H220" s="18">
        <f>IF(AND(ISNUMBER(B220),ISNUMBER(G220)),B220-G220,"")</f>
        <v/>
      </c>
      <c r="I220" s="26" t="inlineStr">
        <is>
          <t>04 Jul</t>
        </is>
      </c>
    </row>
    <row r="221">
      <c r="A221" s="41" t="n">
        <v>46208</v>
      </c>
      <c r="B221" s="28" t="n">
        <v>0.5613</v>
      </c>
      <c r="C221" s="28" t="n">
        <v>0.6113000000000001</v>
      </c>
      <c r="D221" s="28" t="n">
        <v>0.5113</v>
      </c>
      <c r="E221" s="28" t="n">
        <v>0.503</v>
      </c>
      <c r="F221" s="28" t="n">
        <v>0.498</v>
      </c>
      <c r="G221" s="101">
        <f>IFERROR(IF(INDEX(Polymarket!$B$25:$B$303,MATCH($A221,Polymarket!$A$25:$A$303,0))=0,"",INDEX(Polymarket!$B$25:$B$303,MATCH($A221,Polymarket!$A$25:$A$303,0))),"")</f>
        <v/>
      </c>
      <c r="H221" s="31">
        <f>IF(AND(ISNUMBER(B221),ISNUMBER(G221)),B221-G221,"")</f>
        <v/>
      </c>
      <c r="I221" s="26" t="inlineStr">
        <is>
          <t>05 Jul</t>
        </is>
      </c>
    </row>
    <row r="222">
      <c r="A222" s="39" t="n">
        <v>46209</v>
      </c>
      <c r="B222" s="16" t="n">
        <v>0.5543</v>
      </c>
      <c r="C222" s="16" t="n">
        <v>0.6042999999999999</v>
      </c>
      <c r="D222" s="16" t="n">
        <v>0.5043</v>
      </c>
      <c r="E222" s="16" t="n">
        <v>0.502</v>
      </c>
      <c r="F222" s="16" t="n">
        <v>0.498</v>
      </c>
      <c r="G222" s="100">
        <f>IFERROR(IF(INDEX(Polymarket!$B$25:$B$303,MATCH($A222,Polymarket!$A$25:$A$303,0))=0,"",INDEX(Polymarket!$B$25:$B$303,MATCH($A222,Polymarket!$A$25:$A$303,0))),"")</f>
        <v/>
      </c>
      <c r="H222" s="18">
        <f>IF(AND(ISNUMBER(B222),ISNUMBER(G222)),B222-G222,"")</f>
        <v/>
      </c>
      <c r="I222" s="26" t="inlineStr">
        <is>
          <t>06 Jul</t>
        </is>
      </c>
    </row>
    <row r="223">
      <c r="A223" s="41" t="n">
        <v>46210</v>
      </c>
      <c r="B223" s="28" t="n">
        <v>0.5427999999999999</v>
      </c>
      <c r="C223" s="28" t="n">
        <v>0.5928</v>
      </c>
      <c r="D223" s="28" t="n">
        <v>0.4928</v>
      </c>
      <c r="E223" s="28" t="n">
        <v>0.502</v>
      </c>
      <c r="F223" s="28" t="n">
        <v>0.499</v>
      </c>
      <c r="G223" s="101">
        <f>IFERROR(IF(INDEX(Polymarket!$B$25:$B$303,MATCH($A223,Polymarket!$A$25:$A$303,0))=0,"",INDEX(Polymarket!$B$25:$B$303,MATCH($A223,Polymarket!$A$25:$A$303,0))),"")</f>
        <v/>
      </c>
      <c r="H223" s="31">
        <f>IF(AND(ISNUMBER(B223),ISNUMBER(G223)),B223-G223,"")</f>
        <v/>
      </c>
      <c r="I223" s="26" t="inlineStr">
        <is>
          <t>07 Jul</t>
        </is>
      </c>
    </row>
    <row r="224">
      <c r="A224" s="39" t="n">
        <v>46211</v>
      </c>
      <c r="B224" s="16" t="n">
        <v>0.5545</v>
      </c>
      <c r="C224" s="16" t="n">
        <v>0.6045</v>
      </c>
      <c r="D224" s="16" t="n">
        <v>0.5045000000000001</v>
      </c>
      <c r="E224" s="16" t="n">
        <v>0.502</v>
      </c>
      <c r="F224" s="16" t="n">
        <v>0.498</v>
      </c>
      <c r="G224" s="100">
        <f>IFERROR(IF(INDEX(Polymarket!$B$25:$B$303,MATCH($A224,Polymarket!$A$25:$A$303,0))=0,"",INDEX(Polymarket!$B$25:$B$303,MATCH($A224,Polymarket!$A$25:$A$303,0))),"")</f>
        <v/>
      </c>
      <c r="H224" s="18">
        <f>IF(AND(ISNUMBER(B224),ISNUMBER(G224)),B224-G224,"")</f>
        <v/>
      </c>
      <c r="I224" s="26" t="inlineStr">
        <is>
          <t>08 Jul</t>
        </is>
      </c>
    </row>
    <row r="225">
      <c r="A225" s="41" t="n">
        <v>46212</v>
      </c>
      <c r="B225" s="28" t="n">
        <v>0.5498</v>
      </c>
      <c r="C225" s="28" t="n">
        <v>0.5998</v>
      </c>
      <c r="D225" s="28" t="n">
        <v>0.4998</v>
      </c>
      <c r="E225" s="28" t="n">
        <v>0.502</v>
      </c>
      <c r="F225" s="28" t="n">
        <v>0.498</v>
      </c>
      <c r="G225" s="101">
        <f>IFERROR(IF(INDEX(Polymarket!$B$25:$B$303,MATCH($A225,Polymarket!$A$25:$A$303,0))=0,"",INDEX(Polymarket!$B$25:$B$303,MATCH($A225,Polymarket!$A$25:$A$303,0))),"")</f>
        <v/>
      </c>
      <c r="H225" s="31">
        <f>IF(AND(ISNUMBER(B225),ISNUMBER(G225)),B225-G225,"")</f>
        <v/>
      </c>
      <c r="I225" s="26" t="inlineStr">
        <is>
          <t>09 Jul</t>
        </is>
      </c>
    </row>
    <row r="226">
      <c r="A226" s="39" t="n">
        <v>46213</v>
      </c>
      <c r="B226" s="16" t="n">
        <v>0.555</v>
      </c>
      <c r="C226" s="16" t="n">
        <v>0.6050000000000001</v>
      </c>
      <c r="D226" s="16" t="n">
        <v>0.5050000000000001</v>
      </c>
      <c r="E226" s="16" t="n">
        <v>0.502</v>
      </c>
      <c r="F226" s="16" t="n">
        <v>0.498</v>
      </c>
      <c r="G226" s="100">
        <f>IFERROR(IF(INDEX(Polymarket!$B$25:$B$303,MATCH($A226,Polymarket!$A$25:$A$303,0))=0,"",INDEX(Polymarket!$B$25:$B$303,MATCH($A226,Polymarket!$A$25:$A$303,0))),"")</f>
        <v/>
      </c>
      <c r="H226" s="18">
        <f>IF(AND(ISNUMBER(B226),ISNUMBER(G226)),B226-G226,"")</f>
        <v/>
      </c>
      <c r="I226" s="26" t="inlineStr">
        <is>
          <t>10 Jul</t>
        </is>
      </c>
    </row>
    <row r="227">
      <c r="A227" s="41" t="n">
        <v>46214</v>
      </c>
      <c r="B227" s="28" t="n">
        <v>0.5482</v>
      </c>
      <c r="C227" s="28" t="n">
        <v>0.5982</v>
      </c>
      <c r="D227" s="28" t="n">
        <v>0.4982</v>
      </c>
      <c r="E227" s="28" t="n">
        <v>0.502</v>
      </c>
      <c r="F227" s="28" t="n">
        <v>0.499</v>
      </c>
      <c r="G227" s="101">
        <f>IFERROR(IF(INDEX(Polymarket!$B$25:$B$303,MATCH($A227,Polymarket!$A$25:$A$303,0))=0,"",INDEX(Polymarket!$B$25:$B$303,MATCH($A227,Polymarket!$A$25:$A$303,0))),"")</f>
        <v/>
      </c>
      <c r="H227" s="31">
        <f>IF(AND(ISNUMBER(B227),ISNUMBER(G227)),B227-G227,"")</f>
        <v/>
      </c>
      <c r="I227" s="26" t="inlineStr">
        <is>
          <t>11 Jul</t>
        </is>
      </c>
    </row>
    <row r="228">
      <c r="A228" s="39" t="n">
        <v>46215</v>
      </c>
      <c r="B228" s="16" t="n">
        <v>0.5589</v>
      </c>
      <c r="C228" s="16" t="n">
        <v>0.6088999999999999</v>
      </c>
      <c r="D228" s="16" t="n">
        <v>0.5088999999999999</v>
      </c>
      <c r="E228" s="16" t="n">
        <v>0.502</v>
      </c>
      <c r="F228" s="16" t="n">
        <v>0.498</v>
      </c>
      <c r="G228" s="100">
        <f>IFERROR(IF(INDEX(Polymarket!$B$25:$B$303,MATCH($A228,Polymarket!$A$25:$A$303,0))=0,"",INDEX(Polymarket!$B$25:$B$303,MATCH($A228,Polymarket!$A$25:$A$303,0))),"")</f>
        <v/>
      </c>
      <c r="H228" s="18">
        <f>IF(AND(ISNUMBER(B228),ISNUMBER(G228)),B228-G228,"")</f>
        <v/>
      </c>
      <c r="I228" s="26" t="inlineStr">
        <is>
          <t>12 Jul</t>
        </is>
      </c>
    </row>
    <row r="229">
      <c r="A229" s="41" t="n">
        <v>46216</v>
      </c>
      <c r="B229" s="28" t="n">
        <v>0.556</v>
      </c>
      <c r="C229" s="28" t="n">
        <v>0.6060000000000001</v>
      </c>
      <c r="D229" s="28" t="n">
        <v>0.5060000000000001</v>
      </c>
      <c r="E229" s="28" t="n">
        <v>0.502</v>
      </c>
      <c r="F229" s="28" t="n">
        <v>0.498</v>
      </c>
      <c r="G229" s="101">
        <f>IFERROR(IF(INDEX(Polymarket!$B$25:$B$303,MATCH($A229,Polymarket!$A$25:$A$303,0))=0,"",INDEX(Polymarket!$B$25:$B$303,MATCH($A229,Polymarket!$A$25:$A$303,0))),"")</f>
        <v/>
      </c>
      <c r="H229" s="31">
        <f>IF(AND(ISNUMBER(B229),ISNUMBER(G229)),B229-G229,"")</f>
        <v/>
      </c>
      <c r="I229" s="26" t="inlineStr">
        <is>
          <t>13 Jul</t>
        </is>
      </c>
    </row>
    <row r="230">
      <c r="A230" s="39" t="n">
        <v>46217</v>
      </c>
      <c r="B230" s="16" t="n">
        <v>0.5504</v>
      </c>
      <c r="C230" s="16" t="n">
        <v>0.6004</v>
      </c>
      <c r="D230" s="16" t="n">
        <v>0.5004</v>
      </c>
      <c r="E230" s="16" t="n">
        <v>0.502</v>
      </c>
      <c r="F230" s="16" t="n">
        <v>0.498</v>
      </c>
      <c r="G230" s="100">
        <f>IFERROR(IF(INDEX(Polymarket!$B$25:$B$303,MATCH($A230,Polymarket!$A$25:$A$303,0))=0,"",INDEX(Polymarket!$B$25:$B$303,MATCH($A230,Polymarket!$A$25:$A$303,0))),"")</f>
        <v/>
      </c>
      <c r="H230" s="18">
        <f>IF(AND(ISNUMBER(B230),ISNUMBER(G230)),B230-G230,"")</f>
        <v/>
      </c>
      <c r="I230" s="26" t="inlineStr">
        <is>
          <t>14 Jul</t>
        </is>
      </c>
    </row>
    <row r="231">
      <c r="A231" s="41" t="n">
        <v>46218</v>
      </c>
      <c r="B231" s="28" t="n">
        <v>0.5578</v>
      </c>
      <c r="C231" s="28" t="n">
        <v>0.6077999999999999</v>
      </c>
      <c r="D231" s="28" t="n">
        <v>0.5077999999999999</v>
      </c>
      <c r="E231" s="28" t="n">
        <v>0.503</v>
      </c>
      <c r="F231" s="28" t="n">
        <v>0.498</v>
      </c>
      <c r="G231" s="101">
        <f>IFERROR(IF(INDEX(Polymarket!$B$25:$B$303,MATCH($A231,Polymarket!$A$25:$A$303,0))=0,"",INDEX(Polymarket!$B$25:$B$303,MATCH($A231,Polymarket!$A$25:$A$303,0))),"")</f>
        <v/>
      </c>
      <c r="H231" s="31">
        <f>IF(AND(ISNUMBER(B231),ISNUMBER(G231)),B231-G231,"")</f>
        <v/>
      </c>
      <c r="I231" s="26" t="inlineStr">
        <is>
          <t>15 Jul</t>
        </is>
      </c>
    </row>
    <row r="232">
      <c r="A232" s="39" t="n">
        <v>46219</v>
      </c>
      <c r="B232" s="16" t="n">
        <v>0.5581</v>
      </c>
      <c r="C232" s="16" t="n">
        <v>0.6081</v>
      </c>
      <c r="D232" s="16" t="n">
        <v>0.5081</v>
      </c>
      <c r="E232" s="16" t="n">
        <v>0.502</v>
      </c>
      <c r="F232" s="16" t="n">
        <v>0.498</v>
      </c>
      <c r="G232" s="100">
        <f>IFERROR(IF(INDEX(Polymarket!$B$25:$B$303,MATCH($A232,Polymarket!$A$25:$A$303,0))=0,"",INDEX(Polymarket!$B$25:$B$303,MATCH($A232,Polymarket!$A$25:$A$303,0))),"")</f>
        <v/>
      </c>
      <c r="H232" s="18">
        <f>IF(AND(ISNUMBER(B232),ISNUMBER(G232)),B232-G232,"")</f>
        <v/>
      </c>
      <c r="I232" s="26" t="inlineStr">
        <is>
          <t>16 Jul</t>
        </is>
      </c>
    </row>
    <row r="233">
      <c r="A233" s="41" t="n">
        <v>46220</v>
      </c>
      <c r="B233" s="28" t="n">
        <v>0.5567</v>
      </c>
      <c r="C233" s="28" t="n">
        <v>0.6066999999999999</v>
      </c>
      <c r="D233" s="28" t="n">
        <v>0.5066999999999999</v>
      </c>
      <c r="E233" s="28" t="n">
        <v>0.503</v>
      </c>
      <c r="F233" s="28" t="n">
        <v>0.498</v>
      </c>
      <c r="G233" s="101">
        <f>IFERROR(IF(INDEX(Polymarket!$B$25:$B$303,MATCH($A233,Polymarket!$A$25:$A$303,0))=0,"",INDEX(Polymarket!$B$25:$B$303,MATCH($A233,Polymarket!$A$25:$A$303,0))),"")</f>
        <v/>
      </c>
      <c r="H233" s="31">
        <f>IF(AND(ISNUMBER(B233),ISNUMBER(G233)),B233-G233,"")</f>
        <v/>
      </c>
      <c r="I233" s="26" t="inlineStr">
        <is>
          <t>17 Jul</t>
        </is>
      </c>
    </row>
    <row r="234">
      <c r="A234" s="39" t="n">
        <v>46221</v>
      </c>
      <c r="B234" s="16" t="n">
        <v>0.5502</v>
      </c>
      <c r="C234" s="16" t="n">
        <v>0.6002000000000001</v>
      </c>
      <c r="D234" s="16" t="n">
        <v>0.5002</v>
      </c>
      <c r="E234" s="16" t="n">
        <v>0.502</v>
      </c>
      <c r="F234" s="16" t="n">
        <v>0.498</v>
      </c>
      <c r="G234" s="100">
        <f>IFERROR(IF(INDEX(Polymarket!$B$25:$B$303,MATCH($A234,Polymarket!$A$25:$A$303,0))=0,"",INDEX(Polymarket!$B$25:$B$303,MATCH($A234,Polymarket!$A$25:$A$303,0))),"")</f>
        <v/>
      </c>
      <c r="H234" s="18">
        <f>IF(AND(ISNUMBER(B234),ISNUMBER(G234)),B234-G234,"")</f>
        <v/>
      </c>
      <c r="I234" s="26" t="inlineStr">
        <is>
          <t>18 Jul</t>
        </is>
      </c>
    </row>
    <row r="235">
      <c r="A235" s="41" t="n">
        <v>46222</v>
      </c>
      <c r="B235" s="28" t="n">
        <v>0.5493</v>
      </c>
      <c r="C235" s="28" t="n">
        <v>0.5992999999999999</v>
      </c>
      <c r="D235" s="28" t="n">
        <v>0.4993</v>
      </c>
      <c r="E235" s="28" t="n">
        <v>0.502</v>
      </c>
      <c r="F235" s="28" t="n">
        <v>0.499</v>
      </c>
      <c r="G235" s="101">
        <f>IFERROR(IF(INDEX(Polymarket!$B$25:$B$303,MATCH($A235,Polymarket!$A$25:$A$303,0))=0,"",INDEX(Polymarket!$B$25:$B$303,MATCH($A235,Polymarket!$A$25:$A$303,0))),"")</f>
        <v/>
      </c>
      <c r="H235" s="31">
        <f>IF(AND(ISNUMBER(B235),ISNUMBER(G235)),B235-G235,"")</f>
        <v/>
      </c>
      <c r="I235" s="26" t="inlineStr">
        <is>
          <t>19 Jul</t>
        </is>
      </c>
    </row>
    <row r="236">
      <c r="A236" s="39" t="n">
        <v>46223</v>
      </c>
      <c r="B236" s="16" t="n">
        <v>0.5656</v>
      </c>
      <c r="C236" s="16" t="n">
        <v>0.6156</v>
      </c>
      <c r="D236" s="16" t="n">
        <v>0.5156000000000001</v>
      </c>
      <c r="E236" s="16" t="n">
        <v>0.503</v>
      </c>
      <c r="F236" s="16" t="n">
        <v>0.498</v>
      </c>
      <c r="G236" s="100">
        <f>IFERROR(IF(INDEX(Polymarket!$B$25:$B$303,MATCH($A236,Polymarket!$A$25:$A$303,0))=0,"",INDEX(Polymarket!$B$25:$B$303,MATCH($A236,Polymarket!$A$25:$A$303,0))),"")</f>
        <v/>
      </c>
      <c r="H236" s="18">
        <f>IF(AND(ISNUMBER(B236),ISNUMBER(G236)),B236-G236,"")</f>
        <v/>
      </c>
      <c r="I236" s="26" t="inlineStr">
        <is>
          <t>20 Jul</t>
        </is>
      </c>
    </row>
    <row r="237">
      <c r="A237" s="41" t="n">
        <v>46224</v>
      </c>
      <c r="B237" s="28" t="n">
        <v>0.552</v>
      </c>
      <c r="C237" s="28" t="n">
        <v>0.602</v>
      </c>
      <c r="D237" s="28" t="n">
        <v>0.502</v>
      </c>
      <c r="E237" s="28" t="n">
        <v>0.502</v>
      </c>
      <c r="F237" s="28" t="n">
        <v>0.498</v>
      </c>
      <c r="G237" s="101">
        <f>IFERROR(IF(INDEX(Polymarket!$B$25:$B$303,MATCH($A237,Polymarket!$A$25:$A$303,0))=0,"",INDEX(Polymarket!$B$25:$B$303,MATCH($A237,Polymarket!$A$25:$A$303,0))),"")</f>
        <v/>
      </c>
      <c r="H237" s="31">
        <f>IF(AND(ISNUMBER(B237),ISNUMBER(G237)),B237-G237,"")</f>
        <v/>
      </c>
      <c r="I237" s="26" t="inlineStr">
        <is>
          <t>21 Jul</t>
        </is>
      </c>
    </row>
    <row r="238">
      <c r="A238" s="39" t="n">
        <v>46225</v>
      </c>
      <c r="B238" s="16" t="n">
        <v>0.5513</v>
      </c>
      <c r="C238" s="16" t="n">
        <v>0.6013000000000001</v>
      </c>
      <c r="D238" s="16" t="n">
        <v>0.5013000000000001</v>
      </c>
      <c r="E238" s="16" t="n">
        <v>0.502</v>
      </c>
      <c r="F238" s="16" t="n">
        <v>0.498</v>
      </c>
      <c r="G238" s="100">
        <f>IFERROR(IF(INDEX(Polymarket!$B$25:$B$303,MATCH($A238,Polymarket!$A$25:$A$303,0))=0,"",INDEX(Polymarket!$B$25:$B$303,MATCH($A238,Polymarket!$A$25:$A$303,0))),"")</f>
        <v/>
      </c>
      <c r="H238" s="18">
        <f>IF(AND(ISNUMBER(B238),ISNUMBER(G238)),B238-G238,"")</f>
        <v/>
      </c>
      <c r="I238" s="26" t="inlineStr">
        <is>
          <t>22 Jul</t>
        </is>
      </c>
    </row>
    <row r="239">
      <c r="A239" s="41" t="n">
        <v>46226</v>
      </c>
      <c r="B239" s="28" t="n">
        <v>0.5600000000000001</v>
      </c>
      <c r="C239" s="28" t="n">
        <v>0.6100000000000001</v>
      </c>
      <c r="D239" s="28" t="n">
        <v>0.5100000000000001</v>
      </c>
      <c r="E239" s="28" t="n">
        <v>0.502</v>
      </c>
      <c r="F239" s="28" t="n">
        <v>0.498</v>
      </c>
      <c r="G239" s="101">
        <f>IFERROR(IF(INDEX(Polymarket!$B$25:$B$303,MATCH($A239,Polymarket!$A$25:$A$303,0))=0,"",INDEX(Polymarket!$B$25:$B$303,MATCH($A239,Polymarket!$A$25:$A$303,0))),"")</f>
        <v/>
      </c>
      <c r="H239" s="31">
        <f>IF(AND(ISNUMBER(B239),ISNUMBER(G239)),B239-G239,"")</f>
        <v/>
      </c>
      <c r="I239" s="26" t="inlineStr">
        <is>
          <t>23 Jul</t>
        </is>
      </c>
    </row>
    <row r="240">
      <c r="A240" s="39" t="n">
        <v>46227</v>
      </c>
      <c r="B240" s="16" t="n">
        <v>0.5502</v>
      </c>
      <c r="C240" s="16" t="n">
        <v>0.6002000000000001</v>
      </c>
      <c r="D240" s="16" t="n">
        <v>0.5002</v>
      </c>
      <c r="E240" s="16" t="n">
        <v>0.502</v>
      </c>
      <c r="F240" s="16" t="n">
        <v>0.498</v>
      </c>
      <c r="G240" s="100">
        <f>IFERROR(IF(INDEX(Polymarket!$B$25:$B$303,MATCH($A240,Polymarket!$A$25:$A$303,0))=0,"",INDEX(Polymarket!$B$25:$B$303,MATCH($A240,Polymarket!$A$25:$A$303,0))),"")</f>
        <v/>
      </c>
      <c r="H240" s="18">
        <f>IF(AND(ISNUMBER(B240),ISNUMBER(G240)),B240-G240,"")</f>
        <v/>
      </c>
      <c r="I240" s="26" t="inlineStr">
        <is>
          <t>24 Jul</t>
        </is>
      </c>
    </row>
    <row r="241">
      <c r="A241" s="41" t="n">
        <v>46228</v>
      </c>
      <c r="B241" s="28" t="n">
        <v>0.5558999999999999</v>
      </c>
      <c r="C241" s="28" t="n">
        <v>0.6059</v>
      </c>
      <c r="D241" s="28" t="n">
        <v>0.5059</v>
      </c>
      <c r="E241" s="28" t="n">
        <v>0.502</v>
      </c>
      <c r="F241" s="28" t="n">
        <v>0.498</v>
      </c>
      <c r="G241" s="101">
        <f>IFERROR(IF(INDEX(Polymarket!$B$25:$B$303,MATCH($A241,Polymarket!$A$25:$A$303,0))=0,"",INDEX(Polymarket!$B$25:$B$303,MATCH($A241,Polymarket!$A$25:$A$303,0))),"")</f>
        <v/>
      </c>
      <c r="H241" s="31">
        <f>IF(AND(ISNUMBER(B241),ISNUMBER(G241)),B241-G241,"")</f>
        <v/>
      </c>
      <c r="I241" s="26" t="inlineStr">
        <is>
          <t>25 Jul</t>
        </is>
      </c>
    </row>
    <row r="242">
      <c r="A242" s="39" t="n">
        <v>46229</v>
      </c>
      <c r="B242" s="16" t="n">
        <v>0.5585</v>
      </c>
      <c r="C242" s="16" t="n">
        <v>0.6085</v>
      </c>
      <c r="D242" s="16" t="n">
        <v>0.5085000000000001</v>
      </c>
      <c r="E242" s="16" t="n">
        <v>0.502</v>
      </c>
      <c r="F242" s="16" t="n">
        <v>0.498</v>
      </c>
      <c r="G242" s="100">
        <f>IFERROR(IF(INDEX(Polymarket!$B$25:$B$303,MATCH($A242,Polymarket!$A$25:$A$303,0))=0,"",INDEX(Polymarket!$B$25:$B$303,MATCH($A242,Polymarket!$A$25:$A$303,0))),"")</f>
        <v/>
      </c>
      <c r="H242" s="18">
        <f>IF(AND(ISNUMBER(B242),ISNUMBER(G242)),B242-G242,"")</f>
        <v/>
      </c>
      <c r="I242" s="26" t="inlineStr">
        <is>
          <t>26 Jul</t>
        </is>
      </c>
    </row>
    <row r="243">
      <c r="A243" s="41" t="n">
        <v>46230</v>
      </c>
      <c r="B243" s="28" t="n">
        <v>0.5614</v>
      </c>
      <c r="C243" s="28" t="n">
        <v>0.6114000000000001</v>
      </c>
      <c r="D243" s="28" t="n">
        <v>0.5114</v>
      </c>
      <c r="E243" s="28" t="n">
        <v>0.503</v>
      </c>
      <c r="F243" s="28" t="n">
        <v>0.498</v>
      </c>
      <c r="G243" s="101">
        <f>IFERROR(IF(INDEX(Polymarket!$B$25:$B$303,MATCH($A243,Polymarket!$A$25:$A$303,0))=0,"",INDEX(Polymarket!$B$25:$B$303,MATCH($A243,Polymarket!$A$25:$A$303,0))),"")</f>
        <v/>
      </c>
      <c r="H243" s="31">
        <f>IF(AND(ISNUMBER(B243),ISNUMBER(G243)),B243-G243,"")</f>
        <v/>
      </c>
      <c r="I243" s="26" t="inlineStr">
        <is>
          <t>27 Jul</t>
        </is>
      </c>
    </row>
    <row r="244">
      <c r="A244" s="39" t="n">
        <v>46231</v>
      </c>
      <c r="B244" s="16" t="n">
        <v>0.5780999999999999</v>
      </c>
      <c r="C244" s="16" t="n">
        <v>0.6281</v>
      </c>
      <c r="D244" s="16" t="n">
        <v>0.5280999999999999</v>
      </c>
      <c r="E244" s="16" t="n">
        <v>0.503</v>
      </c>
      <c r="F244" s="16" t="n">
        <v>0.498</v>
      </c>
      <c r="G244" s="100">
        <f>IFERROR(IF(INDEX(Polymarket!$B$25:$B$303,MATCH($A244,Polymarket!$A$25:$A$303,0))=0,"",INDEX(Polymarket!$B$25:$B$303,MATCH($A244,Polymarket!$A$25:$A$303,0))),"")</f>
        <v/>
      </c>
      <c r="H244" s="18">
        <f>IF(AND(ISNUMBER(B244),ISNUMBER(G244)),B244-G244,"")</f>
        <v/>
      </c>
      <c r="I244" s="26" t="inlineStr">
        <is>
          <t>28 Jul</t>
        </is>
      </c>
    </row>
    <row r="245">
      <c r="A245" s="41" t="n">
        <v>46232</v>
      </c>
      <c r="B245" s="28" t="n">
        <v>0.5705</v>
      </c>
      <c r="C245" s="28" t="n">
        <v>0.6204999999999999</v>
      </c>
      <c r="D245" s="28" t="n">
        <v>0.5205</v>
      </c>
      <c r="E245" s="28" t="n">
        <v>0.503</v>
      </c>
      <c r="F245" s="28" t="n">
        <v>0.498</v>
      </c>
      <c r="G245" s="101">
        <f>IFERROR(IF(INDEX(Polymarket!$B$25:$B$303,MATCH($A245,Polymarket!$A$25:$A$303,0))=0,"",INDEX(Polymarket!$B$25:$B$303,MATCH($A245,Polymarket!$A$25:$A$303,0))),"")</f>
        <v/>
      </c>
      <c r="H245" s="31">
        <f>IF(AND(ISNUMBER(B245),ISNUMBER(G245)),B245-G245,"")</f>
        <v/>
      </c>
      <c r="I245" s="26" t="inlineStr">
        <is>
          <t>29 Jul</t>
        </is>
      </c>
    </row>
    <row r="246">
      <c r="A246" s="39" t="n">
        <v>46233</v>
      </c>
      <c r="B246" s="16" t="n">
        <v>0.5612</v>
      </c>
      <c r="C246" s="16" t="n">
        <v>0.6112000000000001</v>
      </c>
      <c r="D246" s="16" t="n">
        <v>0.5112000000000001</v>
      </c>
      <c r="E246" s="16" t="n">
        <v>0.502</v>
      </c>
      <c r="F246" s="16" t="n">
        <v>0.498</v>
      </c>
      <c r="G246" s="100">
        <f>IFERROR(IF(INDEX(Polymarket!$B$25:$B$303,MATCH($A246,Polymarket!$A$25:$A$303,0))=0,"",INDEX(Polymarket!$B$25:$B$303,MATCH($A246,Polymarket!$A$25:$A$303,0))),"")</f>
        <v/>
      </c>
      <c r="H246" s="18">
        <f>IF(AND(ISNUMBER(B246),ISNUMBER(G246)),B246-G246,"")</f>
        <v/>
      </c>
      <c r="I246" s="26" t="inlineStr">
        <is>
          <t>30 Jul</t>
        </is>
      </c>
    </row>
    <row r="247">
      <c r="A247" s="41" t="n">
        <v>46234</v>
      </c>
      <c r="B247" s="28" t="n">
        <v>0.5655</v>
      </c>
      <c r="C247" s="28" t="n">
        <v>0.6154999999999999</v>
      </c>
      <c r="D247" s="28" t="n">
        <v>0.5155</v>
      </c>
      <c r="E247" s="28" t="n">
        <v>0.503</v>
      </c>
      <c r="F247" s="28" t="n">
        <v>0.498</v>
      </c>
      <c r="G247" s="101">
        <f>IFERROR(IF(INDEX(Polymarket!$B$25:$B$303,MATCH($A247,Polymarket!$A$25:$A$303,0))=0,"",INDEX(Polymarket!$B$25:$B$303,MATCH($A247,Polymarket!$A$25:$A$303,0))),"")</f>
        <v/>
      </c>
      <c r="H247" s="31">
        <f>IF(AND(ISNUMBER(B247),ISNUMBER(G247)),B247-G247,"")</f>
        <v/>
      </c>
      <c r="I247" s="26" t="inlineStr">
        <is>
          <t>31 Jul</t>
        </is>
      </c>
    </row>
    <row r="248">
      <c r="A248" s="39" t="n">
        <v>46235</v>
      </c>
      <c r="B248" s="16" t="n">
        <v>0.5714</v>
      </c>
      <c r="C248" s="16" t="n">
        <v>0.6214</v>
      </c>
      <c r="D248" s="16" t="n">
        <v>0.5214</v>
      </c>
      <c r="E248" s="16" t="n">
        <v>0.503</v>
      </c>
      <c r="F248" s="16" t="n">
        <v>0.498</v>
      </c>
      <c r="G248" s="100">
        <f>IFERROR(IF(INDEX(Polymarket!$B$25:$B$303,MATCH($A248,Polymarket!$A$25:$A$303,0))=0,"",INDEX(Polymarket!$B$25:$B$303,MATCH($A248,Polymarket!$A$25:$A$303,0))),"")</f>
        <v/>
      </c>
      <c r="H248" s="18">
        <f>IF(AND(ISNUMBER(B248),ISNUMBER(G248)),B248-G248,"")</f>
        <v/>
      </c>
      <c r="I248" s="26" t="inlineStr">
        <is>
          <t>01 Aug</t>
        </is>
      </c>
    </row>
    <row r="249">
      <c r="A249" s="41" t="n">
        <v>46236</v>
      </c>
      <c r="B249" s="28" t="n">
        <v>0.5624</v>
      </c>
      <c r="C249" s="28" t="n">
        <v>0.6124000000000001</v>
      </c>
      <c r="D249" s="28" t="n">
        <v>0.5124</v>
      </c>
      <c r="E249" s="28" t="n">
        <v>0.503</v>
      </c>
      <c r="F249" s="28" t="n">
        <v>0.498</v>
      </c>
      <c r="G249" s="101">
        <f>IFERROR(IF(INDEX(Polymarket!$B$25:$B$303,MATCH($A249,Polymarket!$A$25:$A$303,0))=0,"",INDEX(Polymarket!$B$25:$B$303,MATCH($A249,Polymarket!$A$25:$A$303,0))),"")</f>
        <v/>
      </c>
      <c r="H249" s="31">
        <f>IF(AND(ISNUMBER(B249),ISNUMBER(G249)),B249-G249,"")</f>
        <v/>
      </c>
      <c r="I249" s="26" t="inlineStr">
        <is>
          <t>02 Aug</t>
        </is>
      </c>
    </row>
    <row r="250">
      <c r="A250" s="39" t="n">
        <v>46237</v>
      </c>
      <c r="B250" s="16" t="n">
        <v>0.5682</v>
      </c>
      <c r="C250" s="16" t="n">
        <v>0.6182000000000001</v>
      </c>
      <c r="D250" s="16" t="n">
        <v>0.5182000000000001</v>
      </c>
      <c r="E250" s="16" t="n">
        <v>0.503</v>
      </c>
      <c r="F250" s="16" t="n">
        <v>0.498</v>
      </c>
      <c r="G250" s="100">
        <f>IFERROR(IF(INDEX(Polymarket!$B$25:$B$303,MATCH($A250,Polymarket!$A$25:$A$303,0))=0,"",INDEX(Polymarket!$B$25:$B$303,MATCH($A250,Polymarket!$A$25:$A$303,0))),"")</f>
        <v/>
      </c>
      <c r="H250" s="18">
        <f>IF(AND(ISNUMBER(B250),ISNUMBER(G250)),B250-G250,"")</f>
        <v/>
      </c>
      <c r="I250" s="26" t="inlineStr">
        <is>
          <t>03 Aug</t>
        </is>
      </c>
    </row>
    <row r="251">
      <c r="A251" s="41" t="n">
        <v>46238</v>
      </c>
      <c r="B251" s="28" t="n">
        <v>0.5654</v>
      </c>
      <c r="C251" s="28" t="n">
        <v>0.6153999999999999</v>
      </c>
      <c r="D251" s="28" t="n">
        <v>0.5154</v>
      </c>
      <c r="E251" s="28" t="n">
        <v>0.503</v>
      </c>
      <c r="F251" s="28" t="n">
        <v>0.498</v>
      </c>
      <c r="G251" s="101">
        <f>IFERROR(IF(INDEX(Polymarket!$B$25:$B$303,MATCH($A251,Polymarket!$A$25:$A$303,0))=0,"",INDEX(Polymarket!$B$25:$B$303,MATCH($A251,Polymarket!$A$25:$A$303,0))),"")</f>
        <v/>
      </c>
      <c r="H251" s="31">
        <f>IF(AND(ISNUMBER(B251),ISNUMBER(G251)),B251-G251,"")</f>
        <v/>
      </c>
      <c r="I251" s="26" t="inlineStr">
        <is>
          <t>04 Aug</t>
        </is>
      </c>
    </row>
    <row r="252">
      <c r="A252" s="39" t="n">
        <v>46239</v>
      </c>
      <c r="B252" s="16" t="n">
        <v>0.573</v>
      </c>
      <c r="C252" s="16" t="n">
        <v>0.623</v>
      </c>
      <c r="D252" s="16" t="n">
        <v>0.523</v>
      </c>
      <c r="E252" s="16" t="n">
        <v>0.503</v>
      </c>
      <c r="F252" s="16" t="n">
        <v>0.498</v>
      </c>
      <c r="G252" s="100">
        <f>IFERROR(IF(INDEX(Polymarket!$B$25:$B$303,MATCH($A252,Polymarket!$A$25:$A$303,0))=0,"",INDEX(Polymarket!$B$25:$B$303,MATCH($A252,Polymarket!$A$25:$A$303,0))),"")</f>
        <v/>
      </c>
      <c r="H252" s="18">
        <f>IF(AND(ISNUMBER(B252),ISNUMBER(G252)),B252-G252,"")</f>
        <v/>
      </c>
      <c r="I252" s="26" t="inlineStr">
        <is>
          <t>05 Aug</t>
        </is>
      </c>
    </row>
    <row r="253">
      <c r="A253" s="41" t="n">
        <v>46240</v>
      </c>
      <c r="B253" s="28" t="n">
        <v>0.5681</v>
      </c>
      <c r="C253" s="28" t="n">
        <v>0.6181</v>
      </c>
      <c r="D253" s="28" t="n">
        <v>0.5181</v>
      </c>
      <c r="E253" s="28" t="n">
        <v>0.503</v>
      </c>
      <c r="F253" s="28" t="n">
        <v>0.498</v>
      </c>
      <c r="G253" s="101">
        <f>IFERROR(IF(INDEX(Polymarket!$B$25:$B$303,MATCH($A253,Polymarket!$A$25:$A$303,0))=0,"",INDEX(Polymarket!$B$25:$B$303,MATCH($A253,Polymarket!$A$25:$A$303,0))),"")</f>
        <v/>
      </c>
      <c r="H253" s="31">
        <f>IF(AND(ISNUMBER(B253),ISNUMBER(G253)),B253-G253,"")</f>
        <v/>
      </c>
      <c r="I253" s="26" t="inlineStr">
        <is>
          <t>06 Aug</t>
        </is>
      </c>
    </row>
    <row r="254">
      <c r="A254" s="39" t="n">
        <v>46241</v>
      </c>
      <c r="B254" s="16" t="n">
        <v>0.572</v>
      </c>
      <c r="C254" s="16" t="n">
        <v>0.622</v>
      </c>
      <c r="D254" s="16" t="n">
        <v>0.5219999999999999</v>
      </c>
      <c r="E254" s="16" t="n">
        <v>0.503</v>
      </c>
      <c r="F254" s="16" t="n">
        <v>0.498</v>
      </c>
      <c r="G254" s="100">
        <f>IFERROR(IF(INDEX(Polymarket!$B$25:$B$303,MATCH($A254,Polymarket!$A$25:$A$303,0))=0,"",INDEX(Polymarket!$B$25:$B$303,MATCH($A254,Polymarket!$A$25:$A$303,0))),"")</f>
        <v/>
      </c>
      <c r="H254" s="18">
        <f>IF(AND(ISNUMBER(B254),ISNUMBER(G254)),B254-G254,"")</f>
        <v/>
      </c>
      <c r="I254" s="26" t="inlineStr">
        <is>
          <t>07 Aug</t>
        </is>
      </c>
    </row>
    <row r="255">
      <c r="A255" s="41" t="n">
        <v>46242</v>
      </c>
      <c r="B255" s="28" t="n">
        <v>0.5604</v>
      </c>
      <c r="C255" s="28" t="n">
        <v>0.6103999999999999</v>
      </c>
      <c r="D255" s="28" t="n">
        <v>0.5104</v>
      </c>
      <c r="E255" s="28" t="n">
        <v>0.503</v>
      </c>
      <c r="F255" s="28" t="n">
        <v>0.498</v>
      </c>
      <c r="G255" s="101">
        <f>IFERROR(IF(INDEX(Polymarket!$B$25:$B$303,MATCH($A255,Polymarket!$A$25:$A$303,0))=0,"",INDEX(Polymarket!$B$25:$B$303,MATCH($A255,Polymarket!$A$25:$A$303,0))),"")</f>
        <v/>
      </c>
      <c r="H255" s="31">
        <f>IF(AND(ISNUMBER(B255),ISNUMBER(G255)),B255-G255,"")</f>
        <v/>
      </c>
      <c r="I255" s="26" t="inlineStr">
        <is>
          <t>08 Aug</t>
        </is>
      </c>
    </row>
    <row r="256">
      <c r="A256" s="39" t="n">
        <v>46243</v>
      </c>
      <c r="B256" s="16" t="n">
        <v>0.5580000000000001</v>
      </c>
      <c r="C256" s="16" t="n">
        <v>0.6080000000000001</v>
      </c>
      <c r="D256" s="16" t="n">
        <v>0.508</v>
      </c>
      <c r="E256" s="16" t="n">
        <v>0.502</v>
      </c>
      <c r="F256" s="16" t="n">
        <v>0.498</v>
      </c>
      <c r="G256" s="100">
        <f>IFERROR(IF(INDEX(Polymarket!$B$25:$B$303,MATCH($A256,Polymarket!$A$25:$A$303,0))=0,"",INDEX(Polymarket!$B$25:$B$303,MATCH($A256,Polymarket!$A$25:$A$303,0))),"")</f>
        <v/>
      </c>
      <c r="H256" s="18">
        <f>IF(AND(ISNUMBER(B256),ISNUMBER(G256)),B256-G256,"")</f>
        <v/>
      </c>
      <c r="I256" s="26" t="inlineStr">
        <is>
          <t>09 Aug</t>
        </is>
      </c>
    </row>
    <row r="257">
      <c r="A257" s="41" t="n">
        <v>46244</v>
      </c>
      <c r="B257" s="28" t="n">
        <v>0.5686</v>
      </c>
      <c r="C257" s="28" t="n">
        <v>0.6186</v>
      </c>
      <c r="D257" s="28" t="n">
        <v>0.5185999999999999</v>
      </c>
      <c r="E257" s="28" t="n">
        <v>0.503</v>
      </c>
      <c r="F257" s="28" t="n">
        <v>0.498</v>
      </c>
      <c r="G257" s="101">
        <f>IFERROR(IF(INDEX(Polymarket!$B$25:$B$303,MATCH($A257,Polymarket!$A$25:$A$303,0))=0,"",INDEX(Polymarket!$B$25:$B$303,MATCH($A257,Polymarket!$A$25:$A$303,0))),"")</f>
        <v/>
      </c>
      <c r="H257" s="31">
        <f>IF(AND(ISNUMBER(B257),ISNUMBER(G257)),B257-G257,"")</f>
        <v/>
      </c>
      <c r="I257" s="26" t="inlineStr">
        <is>
          <t>10 Aug</t>
        </is>
      </c>
    </row>
    <row r="258">
      <c r="A258" s="39" t="n">
        <v>46245</v>
      </c>
      <c r="B258" s="16" t="n">
        <v>0.5698</v>
      </c>
      <c r="C258" s="16" t="n">
        <v>0.6198</v>
      </c>
      <c r="D258" s="16" t="n">
        <v>0.5197999999999999</v>
      </c>
      <c r="E258" s="16" t="n">
        <v>0.503</v>
      </c>
      <c r="F258" s="16" t="n">
        <v>0.498</v>
      </c>
      <c r="G258" s="100">
        <f>IFERROR(IF(INDEX(Polymarket!$B$25:$B$303,MATCH($A258,Polymarket!$A$25:$A$303,0))=0,"",INDEX(Polymarket!$B$25:$B$303,MATCH($A258,Polymarket!$A$25:$A$303,0))),"")</f>
        <v/>
      </c>
      <c r="H258" s="18">
        <f>IF(AND(ISNUMBER(B258),ISNUMBER(G258)),B258-G258,"")</f>
        <v/>
      </c>
      <c r="I258" s="26" t="inlineStr">
        <is>
          <t>11 Aug</t>
        </is>
      </c>
    </row>
    <row r="259">
      <c r="A259" s="41" t="n">
        <v>46246</v>
      </c>
      <c r="B259" s="28" t="n">
        <v>0.5626</v>
      </c>
      <c r="C259" s="28" t="n">
        <v>0.6126</v>
      </c>
      <c r="D259" s="28" t="n">
        <v>0.5125999999999999</v>
      </c>
      <c r="E259" s="28" t="n">
        <v>0.502</v>
      </c>
      <c r="F259" s="28" t="n">
        <v>0.498</v>
      </c>
      <c r="G259" s="101">
        <f>IFERROR(IF(INDEX(Polymarket!$B$25:$B$303,MATCH($A259,Polymarket!$A$25:$A$303,0))=0,"",INDEX(Polymarket!$B$25:$B$303,MATCH($A259,Polymarket!$A$25:$A$303,0))),"")</f>
        <v/>
      </c>
      <c r="H259" s="31">
        <f>IF(AND(ISNUMBER(B259),ISNUMBER(G259)),B259-G259,"")</f>
        <v/>
      </c>
      <c r="I259" s="26" t="inlineStr">
        <is>
          <t>12 Aug</t>
        </is>
      </c>
    </row>
    <row r="260">
      <c r="A260" s="39" t="n">
        <v>46247</v>
      </c>
      <c r="B260" s="16" t="n">
        <v>0.5671</v>
      </c>
      <c r="C260" s="16" t="n">
        <v>0.6171000000000001</v>
      </c>
      <c r="D260" s="16" t="n">
        <v>0.5171000000000001</v>
      </c>
      <c r="E260" s="16" t="n">
        <v>0.503</v>
      </c>
      <c r="F260" s="16" t="n">
        <v>0.498</v>
      </c>
      <c r="G260" s="100">
        <f>IFERROR(IF(INDEX(Polymarket!$B$25:$B$303,MATCH($A260,Polymarket!$A$25:$A$303,0))=0,"",INDEX(Polymarket!$B$25:$B$303,MATCH($A260,Polymarket!$A$25:$A$303,0))),"")</f>
        <v/>
      </c>
      <c r="H260" s="18">
        <f>IF(AND(ISNUMBER(B260),ISNUMBER(G260)),B260-G260,"")</f>
        <v/>
      </c>
      <c r="I260" s="26" t="inlineStr">
        <is>
          <t>13 Aug</t>
        </is>
      </c>
    </row>
    <row r="261">
      <c r="A261" s="41" t="n">
        <v>46248</v>
      </c>
      <c r="B261" s="28" t="n">
        <v>0.57</v>
      </c>
      <c r="C261" s="28" t="n">
        <v>0.6199999999999999</v>
      </c>
      <c r="D261" s="28" t="n">
        <v>0.5199999999999999</v>
      </c>
      <c r="E261" s="28" t="n">
        <v>0.503</v>
      </c>
      <c r="F261" s="28" t="n">
        <v>0.498</v>
      </c>
      <c r="G261" s="101">
        <f>IFERROR(IF(INDEX(Polymarket!$B$25:$B$303,MATCH($A261,Polymarket!$A$25:$A$303,0))=0,"",INDEX(Polymarket!$B$25:$B$303,MATCH($A261,Polymarket!$A$25:$A$303,0))),"")</f>
        <v/>
      </c>
      <c r="H261" s="31">
        <f>IF(AND(ISNUMBER(B261),ISNUMBER(G261)),B261-G261,"")</f>
        <v/>
      </c>
      <c r="I261" s="26" t="inlineStr">
        <is>
          <t>14 Aug</t>
        </is>
      </c>
    </row>
    <row r="262">
      <c r="A262" s="39" t="n">
        <v>46249</v>
      </c>
      <c r="B262" s="16" t="n">
        <v>0.5693</v>
      </c>
      <c r="C262" s="16" t="n">
        <v>0.6193</v>
      </c>
      <c r="D262" s="16" t="n">
        <v>0.5193</v>
      </c>
      <c r="E262" s="16" t="n">
        <v>0.503</v>
      </c>
      <c r="F262" s="16" t="n">
        <v>0.498</v>
      </c>
      <c r="G262" s="100">
        <f>IFERROR(IF(INDEX(Polymarket!$B$25:$B$303,MATCH($A262,Polymarket!$A$25:$A$303,0))=0,"",INDEX(Polymarket!$B$25:$B$303,MATCH($A262,Polymarket!$A$25:$A$303,0))),"")</f>
        <v/>
      </c>
      <c r="H262" s="18">
        <f>IF(AND(ISNUMBER(B262),ISNUMBER(G262)),B262-G262,"")</f>
        <v/>
      </c>
      <c r="I262" s="26" t="inlineStr">
        <is>
          <t>15 Aug</t>
        </is>
      </c>
    </row>
    <row r="263">
      <c r="A263" s="41" t="n">
        <v>46250</v>
      </c>
      <c r="B263" s="28" t="n">
        <v>0.5741000000000001</v>
      </c>
      <c r="C263" s="28" t="n">
        <v>0.6241</v>
      </c>
      <c r="D263" s="28" t="n">
        <v>0.5241</v>
      </c>
      <c r="E263" s="28" t="n">
        <v>0.503</v>
      </c>
      <c r="F263" s="28" t="n">
        <v>0.498</v>
      </c>
      <c r="G263" s="101">
        <f>IFERROR(IF(INDEX(Polymarket!$B$25:$B$303,MATCH($A263,Polymarket!$A$25:$A$303,0))=0,"",INDEX(Polymarket!$B$25:$B$303,MATCH($A263,Polymarket!$A$25:$A$303,0))),"")</f>
        <v/>
      </c>
      <c r="H263" s="31">
        <f>IF(AND(ISNUMBER(B263),ISNUMBER(G263)),B263-G263,"")</f>
        <v/>
      </c>
      <c r="I263" s="26" t="inlineStr">
        <is>
          <t>16 Aug</t>
        </is>
      </c>
    </row>
    <row r="264">
      <c r="A264" s="39" t="n">
        <v>46251</v>
      </c>
      <c r="B264" s="16" t="n">
        <v>0.5736</v>
      </c>
      <c r="C264" s="16" t="n">
        <v>0.6236</v>
      </c>
      <c r="D264" s="16" t="n">
        <v>0.5236</v>
      </c>
      <c r="E264" s="16" t="n">
        <v>0.503</v>
      </c>
      <c r="F264" s="16" t="n">
        <v>0.498</v>
      </c>
      <c r="G264" s="100">
        <f>IFERROR(IF(INDEX(Polymarket!$B$25:$B$303,MATCH($A264,Polymarket!$A$25:$A$303,0))=0,"",INDEX(Polymarket!$B$25:$B$303,MATCH($A264,Polymarket!$A$25:$A$303,0))),"")</f>
        <v/>
      </c>
      <c r="H264" s="18">
        <f>IF(AND(ISNUMBER(B264),ISNUMBER(G264)),B264-G264,"")</f>
        <v/>
      </c>
      <c r="I264" s="26" t="inlineStr">
        <is>
          <t>17 Aug</t>
        </is>
      </c>
    </row>
    <row r="265">
      <c r="A265" s="41" t="n">
        <v>46252</v>
      </c>
      <c r="B265" s="28" t="n">
        <v>0.5733</v>
      </c>
      <c r="C265" s="28" t="n">
        <v>0.6233000000000001</v>
      </c>
      <c r="D265" s="28" t="n">
        <v>0.5233000000000001</v>
      </c>
      <c r="E265" s="28" t="n">
        <v>0.503</v>
      </c>
      <c r="F265" s="28" t="n">
        <v>0.498</v>
      </c>
      <c r="G265" s="101">
        <f>IFERROR(IF(INDEX(Polymarket!$B$25:$B$303,MATCH($A265,Polymarket!$A$25:$A$303,0))=0,"",INDEX(Polymarket!$B$25:$B$303,MATCH($A265,Polymarket!$A$25:$A$303,0))),"")</f>
        <v/>
      </c>
      <c r="H265" s="31">
        <f>IF(AND(ISNUMBER(B265),ISNUMBER(G265)),B265-G265,"")</f>
        <v/>
      </c>
      <c r="I265" s="26" t="inlineStr">
        <is>
          <t>18 Aug</t>
        </is>
      </c>
    </row>
    <row r="266">
      <c r="A266" s="39" t="n">
        <v>46253</v>
      </c>
      <c r="B266" s="16" t="n">
        <v>0.5953000000000001</v>
      </c>
      <c r="C266" s="16" t="n">
        <v>0.6453</v>
      </c>
      <c r="D266" s="16" t="n">
        <v>0.5453000000000001</v>
      </c>
      <c r="E266" s="16" t="n">
        <v>0.503</v>
      </c>
      <c r="F266" s="16" t="n">
        <v>0.4970000000000001</v>
      </c>
      <c r="G266" s="100">
        <f>IFERROR(IF(INDEX(Polymarket!$B$25:$B$303,MATCH($A266,Polymarket!$A$25:$A$303,0))=0,"",INDEX(Polymarket!$B$25:$B$303,MATCH($A266,Polymarket!$A$25:$A$303,0))),"")</f>
        <v/>
      </c>
      <c r="H266" s="18">
        <f>IF(AND(ISNUMBER(B266),ISNUMBER(G266)),B266-G266,"")</f>
        <v/>
      </c>
      <c r="I266" s="26" t="inlineStr">
        <is>
          <t>19 Aug</t>
        </is>
      </c>
    </row>
    <row r="267" ht="26" customHeight="1">
      <c r="A267" s="98" t="inlineStr">
        <is>
          <t>Series runs 2026-01-01 to 2026-08-19. NOTE: PollsMax's own page claims a later 'last updated' time than the final plotted point — their chart data stops at 2026-08-19, so the headline figures above may be fresher than this trend.</t>
        </is>
      </c>
    </row>
    <row r="269">
      <c r="A269" s="3" t="inlineStr">
        <is>
          <t>THIRD-PARTY ODDS TRACKERS — treat as a data-quality check, not a price</t>
        </is>
      </c>
      <c r="B269" s="4" t="n"/>
      <c r="C269" s="4" t="n"/>
      <c r="D269" s="4" t="n"/>
      <c r="E269" s="4" t="n"/>
      <c r="F269" s="4" t="n"/>
      <c r="G269" s="4" t="n"/>
      <c r="H269" s="4" t="n"/>
      <c r="I269" s="4" t="n"/>
    </row>
    <row r="270" ht="30" customHeight="1">
      <c r="A270" s="5" t="inlineStr">
        <is>
          <t>Tracker</t>
        </is>
      </c>
      <c r="B270" s="5" t="inlineStr">
        <is>
          <t>Their P(Dem)</t>
        </is>
      </c>
      <c r="C270" s="5" t="inlineStr">
        <is>
          <t>Venue claimed</t>
        </is>
      </c>
      <c r="D270" s="5" t="inlineStr">
        <is>
          <t>Our direct read</t>
        </is>
      </c>
      <c r="E270" s="5" t="inlineStr">
        <is>
          <t>Gap vs ours</t>
        </is>
      </c>
      <c r="F270" s="5" t="inlineStr">
        <is>
          <t>As of</t>
        </is>
      </c>
      <c r="G270" s="5" t="inlineStr"/>
      <c r="H270" s="5" t="inlineStr"/>
      <c r="I270" s="5" t="inlineStr"/>
    </row>
    <row r="271">
      <c r="A271" s="6" t="inlineStr">
        <is>
          <t>City &amp; State PA</t>
        </is>
      </c>
      <c r="B271" s="16" t="n">
        <v>0.72</v>
      </c>
      <c r="C271" s="26" t="inlineStr">
        <is>
          <t>Kalshi</t>
        </is>
      </c>
      <c r="D271" s="100">
        <f>Kalshi!E17</f>
        <v/>
      </c>
      <c r="E271" s="102">
        <f>IFERROR(B271-D271,"")</f>
        <v/>
      </c>
      <c r="F271" s="26" t="inlineStr">
        <is>
          <t>not stated</t>
        </is>
      </c>
    </row>
    <row r="272" ht="26" customHeight="1">
      <c r="A272" s="98" t="inlineStr">
        <is>
          <t>• The Republican candidate, Rep. Ryan Mackenzie, is never named anywhere on cityandstatepa.com's prediction-markets section (race page, candidates index, or candidate profile pages). The PA-07 'Party to Win' card labels his side simply 'Republican' with no photo.</t>
        </is>
      </c>
    </row>
    <row r="273" ht="65" customHeight="1">
      <c r="A273" s="98" t="inlineStr">
        <is>
          <t>• Two different Brooks probabilities appear on the same race page and are inconsistent with each other: the race-level 'General Election · PARTY TO WIN' gauge shows Bob Brooks (D) 72% vs. generic Republican 28%; the 'Pennsylvania Congressional Candidates' card directly below it shows Bob Brooks 'MARKET ODDS' at 78%. The page does not explain the discrepancy (e.g., whether one reflects a party-control market and the other a candidate-specific market). market_odds.dem_prob/rep_prob above use the race-level 72/28 'Party to Win' figures; the 78% candidate-card figure is flagged here rather than silently discarded.</t>
        </is>
      </c>
    </row>
    <row r="274">
      <c r="A274" s="98" t="inlineStr">
        <is>
          <t>• No 'as of' or last-updated timestamp is shown for the PA-07 odds specifically; only a generic sitewide claim of 30-minute refresh cadence.</t>
        </is>
      </c>
    </row>
    <row r="275">
      <c r="A275" s="98" t="inlineStr">
        <is>
          <t>• No historical odds chart, sparkline, or time series is published for this race (or any race) on the site.</t>
        </is>
      </c>
    </row>
    <row r="276" ht="26" customHeight="1">
      <c r="A276" s="98" t="inlineStr">
        <is>
          <t>• No PA-07-specific polling exists anywhere on the site. The dedicated /prediction-markets/polls page contains only Pennsylvania Governor race polls (Shapiro vs. Garrity); it has zero mentions of Brooks, Mackenzie, or PA-07.</t>
        </is>
      </c>
    </row>
    <row r="277">
      <c r="A277" s="98" t="inlineStr">
        <is>
          <t>• No formal race rating/handicapping (e.g., Cook Political Report, Sabato's Crystal Ball, Inside Elections) is cited for PA-07 anywhere on the site.</t>
        </is>
      </c>
    </row>
    <row r="278" ht="26" customHeight="1">
      <c r="A278" s="103" t="inlineStr">
        <is>
          <t>⚠ The City &amp; State prediction-markets section is labelled SPONSORED CONTENT — its publisher states editorial staff were not involved, and its calls to action are affiliate trading links. Nothing here is used as an input to any figure in this workbook; it is logged so the discrepancy is visible.</t>
        </is>
      </c>
    </row>
  </sheetData>
  <mergeCells count="29">
    <mergeCell ref="B14:D14"/>
    <mergeCell ref="B25:I25"/>
    <mergeCell ref="A277:I277"/>
    <mergeCell ref="B17:D17"/>
    <mergeCell ref="B13:D13"/>
    <mergeCell ref="A273:I273"/>
    <mergeCell ref="A267:I267"/>
    <mergeCell ref="B31:I31"/>
    <mergeCell ref="B27:I27"/>
    <mergeCell ref="A272:I272"/>
    <mergeCell ref="B19:D19"/>
    <mergeCell ref="A278:I278"/>
    <mergeCell ref="A32:I32"/>
    <mergeCell ref="A22:I22"/>
    <mergeCell ref="B15:D15"/>
    <mergeCell ref="B20:D20"/>
    <mergeCell ref="A274:I274"/>
    <mergeCell ref="B29:I29"/>
    <mergeCell ref="A10:I10"/>
    <mergeCell ref="B28:I28"/>
    <mergeCell ref="A276:I276"/>
    <mergeCell ref="B16:D16"/>
    <mergeCell ref="B6:C6"/>
    <mergeCell ref="A275:I275"/>
    <mergeCell ref="B30:I30"/>
    <mergeCell ref="B5:C5"/>
    <mergeCell ref="B18:D18"/>
    <mergeCell ref="B21:D21"/>
    <mergeCell ref="B26:I26"/>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70"/>
  <sheetViews>
    <sheetView showGridLines="0" workbookViewId="0">
      <selection activeCell="A1" sqref="A1"/>
    </sheetView>
  </sheetViews>
  <sheetFormatPr baseColWidth="8" defaultRowHeight="15"/>
  <cols>
    <col width="26" customWidth="1" min="1" max="1"/>
    <col width="18" customWidth="1" min="2" max="2"/>
    <col width="16" customWidth="1" min="3" max="3"/>
    <col width="16" customWidth="1" min="4" max="4"/>
    <col width="16" customWidth="1" min="5" max="5"/>
    <col width="16" customWidth="1" min="6" max="6"/>
    <col width="16" customWidth="1" min="7" max="7"/>
    <col width="18" customWidth="1" min="8" max="8"/>
    <col width="14" customWidth="1" min="9" max="9"/>
  </cols>
  <sheetData>
    <row r="1">
      <c r="A1" s="1" t="inlineStr">
        <is>
          <t>Campaign Finance — PA-07 (FEC)</t>
        </is>
      </c>
    </row>
    <row r="2">
      <c r="A2" s="2" t="inlineStr">
        <is>
          <t>Money raised and spent in the 2026 PA-07 race, from the OpenFEC API. This is finance, not polling. Compiled 2026-10-12 02:24 UTC.</t>
        </is>
      </c>
    </row>
    <row r="4">
      <c r="A4" s="3" t="inlineStr">
        <is>
          <t>COVERAGE</t>
        </is>
      </c>
      <c r="B4" s="4" t="n"/>
      <c r="C4" s="4" t="n"/>
      <c r="D4" s="4" t="n"/>
      <c r="E4" s="4" t="n"/>
      <c r="F4" s="4" t="n"/>
      <c r="G4" s="4" t="n"/>
      <c r="H4" s="4" t="n"/>
      <c r="I4" s="4" t="n"/>
    </row>
    <row r="5">
      <c r="A5" s="6" t="inlineStr">
        <is>
          <t>Figures current through</t>
        </is>
      </c>
      <c r="B5" s="104" t="inlineStr">
        <is>
          <t>2026-06-30</t>
        </is>
      </c>
      <c r="C5" s="66" t="n"/>
      <c r="D5" s="67" t="n"/>
    </row>
    <row r="6">
      <c r="A6" s="6" t="inlineStr">
        <is>
          <t>Retrieved</t>
        </is>
      </c>
      <c r="B6" s="26" t="inlineStr">
        <is>
          <t>2026-08-30T16:22:43Z</t>
        </is>
      </c>
      <c r="C6" s="66" t="n"/>
      <c r="D6" s="67" t="n"/>
    </row>
    <row r="8">
      <c r="A8" s="3" t="inlineStr">
        <is>
          <t>CANDIDATE TOTALS — 2026 cycle</t>
        </is>
      </c>
      <c r="B8" s="4" t="n"/>
      <c r="C8" s="4" t="n"/>
      <c r="D8" s="4" t="n"/>
      <c r="E8" s="4" t="n"/>
      <c r="F8" s="4" t="n"/>
      <c r="G8" s="4" t="n"/>
      <c r="H8" s="4" t="n"/>
      <c r="I8" s="4" t="n"/>
    </row>
    <row r="9" ht="30" customHeight="1">
      <c r="A9" s="5" t="inlineStr">
        <is>
          <t>Candidate</t>
        </is>
      </c>
      <c r="B9" s="5" t="inlineStr">
        <is>
          <t>Party</t>
        </is>
      </c>
      <c r="C9" s="5" t="inlineStr">
        <is>
          <t>Receipts</t>
        </is>
      </c>
      <c r="D9" s="5" t="inlineStr">
        <is>
          <t>Disbursements</t>
        </is>
      </c>
      <c r="E9" s="5" t="inlineStr">
        <is>
          <t>Cash on Hand</t>
        </is>
      </c>
      <c r="F9" s="5" t="inlineStr">
        <is>
          <t>Individual</t>
        </is>
      </c>
      <c r="G9" s="5" t="inlineStr">
        <is>
          <t>PAC</t>
        </is>
      </c>
      <c r="H9" s="5" t="inlineStr">
        <is>
          <t>Filed?</t>
        </is>
      </c>
      <c r="I9" s="5" t="inlineStr">
        <is>
          <t>Through</t>
        </is>
      </c>
    </row>
    <row r="10">
      <c r="A10" s="15" t="inlineStr">
        <is>
          <t>Bob Brooks</t>
        </is>
      </c>
      <c r="B10" s="26" t="inlineStr">
        <is>
          <t>DEM</t>
        </is>
      </c>
      <c r="C10" s="19" t="n">
        <v>2392215.23</v>
      </c>
      <c r="D10" s="19" t="n">
        <v>1373792.39</v>
      </c>
      <c r="E10" s="19" t="n">
        <v>1018422.84</v>
      </c>
      <c r="F10" s="19" t="n">
        <v>1942165.53</v>
      </c>
      <c r="G10" s="19" t="n">
        <v>403000.03</v>
      </c>
      <c r="H10" s="59" t="inlineStr">
        <is>
          <t>yes</t>
        </is>
      </c>
      <c r="I10" s="26" t="inlineStr">
        <is>
          <t>2026-06-30</t>
        </is>
      </c>
    </row>
    <row r="11">
      <c r="A11" s="21" t="inlineStr">
        <is>
          <t>Ryan Mackenzie</t>
        </is>
      </c>
      <c r="B11" s="26" t="inlineStr">
        <is>
          <t>REP</t>
        </is>
      </c>
      <c r="C11" s="19" t="n">
        <v>4357405.11</v>
      </c>
      <c r="D11" s="19" t="n">
        <v>1521927.85</v>
      </c>
      <c r="E11" s="19" t="n">
        <v>2938717.17</v>
      </c>
      <c r="F11" s="19" t="n">
        <v>1493241.01</v>
      </c>
      <c r="G11" s="19" t="n">
        <v>1042912.78</v>
      </c>
      <c r="H11" s="59" t="inlineStr">
        <is>
          <t>yes</t>
        </is>
      </c>
      <c r="I11" s="26" t="inlineStr">
        <is>
          <t>2026-06-30</t>
        </is>
      </c>
    </row>
    <row r="12">
      <c r="A12" s="6" t="inlineStr">
        <is>
          <t>Frank Golden</t>
        </is>
      </c>
      <c r="B12" s="26" t="inlineStr">
        <is>
          <t>UN</t>
        </is>
      </c>
      <c r="C12" s="19" t="n"/>
      <c r="D12" s="19" t="n"/>
      <c r="E12" s="19" t="n"/>
      <c r="F12" s="19" t="n"/>
      <c r="G12" s="19" t="n"/>
      <c r="H12" s="105" t="inlineStr">
        <is>
          <t>never filed</t>
        </is>
      </c>
      <c r="I12" s="26" t="inlineStr">
        <is>
          <t>—</t>
        </is>
      </c>
    </row>
    <row r="13">
      <c r="A13" s="15" t="inlineStr">
        <is>
          <t>Aiden Alexander Gonzalez</t>
        </is>
      </c>
      <c r="B13" s="26" t="inlineStr">
        <is>
          <t>DEM</t>
        </is>
      </c>
      <c r="C13" s="19" t="n"/>
      <c r="D13" s="19" t="n"/>
      <c r="E13" s="19" t="n"/>
      <c r="F13" s="19" t="n"/>
      <c r="G13" s="19" t="n"/>
      <c r="H13" s="105" t="inlineStr">
        <is>
          <t>never filed</t>
        </is>
      </c>
      <c r="I13" s="26" t="inlineStr">
        <is>
          <t>—</t>
        </is>
      </c>
    </row>
    <row r="14">
      <c r="A14" s="6" t="inlineStr">
        <is>
          <t>Michael Ramon Granados Jr.</t>
        </is>
      </c>
      <c r="B14" s="26" t="inlineStr">
        <is>
          <t>IND</t>
        </is>
      </c>
      <c r="C14" s="19" t="n"/>
      <c r="D14" s="19" t="n"/>
      <c r="E14" s="19" t="n"/>
      <c r="F14" s="19" t="n"/>
      <c r="G14" s="19" t="n"/>
      <c r="H14" s="105" t="inlineStr">
        <is>
          <t>never filed</t>
        </is>
      </c>
      <c r="I14" s="26" t="inlineStr">
        <is>
          <t>—</t>
        </is>
      </c>
    </row>
    <row r="15">
      <c r="A15" s="6" t="inlineStr">
        <is>
          <t>Lewis Shupe</t>
        </is>
      </c>
      <c r="B15" s="26" t="inlineStr">
        <is>
          <t>IND</t>
        </is>
      </c>
      <c r="C15" s="19" t="n"/>
      <c r="D15" s="19" t="n"/>
      <c r="E15" s="19" t="n"/>
      <c r="F15" s="19" t="n"/>
      <c r="G15" s="19" t="n"/>
      <c r="H15" s="105" t="inlineStr">
        <is>
          <t>never filed</t>
        </is>
      </c>
      <c r="I15" s="26" t="inlineStr">
        <is>
          <t>—</t>
        </is>
      </c>
    </row>
    <row r="16">
      <c r="A16" s="22" t="inlineStr">
        <is>
          <t>TOTAL</t>
        </is>
      </c>
      <c r="C16" s="80">
        <f>SUM(C10:C15)</f>
        <v/>
      </c>
      <c r="D16" s="80">
        <f>SUM(D10:D15)</f>
        <v/>
      </c>
      <c r="E16" s="80">
        <f>SUM(E10:E15)</f>
        <v/>
      </c>
      <c r="F16" s="80">
        <f>SUM(F10:F15)</f>
        <v/>
      </c>
      <c r="G16" s="80">
        <f>SUM(G10:G15)</f>
        <v/>
      </c>
    </row>
    <row r="18">
      <c r="A18" s="3" t="inlineStr">
        <is>
          <t>DERIVED</t>
        </is>
      </c>
      <c r="B18" s="4" t="n"/>
      <c r="C18" s="4" t="n"/>
      <c r="D18" s="4" t="n"/>
      <c r="E18" s="4" t="n"/>
      <c r="F18" s="4" t="n"/>
      <c r="G18" s="4" t="n"/>
      <c r="H18" s="4" t="n"/>
      <c r="I18" s="4" t="n"/>
    </row>
    <row r="19">
      <c r="A19" s="6" t="inlineStr">
        <is>
          <t>Cash advantage: Bob Brooks (D) - Ryan Mackenzie (R)</t>
        </is>
      </c>
      <c r="B19" s="106">
        <f>IFERROR(INDEX($E$10:$E$15,MATCH("Bob Brooks",$A$10:$A$15,0))-INDEX($E$10:$E$15,MATCH("Ryan Mackenzie",$A$10:$A$15,0)),"")</f>
        <v/>
      </c>
      <c r="D19" s="2" t="inlineStr">
        <is>
          <t>Negative means the Republican holds more cash.</t>
        </is>
      </c>
    </row>
    <row r="20">
      <c r="A20" s="6" t="inlineStr">
        <is>
          <t>Combined receipts</t>
        </is>
      </c>
      <c r="B20" s="107">
        <f>SUM(C10:C15)</f>
        <v/>
      </c>
    </row>
    <row r="21">
      <c r="A21" s="6" t="inlineStr">
        <is>
          <t>Burn rate (disbursed / raised)</t>
        </is>
      </c>
      <c r="B21" s="20">
        <f>IFERROR(SUM(D10:D15)/SUM(C10:C15),"")</f>
        <v/>
      </c>
    </row>
    <row r="23">
      <c r="A23" s="3" t="inlineStr">
        <is>
          <t>INDEPENDENT EXPENDITURES</t>
        </is>
      </c>
      <c r="B23" s="4" t="n"/>
      <c r="C23" s="4" t="n"/>
      <c r="D23" s="4" t="n"/>
      <c r="E23" s="4" t="n"/>
      <c r="F23" s="4" t="n"/>
      <c r="G23" s="4" t="n"/>
      <c r="H23" s="4" t="n"/>
      <c r="I23" s="4" t="n"/>
    </row>
    <row r="24" ht="30" customHeight="1">
      <c r="A24" s="5" t="inlineStr">
        <is>
          <t>Target</t>
        </is>
      </c>
      <c r="B24" s="5" t="inlineStr">
        <is>
          <t>Support / Oppose</t>
        </is>
      </c>
      <c r="C24" s="5" t="inlineStr">
        <is>
          <t>Amount</t>
        </is>
      </c>
      <c r="D24" s="5" t="inlineStr">
        <is>
          <t>Committee</t>
        </is>
      </c>
      <c r="E24" s="5" t="inlineStr">
        <is>
          <t>As of</t>
        </is>
      </c>
      <c r="F24" s="5" t="inlineStr"/>
      <c r="G24" s="5" t="inlineStr"/>
      <c r="H24" s="5" t="inlineStr"/>
      <c r="I24" s="5" t="inlineStr"/>
    </row>
    <row r="25">
      <c r="A25" s="6" t="inlineStr">
        <is>
          <t>Bob Brooks</t>
        </is>
      </c>
      <c r="B25" s="108" t="inlineStr">
        <is>
          <t>Support</t>
        </is>
      </c>
      <c r="C25" s="19" t="n">
        <v>140300</v>
      </c>
      <c r="D25" s="26" t="inlineStr">
        <is>
          <t>CONGRESSIONAL PROGRESSIVE CAUCUS PAC</t>
        </is>
      </c>
      <c r="E25" s="26" t="inlineStr">
        <is>
          <t>2026-06-30</t>
        </is>
      </c>
    </row>
    <row r="26">
      <c r="A26" s="6" t="inlineStr">
        <is>
          <t>Bob Brooks</t>
        </is>
      </c>
      <c r="B26" s="108" t="inlineStr">
        <is>
          <t>Support</t>
        </is>
      </c>
      <c r="C26" s="19" t="n">
        <v>3556.19</v>
      </c>
      <c r="D26" s="26" t="inlineStr">
        <is>
          <t>WORKING FAMILIES PARTY PAC</t>
        </is>
      </c>
      <c r="E26" s="26" t="inlineStr">
        <is>
          <t>2026-06-30</t>
        </is>
      </c>
    </row>
    <row r="27">
      <c r="A27" s="6" t="inlineStr">
        <is>
          <t>Bob Brooks</t>
        </is>
      </c>
      <c r="B27" s="108" t="inlineStr">
        <is>
          <t>Support</t>
        </is>
      </c>
      <c r="C27" s="19" t="n">
        <v>157.07</v>
      </c>
      <c r="D27" s="26" t="inlineStr">
        <is>
          <t>RURAL FREEDOM NETWORK</t>
        </is>
      </c>
      <c r="E27" s="26" t="inlineStr">
        <is>
          <t>2026-06-30</t>
        </is>
      </c>
    </row>
    <row r="28">
      <c r="A28" s="6" t="inlineStr">
        <is>
          <t>Bob Brooks</t>
        </is>
      </c>
      <c r="B28" s="108" t="inlineStr">
        <is>
          <t>Support</t>
        </is>
      </c>
      <c r="C28" s="19" t="n">
        <v>4500</v>
      </c>
      <c r="D28" s="26" t="inlineStr">
        <is>
          <t>FF PAC</t>
        </is>
      </c>
      <c r="E28" s="26" t="inlineStr">
        <is>
          <t>2026-06-30</t>
        </is>
      </c>
    </row>
    <row r="29">
      <c r="A29" s="6" t="inlineStr">
        <is>
          <t>Bob Brooks</t>
        </is>
      </c>
      <c r="B29" s="108" t="inlineStr">
        <is>
          <t>Support</t>
        </is>
      </c>
      <c r="C29" s="19" t="n">
        <v>99625</v>
      </c>
      <c r="D29" s="26" t="inlineStr">
        <is>
          <t>MEDICARE FOR ALL</t>
        </is>
      </c>
      <c r="E29" s="26" t="inlineStr">
        <is>
          <t>2026-06-30</t>
        </is>
      </c>
    </row>
    <row r="30">
      <c r="A30" s="6" t="inlineStr">
        <is>
          <t>Bob Brooks</t>
        </is>
      </c>
      <c r="B30" s="108" t="inlineStr">
        <is>
          <t>Support</t>
        </is>
      </c>
      <c r="C30" s="19" t="n">
        <v>30559.95</v>
      </c>
      <c r="D30" s="26" t="inlineStr">
        <is>
          <t>MAKE THE ROAD ACTION POLITICAL COMMITTEE</t>
        </is>
      </c>
      <c r="E30" s="26" t="inlineStr">
        <is>
          <t>2026-06-30</t>
        </is>
      </c>
    </row>
    <row r="31">
      <c r="A31" s="6" t="inlineStr">
        <is>
          <t>Bob Brooks</t>
        </is>
      </c>
      <c r="B31" s="108" t="inlineStr">
        <is>
          <t>Support</t>
        </is>
      </c>
      <c r="C31" s="19" t="n">
        <v>9116.67</v>
      </c>
      <c r="D31" s="26" t="inlineStr">
        <is>
          <t>BLUE BATTLEGROUND PROJECT</t>
        </is>
      </c>
      <c r="E31" s="26" t="inlineStr">
        <is>
          <t>2026-06-30</t>
        </is>
      </c>
    </row>
    <row r="32">
      <c r="A32" s="6" t="inlineStr">
        <is>
          <t>Bob Brooks</t>
        </is>
      </c>
      <c r="B32" s="108" t="inlineStr">
        <is>
          <t>Support</t>
        </is>
      </c>
      <c r="C32" s="19" t="n">
        <v>187.51</v>
      </c>
      <c r="D32" s="26" t="inlineStr">
        <is>
          <t>SURJ PAC</t>
        </is>
      </c>
      <c r="E32" s="26" t="inlineStr">
        <is>
          <t>2026-06-30</t>
        </is>
      </c>
    </row>
    <row r="33">
      <c r="A33" s="6" t="inlineStr">
        <is>
          <t>Bob Brooks</t>
        </is>
      </c>
      <c r="B33" s="108" t="inlineStr">
        <is>
          <t>Support</t>
        </is>
      </c>
      <c r="C33" s="19" t="n">
        <v>50</v>
      </c>
      <c r="D33" s="26" t="inlineStr">
        <is>
          <t>THE PEOPLE UNITED PAC</t>
        </is>
      </c>
      <c r="E33" s="26" t="inlineStr">
        <is>
          <t>2026-06-30</t>
        </is>
      </c>
    </row>
    <row r="34">
      <c r="A34" s="6" t="inlineStr">
        <is>
          <t>Bob Brooks</t>
        </is>
      </c>
      <c r="B34" s="108" t="inlineStr">
        <is>
          <t>Support</t>
        </is>
      </c>
      <c r="C34" s="19" t="n">
        <v>36.54</v>
      </c>
      <c r="D34" s="26" t="inlineStr">
        <is>
          <t>GIVEGREEN UNITED ACTION</t>
        </is>
      </c>
      <c r="E34" s="26" t="inlineStr">
        <is>
          <t>2026-06-30</t>
        </is>
      </c>
    </row>
    <row r="35">
      <c r="A35" s="6" t="inlineStr">
        <is>
          <t>Bob Brooks</t>
        </is>
      </c>
      <c r="B35" s="108" t="inlineStr">
        <is>
          <t>Support</t>
        </is>
      </c>
      <c r="C35" s="19" t="n">
        <v>88321.5</v>
      </c>
      <c r="D35" s="26" t="inlineStr">
        <is>
          <t>DLP PAC</t>
        </is>
      </c>
      <c r="E35" s="26" t="inlineStr">
        <is>
          <t>2026-06-30</t>
        </is>
      </c>
    </row>
    <row r="36">
      <c r="A36" s="6" t="inlineStr">
        <is>
          <t>Bob Brooks</t>
        </is>
      </c>
      <c r="B36" s="108" t="inlineStr">
        <is>
          <t>Support</t>
        </is>
      </c>
      <c r="C36" s="19" t="n">
        <v>16643.34</v>
      </c>
      <c r="D36" s="26" t="inlineStr">
        <is>
          <t>BLUE MAJORITY PROJECT</t>
        </is>
      </c>
      <c r="E36" s="26" t="inlineStr">
        <is>
          <t>2026-06-30</t>
        </is>
      </c>
    </row>
    <row r="37">
      <c r="A37" s="6" t="inlineStr">
        <is>
          <t>Bob Brooks</t>
        </is>
      </c>
      <c r="B37" s="108" t="inlineStr">
        <is>
          <t>Support</t>
        </is>
      </c>
      <c r="C37" s="19" t="n">
        <v>638.3</v>
      </c>
      <c r="D37" s="26" t="inlineStr">
        <is>
          <t>FIELD TEAM 6, INC.</t>
        </is>
      </c>
      <c r="E37" s="26" t="inlineStr">
        <is>
          <t>2026-06-30</t>
        </is>
      </c>
    </row>
    <row r="38">
      <c r="A38" s="6" t="inlineStr">
        <is>
          <t>Bob Brooks</t>
        </is>
      </c>
      <c r="B38" s="109" t="inlineStr">
        <is>
          <t>Oppose</t>
        </is>
      </c>
      <c r="C38" s="19" t="n">
        <v>8840</v>
      </c>
      <c r="D38" s="26" t="inlineStr">
        <is>
          <t>KITCHEN TABLE VALUES PAC</t>
        </is>
      </c>
      <c r="E38" s="26" t="inlineStr">
        <is>
          <t>2026-06-30</t>
        </is>
      </c>
    </row>
    <row r="39">
      <c r="A39" s="6" t="inlineStr">
        <is>
          <t>Bob Brooks</t>
        </is>
      </c>
      <c r="B39" s="108" t="inlineStr">
        <is>
          <t>Support</t>
        </is>
      </c>
      <c r="C39" s="19" t="n">
        <v>249750</v>
      </c>
      <c r="D39" s="26" t="inlineStr">
        <is>
          <t>JOBS AND DEMOCRACY PAC</t>
        </is>
      </c>
      <c r="E39" s="26" t="inlineStr">
        <is>
          <t>2026-06-30</t>
        </is>
      </c>
    </row>
    <row r="40">
      <c r="A40" s="6" t="inlineStr">
        <is>
          <t>Bob Brooks</t>
        </is>
      </c>
      <c r="B40" s="108" t="inlineStr">
        <is>
          <t>Support</t>
        </is>
      </c>
      <c r="C40" s="19" t="n">
        <v>4708.33</v>
      </c>
      <c r="D40" s="26" t="inlineStr">
        <is>
          <t>BLUE SHIFT PAC</t>
        </is>
      </c>
      <c r="E40" s="26" t="inlineStr">
        <is>
          <t>2026-06-30</t>
        </is>
      </c>
    </row>
    <row r="41">
      <c r="A41" s="6" t="inlineStr">
        <is>
          <t>Bob Brooks</t>
        </is>
      </c>
      <c r="B41" s="108" t="inlineStr">
        <is>
          <t>Support</t>
        </is>
      </c>
      <c r="C41" s="19" t="n">
        <v>1075</v>
      </c>
      <c r="D41" s="26" t="inlineStr">
        <is>
          <t>BLUE DEMOCRACY NETWORK</t>
        </is>
      </c>
      <c r="E41" s="26" t="inlineStr">
        <is>
          <t>2026-06-30</t>
        </is>
      </c>
    </row>
    <row r="42">
      <c r="A42" s="6" t="inlineStr">
        <is>
          <t>Bob Brooks</t>
        </is>
      </c>
      <c r="B42" s="108" t="inlineStr">
        <is>
          <t>Support</t>
        </is>
      </c>
      <c r="C42" s="19" t="n">
        <v>2600</v>
      </c>
      <c r="D42" s="26" t="inlineStr">
        <is>
          <t>DEMOCRATIC FUTURE PAC</t>
        </is>
      </c>
      <c r="E42" s="26" t="inlineStr">
        <is>
          <t>2026-06-30</t>
        </is>
      </c>
    </row>
    <row r="43">
      <c r="A43" s="6" t="inlineStr">
        <is>
          <t>Bob Brooks</t>
        </is>
      </c>
      <c r="B43" s="108" t="inlineStr">
        <is>
          <t>Support</t>
        </is>
      </c>
      <c r="C43" s="19" t="n">
        <v>1781524</v>
      </c>
      <c r="D43" s="26" t="inlineStr">
        <is>
          <t>STRONGER TOGETHER PA</t>
        </is>
      </c>
      <c r="E43" s="26" t="inlineStr">
        <is>
          <t>2026-06-30</t>
        </is>
      </c>
    </row>
    <row r="44">
      <c r="A44" s="6" t="inlineStr">
        <is>
          <t>Bob Brooks</t>
        </is>
      </c>
      <c r="B44" s="108" t="inlineStr">
        <is>
          <t>Support</t>
        </is>
      </c>
      <c r="C44" s="19" t="n">
        <v>4941.66</v>
      </c>
      <c r="D44" s="26" t="inlineStr">
        <is>
          <t>MAJORITY BLUE PAC</t>
        </is>
      </c>
      <c r="E44" s="26" t="inlineStr">
        <is>
          <t>2026-06-30</t>
        </is>
      </c>
    </row>
    <row r="45">
      <c r="A45" s="6" t="inlineStr">
        <is>
          <t>Bob Brooks</t>
        </is>
      </c>
      <c r="B45" s="108" t="inlineStr">
        <is>
          <t>Support</t>
        </is>
      </c>
      <c r="C45" s="19" t="n">
        <v>766.66</v>
      </c>
      <c r="D45" s="26" t="inlineStr">
        <is>
          <t>BLUE MAJORITY MAKERS PAC</t>
        </is>
      </c>
      <c r="E45" s="26" t="inlineStr">
        <is>
          <t>2026-06-30</t>
        </is>
      </c>
    </row>
    <row r="46">
      <c r="A46" s="6" t="inlineStr">
        <is>
          <t>Bob Brooks</t>
        </is>
      </c>
      <c r="B46" s="109" t="inlineStr">
        <is>
          <t>Oppose</t>
        </is>
      </c>
      <c r="C46" s="19" t="n">
        <v>312371.76</v>
      </c>
      <c r="D46" s="26" t="inlineStr">
        <is>
          <t>LEAD LEFT PAC</t>
        </is>
      </c>
      <c r="E46" s="26" t="inlineStr">
        <is>
          <t>2026-06-30</t>
        </is>
      </c>
    </row>
    <row r="47">
      <c r="A47" s="6" t="inlineStr">
        <is>
          <t>Ryan Mackenzie</t>
        </is>
      </c>
      <c r="B47" s="109" t="inlineStr">
        <is>
          <t>Oppose</t>
        </is>
      </c>
      <c r="C47" s="19" t="n">
        <v>156.81</v>
      </c>
      <c r="D47" s="26" t="inlineStr">
        <is>
          <t>PLANNED PARENTHOOD VOTES</t>
        </is>
      </c>
      <c r="E47" s="26" t="inlineStr">
        <is>
          <t>2026-06-30</t>
        </is>
      </c>
    </row>
    <row r="48">
      <c r="A48" s="6" t="inlineStr">
        <is>
          <t>Ryan Mackenzie</t>
        </is>
      </c>
      <c r="B48" s="109" t="inlineStr">
        <is>
          <t>Oppose</t>
        </is>
      </c>
      <c r="C48" s="19" t="n">
        <v>1702.29</v>
      </c>
      <c r="D48" s="26" t="inlineStr">
        <is>
          <t>ACTIVATE AMERICA</t>
        </is>
      </c>
      <c r="E48" s="26" t="inlineStr">
        <is>
          <t>2026-06-30</t>
        </is>
      </c>
    </row>
    <row r="49">
      <c r="A49" s="6" t="inlineStr">
        <is>
          <t>Ryan Mackenzie</t>
        </is>
      </c>
      <c r="B49" s="109" t="inlineStr">
        <is>
          <t>Oppose</t>
        </is>
      </c>
      <c r="C49" s="19" t="n">
        <v>1517.06</v>
      </c>
      <c r="D49" s="26" t="inlineStr">
        <is>
          <t>RURAL FREEDOM NETWORK</t>
        </is>
      </c>
      <c r="E49" s="26" t="inlineStr">
        <is>
          <t>2026-06-30</t>
        </is>
      </c>
    </row>
    <row r="50">
      <c r="A50" s="6" t="inlineStr">
        <is>
          <t>Ryan Mackenzie</t>
        </is>
      </c>
      <c r="B50" s="109" t="inlineStr">
        <is>
          <t>Oppose</t>
        </is>
      </c>
      <c r="C50" s="19" t="n">
        <v>6044</v>
      </c>
      <c r="D50" s="26" t="inlineStr">
        <is>
          <t>YOUTH SAVE DEMOCRACY PAC</t>
        </is>
      </c>
      <c r="E50" s="26" t="inlineStr">
        <is>
          <t>2026-06-30</t>
        </is>
      </c>
    </row>
    <row r="51">
      <c r="A51" s="6" t="inlineStr">
        <is>
          <t>Ryan Mackenzie</t>
        </is>
      </c>
      <c r="B51" s="109" t="inlineStr">
        <is>
          <t>Oppose</t>
        </is>
      </c>
      <c r="C51" s="19" t="n">
        <v>1835.77</v>
      </c>
      <c r="D51" s="26" t="inlineStr">
        <is>
          <t>INDIGO PAC</t>
        </is>
      </c>
      <c r="E51" s="26" t="inlineStr">
        <is>
          <t>2026-06-30</t>
        </is>
      </c>
    </row>
    <row r="52">
      <c r="A52" s="6" t="inlineStr">
        <is>
          <t>Ryan Mackenzie</t>
        </is>
      </c>
      <c r="B52" s="109" t="inlineStr">
        <is>
          <t>Oppose</t>
        </is>
      </c>
      <c r="C52" s="19" t="n">
        <v>1096.69</v>
      </c>
      <c r="D52" s="26" t="inlineStr">
        <is>
          <t>FIELD TEAM 6, INC.</t>
        </is>
      </c>
      <c r="E52" s="26" t="inlineStr">
        <is>
          <t>2026-06-30</t>
        </is>
      </c>
    </row>
    <row r="53">
      <c r="A53" s="6" t="inlineStr">
        <is>
          <t>Bob Brooks</t>
        </is>
      </c>
      <c r="B53" s="108" t="inlineStr">
        <is>
          <t>Support</t>
        </is>
      </c>
      <c r="C53" s="19" t="n">
        <v>11000</v>
      </c>
      <c r="D53" s="26" t="inlineStr">
        <is>
          <t>SENIORS EMPOWERING AN EFFECTIVE DEMOCRACY (SEED-PAC)</t>
        </is>
      </c>
      <c r="E53" s="26" t="inlineStr">
        <is>
          <t>2026-08-19</t>
        </is>
      </c>
    </row>
    <row r="54">
      <c r="A54" s="22" t="inlineStr">
        <is>
          <t>TOTAL</t>
        </is>
      </c>
      <c r="C54" s="80">
        <f>SUM(C25:C53)</f>
        <v/>
      </c>
    </row>
    <row r="56" ht="26" customHeight="1">
      <c r="A56" s="98" t="inlineStr">
        <is>
          <t>Outside money is reported continuously rather than quarterly, so these figures are usually fresher than the candidate totals above — the two are not as-of the same date.</t>
        </is>
      </c>
    </row>
    <row r="58">
      <c r="A58" s="3" t="inlineStr">
        <is>
          <t>READ THE MONEY WITH THESE TWO FACTS</t>
        </is>
      </c>
      <c r="B58" s="4" t="n"/>
      <c r="C58" s="4" t="n"/>
      <c r="D58" s="4" t="n"/>
      <c r="E58" s="4" t="n"/>
      <c r="F58" s="4" t="n"/>
      <c r="G58" s="4" t="n"/>
      <c r="H58" s="4" t="n"/>
      <c r="I58" s="4" t="n"/>
    </row>
    <row r="59" ht="39" customHeight="1">
      <c r="A59" s="98" t="inlineStr">
        <is>
          <t>1. TIMING. Candidate totals above come from the July Quarterly and are current only through 2026-06-30 — roughly two months stale on arrival, widening until the October Quarterly. Independent expenditures below report continuously and are FRESHER. The two halves of this sheet are not as-of the same date.</t>
        </is>
      </c>
    </row>
    <row r="60" ht="39" customHeight="1">
      <c r="A60" s="98" t="inlineStr">
        <is>
          <t>2. WHAT THE MONEY WAS FOR. Most of the outside spending logged here was spent in May 2026 inside the contested Democratic PRIMARY, not against Mackenzie in the general — so it is not evidence of general-election engagement. And a large share of Mackenzie's receipts is a transfer from a wound-down joint fundraising committee rather than fresh donor money, which inflates his receipts line relative to actual fundraising.</t>
        </is>
      </c>
    </row>
    <row r="62" ht="39" customHeight="1">
      <c r="A62" s="98" t="inlineStr">
        <is>
          <t>• Coverage_through (2026-06-30) reflects the most recent PERIODIC financial report (FEC Form 3, 'JULY QUARTERLY 2026', filed 2026-07-15) for both major-party nominees' principal committees. As of retrieval (2026-08-30), that is roughly 2 months stale; the next scheduled disclosure is the OCTOBER QUARTERLY report (due on/around 2026-10-15, covering through 2026-09-30).</t>
        </is>
      </c>
    </row>
    <row r="63" ht="39" customHeight="1">
      <c r="A63" s="98" t="inlineStr">
        <is>
          <t>• Both candidates have filed newer non-financial-summary documents since June 30, 2026 (e.g. Brooks filed a Statement of Organization amendment on 2026-08-20; both campaigns have filed periodic 48-Hour Notices of Contributions/Loans around the primary), but these do not update the aggregate receipts/disbursements/cash-on-hand totals shown here.</t>
        </is>
      </c>
    </row>
    <row r="64" ht="39" customHeight="1">
      <c r="A64" s="98" t="inlineStr">
        <is>
          <t>• Bob Brooks (D) won a contested 5-candidate Democratic primary; the other Democratic primary candidates (Ryan Crosswell, Lamont McClure, Carol Obando-Derstine, Mark Pinsley) are not included as candidate entries above because they are not on the 2026 general-election ballot, but their FEC candidate IDs are C00907667/H6PA07162, C00898544/H6PA07147, C00903963/H6PA07154, and C00913947/H6PA07170 respectively, for reference.</t>
        </is>
      </c>
    </row>
    <row r="65" ht="26" customHeight="1">
      <c r="A65" s="98" t="inlineStr">
        <is>
          <t>• Ryan Mackenzie (R) is the incumbent, having defeated then-Rep. Susan Wild (D) in 2024; Wild is not a 2026 candidate (FEC candidate_status = prior-cycle candidate, H8PA15229).</t>
        </is>
      </c>
    </row>
    <row r="66" ht="52" customHeight="1">
      <c r="A66" s="98" t="inlineStr">
        <is>
          <t>• Independent-expenditure totals in 'independent_expenditures' come from OpenFEC's schedules/schedule_e/by_candidate aggregate (deduplicated, i.e. amendments/superseding filings already reconciled), queried for cycle=2026. A naive sum of raw itemized schedule_e line items for these two candidates totals roughly $5.9M, materially higher than the ~$2.76M deduplicated aggregate, because raw itemized records include amended/superseded filings; the deduplicated by_candidate totals are the ones used here.</t>
        </is>
      </c>
    </row>
    <row r="67" ht="104" customHeight="1">
      <c r="A67" s="98" t="inlineStr">
        <is>
          <t>• Spot-checking the underlying itemized Schedule E records for the largest committees (e.g. STRONGER TOGETHER PA supporting Brooks, LEAD LEFT PAC opposing Brooks) shows expenditure dates clustered between 2026-05-06 and 2026-05-18 -- i.e. immediately before Pennsylvania's 2026 primary (inferred to be mid-May 2026 based on FEC 'PRE-PRIMARY 2026' reports covering periods ending 2026-04-29). This strongly suggests the great majority of the ~$2.76M in outside spending found here was primary-season spending (aimed at the multi-candidate Democratic primary), not general-election spending in the Brooks-vs-Mackenzie race. Post-primary (after 2026-05-19) itemized IE activity located for these two candidates was comparatively minor: a handful of small-dollar entries in June 2026 (e.g. Field Team 6 $638.30 and GiveGreen United Action $36.54 supporting Brooks; Planned Parenthood Votes $85.38 opposing Mackenzie) plus one larger, more recent item: an $11,000 pro-Brooks independent expenditure by Seniors Empowering an Effective Democracy (SEED-PAC), reported via a 24-hour notice filed 2026-08-19 (not yet reflected in the by_candidate aggregate; listed separately in independent_expenditures).</t>
        </is>
      </c>
    </row>
    <row r="68" ht="26" customHeight="1">
      <c r="A68" s="98" t="inlineStr">
        <is>
          <t>• No independent expenditures supporting Ryan Mackenzie were found in FEC records as of retrieval; all $12,352.62 in IE activity referencing him was in opposition (mostly small-dollar and primary-period).</t>
        </is>
      </c>
    </row>
    <row r="69">
      <c r="A69" s="98" t="inlineStr">
        <is>
          <t>• No independent expenditure activity was found for the four no-fundraising minor/independent candidates (Golden, Gonzalez, Granados, Shupe).</t>
        </is>
      </c>
    </row>
    <row r="70" ht="91" customHeight="1">
      <c r="A70" s="110" t="inlineStr">
        <is>
          <t>Extraction problems: Precise dollar split of independent-expenditure spending between the primary period and the general-election period could not be computed exhaustively (would require reconciling all itemized Schedule E records, including amendments, against exact PA primary election-day boundaries); the primary-vs-general characterization above is based on spot-checking the top committees' itemized records, not a full reconciliation.; OpenFEC's schedules/schedule_e/by_candidate aggregate had not yet incorporated the 2026-08-19 SEED-PAC $11,000 pro-Brooks 24-hour notice at the time of retrieval; it was added to independent_expenditures manually from the itemized schedule_e record rather than the aggregate endpoint.; No FEC financial totals exist for declared candidates Frank Golden, Aiden Alexander Gonzalez, Michael Ramon Granados Jr., and Lewis Shupe (empty results from /candidate/{id}/totals/); their financial fields are null rather than 0, since 'no report filed' is not the same as a confirmed zero.</t>
        </is>
      </c>
    </row>
  </sheetData>
  <mergeCells count="14">
    <mergeCell ref="A64:I64"/>
    <mergeCell ref="A59:I59"/>
    <mergeCell ref="A65:I65"/>
    <mergeCell ref="B5:D5"/>
    <mergeCell ref="A68:I68"/>
    <mergeCell ref="A63:I63"/>
    <mergeCell ref="A62:I62"/>
    <mergeCell ref="A60:I60"/>
    <mergeCell ref="A66:I66"/>
    <mergeCell ref="A56:I56"/>
    <mergeCell ref="A67:I67"/>
    <mergeCell ref="A70:I70"/>
    <mergeCell ref="A69:I69"/>
    <mergeCell ref="B6:D6"/>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L293"/>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15" customWidth="1" min="3" max="3"/>
    <col width="15" customWidth="1" min="4" max="4"/>
    <col width="13" customWidth="1" min="5" max="5"/>
    <col width="15" customWidth="1" min="6" max="6"/>
    <col width="15" customWidth="1" min="7" max="7"/>
    <col width="15" customWidth="1" min="8" max="8"/>
    <col width="17" customWidth="1" min="9" max="9"/>
    <col width="13" customWidth="1" min="10" max="10"/>
    <col width="11" customWidth="1" min="11" max="11"/>
    <col width="11" customWidth="1" min="12" max="12"/>
  </cols>
  <sheetData>
    <row r="1">
      <c r="A1" s="1" t="inlineStr">
        <is>
          <t>Venue Comparison — Polymarket vs Kalshi</t>
        </is>
      </c>
    </row>
    <row r="2">
      <c r="A2" s="2" t="inlineStr">
        <is>
          <t>Daily Democratic win probability on both venues, joined on date with INDEX/MATCH so the join survives a data refresh. Built 2026-10-12 02:24 UTC.</t>
        </is>
      </c>
    </row>
    <row r="4">
      <c r="A4" s="3" t="inlineStr">
        <is>
          <t>DIVERGENCE SUMMARY</t>
        </is>
      </c>
      <c r="B4" s="4" t="n"/>
      <c r="C4" s="4" t="n"/>
      <c r="D4" s="4" t="n"/>
      <c r="E4" s="4" t="n"/>
      <c r="F4" s="4" t="n"/>
      <c r="G4" s="4" t="n"/>
      <c r="H4" s="4" t="n"/>
      <c r="I4" s="4" t="n"/>
      <c r="J4" s="4" t="n"/>
      <c r="K4" s="4" t="n"/>
    </row>
    <row r="5">
      <c r="A5" s="6" t="inlineStr">
        <is>
          <t>Current Polymarket Dem (mid)</t>
        </is>
      </c>
      <c r="B5" s="85">
        <f>Polymarket!D19</f>
        <v/>
      </c>
    </row>
    <row r="6">
      <c r="A6" s="6" t="inlineStr">
        <is>
          <t>Current Kalshi Dem (mid)</t>
        </is>
      </c>
      <c r="B6" s="85">
        <f>Kalshi!E17</f>
        <v/>
      </c>
    </row>
    <row r="7">
      <c r="A7" s="6" t="inlineStr">
        <is>
          <t>Current divergence (PM − Kalshi)</t>
        </is>
      </c>
      <c r="B7" s="102">
        <f>B5-B6</f>
        <v/>
      </c>
    </row>
    <row r="8">
      <c r="A8" s="6" t="inlineStr">
        <is>
          <t>Mean absolute divergence (overlap)</t>
        </is>
      </c>
      <c r="B8" s="17">
        <f>IFERROR(AVERAGE(E15:E293),"")</f>
        <v/>
      </c>
    </row>
    <row r="9">
      <c r="A9" s="6" t="inlineStr">
        <is>
          <t>Max absolute divergence</t>
        </is>
      </c>
      <c r="B9" s="17">
        <f>IFERROR(MAX(E15:E293),"")</f>
        <v/>
      </c>
    </row>
    <row r="10">
      <c r="A10" s="6" t="inlineStr">
        <is>
          <t>Overlapping days</t>
        </is>
      </c>
      <c r="B10" s="40">
        <f>COUNT(D15:D293)</f>
        <v/>
      </c>
    </row>
    <row r="11">
      <c r="A11" s="6" t="inlineStr">
        <is>
          <t>Days listed but not comparable</t>
        </is>
      </c>
      <c r="B11" s="40">
        <f>COUNT(A15:A293)-COUNT(D15:D293)</f>
        <v/>
      </c>
    </row>
    <row r="13">
      <c r="A13" s="3" t="inlineStr">
        <is>
          <t>DAILY SERIES</t>
        </is>
      </c>
      <c r="B13" s="4" t="n"/>
      <c r="C13" s="4" t="n"/>
      <c r="D13" s="4" t="n"/>
      <c r="E13" s="4" t="n"/>
      <c r="F13" s="4" t="n"/>
      <c r="G13" s="4" t="n"/>
      <c r="H13" s="4" t="n"/>
      <c r="I13" s="4" t="n"/>
      <c r="J13" s="4" t="n"/>
      <c r="K13" s="4" t="n"/>
      <c r="L13" s="4" t="n"/>
    </row>
    <row r="14" ht="30" customHeight="1">
      <c r="A14" s="5" t="inlineStr">
        <is>
          <t>Date</t>
        </is>
      </c>
      <c r="B14" s="5" t="inlineStr">
        <is>
          <t>Polymarket Dem</t>
        </is>
      </c>
      <c r="C14" s="5" t="inlineStr">
        <is>
          <t>Kalshi Dem (mid)</t>
        </is>
      </c>
      <c r="D14" s="5" t="inlineStr">
        <is>
          <t>Divergence (PM − K)</t>
        </is>
      </c>
      <c r="E14" s="5" t="inlineStr">
        <is>
          <t>Abs Divergence</t>
        </is>
      </c>
      <c r="F14" s="5" t="inlineStr">
        <is>
          <t>Polymarket Rep</t>
        </is>
      </c>
      <c r="G14" s="5" t="inlineStr">
        <is>
          <t>Kalshi Rep (mid)</t>
        </is>
      </c>
      <c r="H14" s="5" t="inlineStr">
        <is>
          <t>Cheapest Dem</t>
        </is>
      </c>
      <c r="I14" s="5" t="inlineStr">
        <is>
          <t>Cheapest Rep</t>
        </is>
      </c>
      <c r="J14" s="5" t="inlineStr">
        <is>
          <t>Pair Total</t>
        </is>
      </c>
      <c r="K14" s="5" t="inlineStr">
        <is>
          <t>Even odds</t>
        </is>
      </c>
      <c r="L14" s="5" t="inlineStr">
        <is>
          <t>Axis label</t>
        </is>
      </c>
    </row>
    <row r="15">
      <c r="A15" s="39" t="n">
        <v>46008</v>
      </c>
      <c r="B15" s="100">
        <f>IFERROR(IF(INDEX(Polymarket!$B$25:$B$303,MATCH($A15,Polymarket!$A$25:$A$303,0))=0,"",INDEX(Polymarket!$B$25:$B$303,MATCH($A15,Polymarket!$A$25:$A$303,0))),"")</f>
        <v/>
      </c>
      <c r="C15" s="100">
        <f>IFERROR(IF(INDEX(Kalshi!$D$31:$D$485,MATCH($A15,Kalshi!$A$31:$A$485,0))=0,"",INDEX(Kalshi!$D$31:$D$485,MATCH($A15,Kalshi!$A$31:$A$485,0))),"")</f>
        <v/>
      </c>
      <c r="D15" s="18">
        <f>IF(AND(ISNUMBER(B15),ISNUMBER(C15)),B15-C15,"")</f>
        <v/>
      </c>
      <c r="E15" s="17">
        <f>IF(ISNUMBER(D15),ABS(D15),"")</f>
        <v/>
      </c>
      <c r="F15" s="100">
        <f>IFERROR(IF(INDEX(Polymarket!$C$25:$C$303,MATCH($A15,Polymarket!$A$25:$A$303,0))=0,"",INDEX(Polymarket!$C$25:$C$303,MATCH($A15,Polymarket!$A$25:$A$303,0))),"")</f>
        <v/>
      </c>
      <c r="G15" s="100">
        <f>IFERROR(IF(INDEX(Kalshi!$G$31:$G$485,MATCH($A15,Kalshi!$A$31:$A$485,0))=0,"",INDEX(Kalshi!$G$31:$G$485,MATCH($A15,Kalshi!$A$31:$A$485,0))),"")</f>
        <v/>
      </c>
      <c r="H15" s="20">
        <f>IF(AND(ISNUMBER(B15),ISNUMBER(C15)),MIN(B15,C15),"")</f>
        <v/>
      </c>
      <c r="I15" s="20">
        <f>IF(AND(ISNUMBER(F15),ISNUMBER(G15)),MIN(F15,G15),"")</f>
        <v/>
      </c>
      <c r="J15" s="17">
        <f>IF(AND(ISNUMBER(H15),ISNUMBER(I15)),H15+I15,"")</f>
        <v/>
      </c>
      <c r="K15" s="16" t="n">
        <v>0.5</v>
      </c>
      <c r="L15" s="26" t="inlineStr">
        <is>
          <t>17 Dec</t>
        </is>
      </c>
    </row>
    <row r="16">
      <c r="A16" s="41" t="n">
        <v>46009</v>
      </c>
      <c r="B16" s="101">
        <f>IFERROR(IF(INDEX(Polymarket!$B$25:$B$303,MATCH($A16,Polymarket!$A$25:$A$303,0))=0,"",INDEX(Polymarket!$B$25:$B$303,MATCH($A16,Polymarket!$A$25:$A$303,0))),"")</f>
        <v/>
      </c>
      <c r="C16" s="101">
        <f>IFERROR(IF(INDEX(Kalshi!$D$31:$D$485,MATCH($A16,Kalshi!$A$31:$A$485,0))=0,"",INDEX(Kalshi!$D$31:$D$485,MATCH($A16,Kalshi!$A$31:$A$485,0))),"")</f>
        <v/>
      </c>
      <c r="D16" s="31">
        <f>IF(AND(ISNUMBER(B16),ISNUMBER(C16)),B16-C16,"")</f>
        <v/>
      </c>
      <c r="E16" s="29">
        <f>IF(ISNUMBER(D16),ABS(D16),"")</f>
        <v/>
      </c>
      <c r="F16" s="101">
        <f>IFERROR(IF(INDEX(Polymarket!$C$25:$C$303,MATCH($A16,Polymarket!$A$25:$A$303,0))=0,"",INDEX(Polymarket!$C$25:$C$303,MATCH($A16,Polymarket!$A$25:$A$303,0))),"")</f>
        <v/>
      </c>
      <c r="G16" s="101">
        <f>IFERROR(IF(INDEX(Kalshi!$G$31:$G$485,MATCH($A16,Kalshi!$A$31:$A$485,0))=0,"",INDEX(Kalshi!$G$31:$G$485,MATCH($A16,Kalshi!$A$31:$A$485,0))),"")</f>
        <v/>
      </c>
      <c r="H16" s="30">
        <f>IF(AND(ISNUMBER(B16),ISNUMBER(C16)),MIN(B16,C16),"")</f>
        <v/>
      </c>
      <c r="I16" s="30">
        <f>IF(AND(ISNUMBER(F16),ISNUMBER(G16)),MIN(F16,G16),"")</f>
        <v/>
      </c>
      <c r="J16" s="29">
        <f>IF(AND(ISNUMBER(H16),ISNUMBER(I16)),H16+I16,"")</f>
        <v/>
      </c>
      <c r="K16" s="28" t="n">
        <v>0.5</v>
      </c>
      <c r="L16" s="38" t="inlineStr">
        <is>
          <t>18 Dec</t>
        </is>
      </c>
    </row>
    <row r="17">
      <c r="A17" s="39" t="n">
        <v>46010</v>
      </c>
      <c r="B17" s="100">
        <f>IFERROR(IF(INDEX(Polymarket!$B$25:$B$303,MATCH($A17,Polymarket!$A$25:$A$303,0))=0,"",INDEX(Polymarket!$B$25:$B$303,MATCH($A17,Polymarket!$A$25:$A$303,0))),"")</f>
        <v/>
      </c>
      <c r="C17" s="100">
        <f>IFERROR(IF(INDEX(Kalshi!$D$31:$D$485,MATCH($A17,Kalshi!$A$31:$A$485,0))=0,"",INDEX(Kalshi!$D$31:$D$485,MATCH($A17,Kalshi!$A$31:$A$485,0))),"")</f>
        <v/>
      </c>
      <c r="D17" s="18">
        <f>IF(AND(ISNUMBER(B17),ISNUMBER(C17)),B17-C17,"")</f>
        <v/>
      </c>
      <c r="E17" s="17">
        <f>IF(ISNUMBER(D17),ABS(D17),"")</f>
        <v/>
      </c>
      <c r="F17" s="100">
        <f>IFERROR(IF(INDEX(Polymarket!$C$25:$C$303,MATCH($A17,Polymarket!$A$25:$A$303,0))=0,"",INDEX(Polymarket!$C$25:$C$303,MATCH($A17,Polymarket!$A$25:$A$303,0))),"")</f>
        <v/>
      </c>
      <c r="G17" s="100">
        <f>IFERROR(IF(INDEX(Kalshi!$G$31:$G$485,MATCH($A17,Kalshi!$A$31:$A$485,0))=0,"",INDEX(Kalshi!$G$31:$G$485,MATCH($A17,Kalshi!$A$31:$A$485,0))),"")</f>
        <v/>
      </c>
      <c r="H17" s="20">
        <f>IF(AND(ISNUMBER(B17),ISNUMBER(C17)),MIN(B17,C17),"")</f>
        <v/>
      </c>
      <c r="I17" s="20">
        <f>IF(AND(ISNUMBER(F17),ISNUMBER(G17)),MIN(F17,G17),"")</f>
        <v/>
      </c>
      <c r="J17" s="17">
        <f>IF(AND(ISNUMBER(H17),ISNUMBER(I17)),H17+I17,"")</f>
        <v/>
      </c>
      <c r="K17" s="16" t="n">
        <v>0.5</v>
      </c>
      <c r="L17" s="26" t="inlineStr">
        <is>
          <t>19 Dec</t>
        </is>
      </c>
    </row>
    <row r="18">
      <c r="A18" s="41" t="n">
        <v>46011</v>
      </c>
      <c r="B18" s="101">
        <f>IFERROR(IF(INDEX(Polymarket!$B$25:$B$303,MATCH($A18,Polymarket!$A$25:$A$303,0))=0,"",INDEX(Polymarket!$B$25:$B$303,MATCH($A18,Polymarket!$A$25:$A$303,0))),"")</f>
        <v/>
      </c>
      <c r="C18" s="101">
        <f>IFERROR(IF(INDEX(Kalshi!$D$31:$D$485,MATCH($A18,Kalshi!$A$31:$A$485,0))=0,"",INDEX(Kalshi!$D$31:$D$485,MATCH($A18,Kalshi!$A$31:$A$485,0))),"")</f>
        <v/>
      </c>
      <c r="D18" s="31">
        <f>IF(AND(ISNUMBER(B18),ISNUMBER(C18)),B18-C18,"")</f>
        <v/>
      </c>
      <c r="E18" s="29">
        <f>IF(ISNUMBER(D18),ABS(D18),"")</f>
        <v/>
      </c>
      <c r="F18" s="101">
        <f>IFERROR(IF(INDEX(Polymarket!$C$25:$C$303,MATCH($A18,Polymarket!$A$25:$A$303,0))=0,"",INDEX(Polymarket!$C$25:$C$303,MATCH($A18,Polymarket!$A$25:$A$303,0))),"")</f>
        <v/>
      </c>
      <c r="G18" s="101">
        <f>IFERROR(IF(INDEX(Kalshi!$G$31:$G$485,MATCH($A18,Kalshi!$A$31:$A$485,0))=0,"",INDEX(Kalshi!$G$31:$G$485,MATCH($A18,Kalshi!$A$31:$A$485,0))),"")</f>
        <v/>
      </c>
      <c r="H18" s="30">
        <f>IF(AND(ISNUMBER(B18),ISNUMBER(C18)),MIN(B18,C18),"")</f>
        <v/>
      </c>
      <c r="I18" s="30">
        <f>IF(AND(ISNUMBER(F18),ISNUMBER(G18)),MIN(F18,G18),"")</f>
        <v/>
      </c>
      <c r="J18" s="29">
        <f>IF(AND(ISNUMBER(H18),ISNUMBER(I18)),H18+I18,"")</f>
        <v/>
      </c>
      <c r="K18" s="28" t="n">
        <v>0.5</v>
      </c>
      <c r="L18" s="38" t="inlineStr">
        <is>
          <t>20 Dec</t>
        </is>
      </c>
    </row>
    <row r="19">
      <c r="A19" s="39" t="n">
        <v>46012</v>
      </c>
      <c r="B19" s="100">
        <f>IFERROR(IF(INDEX(Polymarket!$B$25:$B$303,MATCH($A19,Polymarket!$A$25:$A$303,0))=0,"",INDEX(Polymarket!$B$25:$B$303,MATCH($A19,Polymarket!$A$25:$A$303,0))),"")</f>
        <v/>
      </c>
      <c r="C19" s="100">
        <f>IFERROR(IF(INDEX(Kalshi!$D$31:$D$485,MATCH($A19,Kalshi!$A$31:$A$485,0))=0,"",INDEX(Kalshi!$D$31:$D$485,MATCH($A19,Kalshi!$A$31:$A$485,0))),"")</f>
        <v/>
      </c>
      <c r="D19" s="18">
        <f>IF(AND(ISNUMBER(B19),ISNUMBER(C19)),B19-C19,"")</f>
        <v/>
      </c>
      <c r="E19" s="17">
        <f>IF(ISNUMBER(D19),ABS(D19),"")</f>
        <v/>
      </c>
      <c r="F19" s="100">
        <f>IFERROR(IF(INDEX(Polymarket!$C$25:$C$303,MATCH($A19,Polymarket!$A$25:$A$303,0))=0,"",INDEX(Polymarket!$C$25:$C$303,MATCH($A19,Polymarket!$A$25:$A$303,0))),"")</f>
        <v/>
      </c>
      <c r="G19" s="100">
        <f>IFERROR(IF(INDEX(Kalshi!$G$31:$G$485,MATCH($A19,Kalshi!$A$31:$A$485,0))=0,"",INDEX(Kalshi!$G$31:$G$485,MATCH($A19,Kalshi!$A$31:$A$485,0))),"")</f>
        <v/>
      </c>
      <c r="H19" s="20">
        <f>IF(AND(ISNUMBER(B19),ISNUMBER(C19)),MIN(B19,C19),"")</f>
        <v/>
      </c>
      <c r="I19" s="20">
        <f>IF(AND(ISNUMBER(F19),ISNUMBER(G19)),MIN(F19,G19),"")</f>
        <v/>
      </c>
      <c r="J19" s="17">
        <f>IF(AND(ISNUMBER(H19),ISNUMBER(I19)),H19+I19,"")</f>
        <v/>
      </c>
      <c r="K19" s="16" t="n">
        <v>0.5</v>
      </c>
      <c r="L19" s="26" t="inlineStr">
        <is>
          <t>21 Dec</t>
        </is>
      </c>
    </row>
    <row r="20">
      <c r="A20" s="41" t="n">
        <v>46013</v>
      </c>
      <c r="B20" s="101">
        <f>IFERROR(IF(INDEX(Polymarket!$B$25:$B$303,MATCH($A20,Polymarket!$A$25:$A$303,0))=0,"",INDEX(Polymarket!$B$25:$B$303,MATCH($A20,Polymarket!$A$25:$A$303,0))),"")</f>
        <v/>
      </c>
      <c r="C20" s="101">
        <f>IFERROR(IF(INDEX(Kalshi!$D$31:$D$485,MATCH($A20,Kalshi!$A$31:$A$485,0))=0,"",INDEX(Kalshi!$D$31:$D$485,MATCH($A20,Kalshi!$A$31:$A$485,0))),"")</f>
        <v/>
      </c>
      <c r="D20" s="31">
        <f>IF(AND(ISNUMBER(B20),ISNUMBER(C20)),B20-C20,"")</f>
        <v/>
      </c>
      <c r="E20" s="29">
        <f>IF(ISNUMBER(D20),ABS(D20),"")</f>
        <v/>
      </c>
      <c r="F20" s="101">
        <f>IFERROR(IF(INDEX(Polymarket!$C$25:$C$303,MATCH($A20,Polymarket!$A$25:$A$303,0))=0,"",INDEX(Polymarket!$C$25:$C$303,MATCH($A20,Polymarket!$A$25:$A$303,0))),"")</f>
        <v/>
      </c>
      <c r="G20" s="101">
        <f>IFERROR(IF(INDEX(Kalshi!$G$31:$G$485,MATCH($A20,Kalshi!$A$31:$A$485,0))=0,"",INDEX(Kalshi!$G$31:$G$485,MATCH($A20,Kalshi!$A$31:$A$485,0))),"")</f>
        <v/>
      </c>
      <c r="H20" s="30">
        <f>IF(AND(ISNUMBER(B20),ISNUMBER(C20)),MIN(B20,C20),"")</f>
        <v/>
      </c>
      <c r="I20" s="30">
        <f>IF(AND(ISNUMBER(F20),ISNUMBER(G20)),MIN(F20,G20),"")</f>
        <v/>
      </c>
      <c r="J20" s="29">
        <f>IF(AND(ISNUMBER(H20),ISNUMBER(I20)),H20+I20,"")</f>
        <v/>
      </c>
      <c r="K20" s="28" t="n">
        <v>0.5</v>
      </c>
      <c r="L20" s="38" t="inlineStr">
        <is>
          <t>22 Dec</t>
        </is>
      </c>
    </row>
    <row r="21">
      <c r="A21" s="39" t="n">
        <v>46014</v>
      </c>
      <c r="B21" s="100">
        <f>IFERROR(IF(INDEX(Polymarket!$B$25:$B$303,MATCH($A21,Polymarket!$A$25:$A$303,0))=0,"",INDEX(Polymarket!$B$25:$B$303,MATCH($A21,Polymarket!$A$25:$A$303,0))),"")</f>
        <v/>
      </c>
      <c r="C21" s="100">
        <f>IFERROR(IF(INDEX(Kalshi!$D$31:$D$485,MATCH($A21,Kalshi!$A$31:$A$485,0))=0,"",INDEX(Kalshi!$D$31:$D$485,MATCH($A21,Kalshi!$A$31:$A$485,0))),"")</f>
        <v/>
      </c>
      <c r="D21" s="18">
        <f>IF(AND(ISNUMBER(B21),ISNUMBER(C21)),B21-C21,"")</f>
        <v/>
      </c>
      <c r="E21" s="17">
        <f>IF(ISNUMBER(D21),ABS(D21),"")</f>
        <v/>
      </c>
      <c r="F21" s="100">
        <f>IFERROR(IF(INDEX(Polymarket!$C$25:$C$303,MATCH($A21,Polymarket!$A$25:$A$303,0))=0,"",INDEX(Polymarket!$C$25:$C$303,MATCH($A21,Polymarket!$A$25:$A$303,0))),"")</f>
        <v/>
      </c>
      <c r="G21" s="100">
        <f>IFERROR(IF(INDEX(Kalshi!$G$31:$G$485,MATCH($A21,Kalshi!$A$31:$A$485,0))=0,"",INDEX(Kalshi!$G$31:$G$485,MATCH($A21,Kalshi!$A$31:$A$485,0))),"")</f>
        <v/>
      </c>
      <c r="H21" s="20">
        <f>IF(AND(ISNUMBER(B21),ISNUMBER(C21)),MIN(B21,C21),"")</f>
        <v/>
      </c>
      <c r="I21" s="20">
        <f>IF(AND(ISNUMBER(F21),ISNUMBER(G21)),MIN(F21,G21),"")</f>
        <v/>
      </c>
      <c r="J21" s="17">
        <f>IF(AND(ISNUMBER(H21),ISNUMBER(I21)),H21+I21,"")</f>
        <v/>
      </c>
      <c r="K21" s="16" t="n">
        <v>0.5</v>
      </c>
      <c r="L21" s="26" t="inlineStr">
        <is>
          <t>23 Dec</t>
        </is>
      </c>
    </row>
    <row r="22">
      <c r="A22" s="41" t="n">
        <v>46015</v>
      </c>
      <c r="B22" s="101">
        <f>IFERROR(IF(INDEX(Polymarket!$B$25:$B$303,MATCH($A22,Polymarket!$A$25:$A$303,0))=0,"",INDEX(Polymarket!$B$25:$B$303,MATCH($A22,Polymarket!$A$25:$A$303,0))),"")</f>
        <v/>
      </c>
      <c r="C22" s="101">
        <f>IFERROR(IF(INDEX(Kalshi!$D$31:$D$485,MATCH($A22,Kalshi!$A$31:$A$485,0))=0,"",INDEX(Kalshi!$D$31:$D$485,MATCH($A22,Kalshi!$A$31:$A$485,0))),"")</f>
        <v/>
      </c>
      <c r="D22" s="31">
        <f>IF(AND(ISNUMBER(B22),ISNUMBER(C22)),B22-C22,"")</f>
        <v/>
      </c>
      <c r="E22" s="29">
        <f>IF(ISNUMBER(D22),ABS(D22),"")</f>
        <v/>
      </c>
      <c r="F22" s="101">
        <f>IFERROR(IF(INDEX(Polymarket!$C$25:$C$303,MATCH($A22,Polymarket!$A$25:$A$303,0))=0,"",INDEX(Polymarket!$C$25:$C$303,MATCH($A22,Polymarket!$A$25:$A$303,0))),"")</f>
        <v/>
      </c>
      <c r="G22" s="101">
        <f>IFERROR(IF(INDEX(Kalshi!$G$31:$G$485,MATCH($A22,Kalshi!$A$31:$A$485,0))=0,"",INDEX(Kalshi!$G$31:$G$485,MATCH($A22,Kalshi!$A$31:$A$485,0))),"")</f>
        <v/>
      </c>
      <c r="H22" s="30">
        <f>IF(AND(ISNUMBER(B22),ISNUMBER(C22)),MIN(B22,C22),"")</f>
        <v/>
      </c>
      <c r="I22" s="30">
        <f>IF(AND(ISNUMBER(F22),ISNUMBER(G22)),MIN(F22,G22),"")</f>
        <v/>
      </c>
      <c r="J22" s="29">
        <f>IF(AND(ISNUMBER(H22),ISNUMBER(I22)),H22+I22,"")</f>
        <v/>
      </c>
      <c r="K22" s="28" t="n">
        <v>0.5</v>
      </c>
      <c r="L22" s="38" t="inlineStr">
        <is>
          <t>24 Dec</t>
        </is>
      </c>
    </row>
    <row r="23">
      <c r="A23" s="39" t="n">
        <v>46016</v>
      </c>
      <c r="B23" s="100">
        <f>IFERROR(IF(INDEX(Polymarket!$B$25:$B$303,MATCH($A23,Polymarket!$A$25:$A$303,0))=0,"",INDEX(Polymarket!$B$25:$B$303,MATCH($A23,Polymarket!$A$25:$A$303,0))),"")</f>
        <v/>
      </c>
      <c r="C23" s="100">
        <f>IFERROR(IF(INDEX(Kalshi!$D$31:$D$485,MATCH($A23,Kalshi!$A$31:$A$485,0))=0,"",INDEX(Kalshi!$D$31:$D$485,MATCH($A23,Kalshi!$A$31:$A$485,0))),"")</f>
        <v/>
      </c>
      <c r="D23" s="18">
        <f>IF(AND(ISNUMBER(B23),ISNUMBER(C23)),B23-C23,"")</f>
        <v/>
      </c>
      <c r="E23" s="17">
        <f>IF(ISNUMBER(D23),ABS(D23),"")</f>
        <v/>
      </c>
      <c r="F23" s="100">
        <f>IFERROR(IF(INDEX(Polymarket!$C$25:$C$303,MATCH($A23,Polymarket!$A$25:$A$303,0))=0,"",INDEX(Polymarket!$C$25:$C$303,MATCH($A23,Polymarket!$A$25:$A$303,0))),"")</f>
        <v/>
      </c>
      <c r="G23" s="100">
        <f>IFERROR(IF(INDEX(Kalshi!$G$31:$G$485,MATCH($A23,Kalshi!$A$31:$A$485,0))=0,"",INDEX(Kalshi!$G$31:$G$485,MATCH($A23,Kalshi!$A$31:$A$485,0))),"")</f>
        <v/>
      </c>
      <c r="H23" s="20">
        <f>IF(AND(ISNUMBER(B23),ISNUMBER(C23)),MIN(B23,C23),"")</f>
        <v/>
      </c>
      <c r="I23" s="20">
        <f>IF(AND(ISNUMBER(F23),ISNUMBER(G23)),MIN(F23,G23),"")</f>
        <v/>
      </c>
      <c r="J23" s="17">
        <f>IF(AND(ISNUMBER(H23),ISNUMBER(I23)),H23+I23,"")</f>
        <v/>
      </c>
      <c r="K23" s="16" t="n">
        <v>0.5</v>
      </c>
      <c r="L23" s="26" t="inlineStr">
        <is>
          <t>25 Dec</t>
        </is>
      </c>
    </row>
    <row r="24">
      <c r="A24" s="41" t="n">
        <v>46017</v>
      </c>
      <c r="B24" s="101">
        <f>IFERROR(IF(INDEX(Polymarket!$B$25:$B$303,MATCH($A24,Polymarket!$A$25:$A$303,0))=0,"",INDEX(Polymarket!$B$25:$B$303,MATCH($A24,Polymarket!$A$25:$A$303,0))),"")</f>
        <v/>
      </c>
      <c r="C24" s="101">
        <f>IFERROR(IF(INDEX(Kalshi!$D$31:$D$485,MATCH($A24,Kalshi!$A$31:$A$485,0))=0,"",INDEX(Kalshi!$D$31:$D$485,MATCH($A24,Kalshi!$A$31:$A$485,0))),"")</f>
        <v/>
      </c>
      <c r="D24" s="31">
        <f>IF(AND(ISNUMBER(B24),ISNUMBER(C24)),B24-C24,"")</f>
        <v/>
      </c>
      <c r="E24" s="29">
        <f>IF(ISNUMBER(D24),ABS(D24),"")</f>
        <v/>
      </c>
      <c r="F24" s="101">
        <f>IFERROR(IF(INDEX(Polymarket!$C$25:$C$303,MATCH($A24,Polymarket!$A$25:$A$303,0))=0,"",INDEX(Polymarket!$C$25:$C$303,MATCH($A24,Polymarket!$A$25:$A$303,0))),"")</f>
        <v/>
      </c>
      <c r="G24" s="101">
        <f>IFERROR(IF(INDEX(Kalshi!$G$31:$G$485,MATCH($A24,Kalshi!$A$31:$A$485,0))=0,"",INDEX(Kalshi!$G$31:$G$485,MATCH($A24,Kalshi!$A$31:$A$485,0))),"")</f>
        <v/>
      </c>
      <c r="H24" s="30">
        <f>IF(AND(ISNUMBER(B24),ISNUMBER(C24)),MIN(B24,C24),"")</f>
        <v/>
      </c>
      <c r="I24" s="30">
        <f>IF(AND(ISNUMBER(F24),ISNUMBER(G24)),MIN(F24,G24),"")</f>
        <v/>
      </c>
      <c r="J24" s="29">
        <f>IF(AND(ISNUMBER(H24),ISNUMBER(I24)),H24+I24,"")</f>
        <v/>
      </c>
      <c r="K24" s="28" t="n">
        <v>0.5</v>
      </c>
      <c r="L24" s="38" t="inlineStr">
        <is>
          <t>26 Dec</t>
        </is>
      </c>
    </row>
    <row r="25">
      <c r="A25" s="39" t="n">
        <v>46018</v>
      </c>
      <c r="B25" s="100">
        <f>IFERROR(IF(INDEX(Polymarket!$B$25:$B$303,MATCH($A25,Polymarket!$A$25:$A$303,0))=0,"",INDEX(Polymarket!$B$25:$B$303,MATCH($A25,Polymarket!$A$25:$A$303,0))),"")</f>
        <v/>
      </c>
      <c r="C25" s="100">
        <f>IFERROR(IF(INDEX(Kalshi!$D$31:$D$485,MATCH($A25,Kalshi!$A$31:$A$485,0))=0,"",INDEX(Kalshi!$D$31:$D$485,MATCH($A25,Kalshi!$A$31:$A$485,0))),"")</f>
        <v/>
      </c>
      <c r="D25" s="18">
        <f>IF(AND(ISNUMBER(B25),ISNUMBER(C25)),B25-C25,"")</f>
        <v/>
      </c>
      <c r="E25" s="17">
        <f>IF(ISNUMBER(D25),ABS(D25),"")</f>
        <v/>
      </c>
      <c r="F25" s="100">
        <f>IFERROR(IF(INDEX(Polymarket!$C$25:$C$303,MATCH($A25,Polymarket!$A$25:$A$303,0))=0,"",INDEX(Polymarket!$C$25:$C$303,MATCH($A25,Polymarket!$A$25:$A$303,0))),"")</f>
        <v/>
      </c>
      <c r="G25" s="100">
        <f>IFERROR(IF(INDEX(Kalshi!$G$31:$G$485,MATCH($A25,Kalshi!$A$31:$A$485,0))=0,"",INDEX(Kalshi!$G$31:$G$485,MATCH($A25,Kalshi!$A$31:$A$485,0))),"")</f>
        <v/>
      </c>
      <c r="H25" s="20">
        <f>IF(AND(ISNUMBER(B25),ISNUMBER(C25)),MIN(B25,C25),"")</f>
        <v/>
      </c>
      <c r="I25" s="20">
        <f>IF(AND(ISNUMBER(F25),ISNUMBER(G25)),MIN(F25,G25),"")</f>
        <v/>
      </c>
      <c r="J25" s="17">
        <f>IF(AND(ISNUMBER(H25),ISNUMBER(I25)),H25+I25,"")</f>
        <v/>
      </c>
      <c r="K25" s="16" t="n">
        <v>0.5</v>
      </c>
      <c r="L25" s="26" t="inlineStr">
        <is>
          <t>27 Dec</t>
        </is>
      </c>
    </row>
    <row r="26">
      <c r="A26" s="41" t="n">
        <v>46019</v>
      </c>
      <c r="B26" s="101">
        <f>IFERROR(IF(INDEX(Polymarket!$B$25:$B$303,MATCH($A26,Polymarket!$A$25:$A$303,0))=0,"",INDEX(Polymarket!$B$25:$B$303,MATCH($A26,Polymarket!$A$25:$A$303,0))),"")</f>
        <v/>
      </c>
      <c r="C26" s="101">
        <f>IFERROR(IF(INDEX(Kalshi!$D$31:$D$485,MATCH($A26,Kalshi!$A$31:$A$485,0))=0,"",INDEX(Kalshi!$D$31:$D$485,MATCH($A26,Kalshi!$A$31:$A$485,0))),"")</f>
        <v/>
      </c>
      <c r="D26" s="31">
        <f>IF(AND(ISNUMBER(B26),ISNUMBER(C26)),B26-C26,"")</f>
        <v/>
      </c>
      <c r="E26" s="29">
        <f>IF(ISNUMBER(D26),ABS(D26),"")</f>
        <v/>
      </c>
      <c r="F26" s="101">
        <f>IFERROR(IF(INDEX(Polymarket!$C$25:$C$303,MATCH($A26,Polymarket!$A$25:$A$303,0))=0,"",INDEX(Polymarket!$C$25:$C$303,MATCH($A26,Polymarket!$A$25:$A$303,0))),"")</f>
        <v/>
      </c>
      <c r="G26" s="101">
        <f>IFERROR(IF(INDEX(Kalshi!$G$31:$G$485,MATCH($A26,Kalshi!$A$31:$A$485,0))=0,"",INDEX(Kalshi!$G$31:$G$485,MATCH($A26,Kalshi!$A$31:$A$485,0))),"")</f>
        <v/>
      </c>
      <c r="H26" s="30">
        <f>IF(AND(ISNUMBER(B26),ISNUMBER(C26)),MIN(B26,C26),"")</f>
        <v/>
      </c>
      <c r="I26" s="30">
        <f>IF(AND(ISNUMBER(F26),ISNUMBER(G26)),MIN(F26,G26),"")</f>
        <v/>
      </c>
      <c r="J26" s="29">
        <f>IF(AND(ISNUMBER(H26),ISNUMBER(I26)),H26+I26,"")</f>
        <v/>
      </c>
      <c r="K26" s="28" t="n">
        <v>0.5</v>
      </c>
      <c r="L26" s="38" t="inlineStr">
        <is>
          <t>28 Dec</t>
        </is>
      </c>
    </row>
    <row r="27">
      <c r="A27" s="39" t="n">
        <v>46020</v>
      </c>
      <c r="B27" s="100">
        <f>IFERROR(IF(INDEX(Polymarket!$B$25:$B$303,MATCH($A27,Polymarket!$A$25:$A$303,0))=0,"",INDEX(Polymarket!$B$25:$B$303,MATCH($A27,Polymarket!$A$25:$A$303,0))),"")</f>
        <v/>
      </c>
      <c r="C27" s="100">
        <f>IFERROR(IF(INDEX(Kalshi!$D$31:$D$485,MATCH($A27,Kalshi!$A$31:$A$485,0))=0,"",INDEX(Kalshi!$D$31:$D$485,MATCH($A27,Kalshi!$A$31:$A$485,0))),"")</f>
        <v/>
      </c>
      <c r="D27" s="18">
        <f>IF(AND(ISNUMBER(B27),ISNUMBER(C27)),B27-C27,"")</f>
        <v/>
      </c>
      <c r="E27" s="17">
        <f>IF(ISNUMBER(D27),ABS(D27),"")</f>
        <v/>
      </c>
      <c r="F27" s="100">
        <f>IFERROR(IF(INDEX(Polymarket!$C$25:$C$303,MATCH($A27,Polymarket!$A$25:$A$303,0))=0,"",INDEX(Polymarket!$C$25:$C$303,MATCH($A27,Polymarket!$A$25:$A$303,0))),"")</f>
        <v/>
      </c>
      <c r="G27" s="100">
        <f>IFERROR(IF(INDEX(Kalshi!$G$31:$G$485,MATCH($A27,Kalshi!$A$31:$A$485,0))=0,"",INDEX(Kalshi!$G$31:$G$485,MATCH($A27,Kalshi!$A$31:$A$485,0))),"")</f>
        <v/>
      </c>
      <c r="H27" s="20">
        <f>IF(AND(ISNUMBER(B27),ISNUMBER(C27)),MIN(B27,C27),"")</f>
        <v/>
      </c>
      <c r="I27" s="20">
        <f>IF(AND(ISNUMBER(F27),ISNUMBER(G27)),MIN(F27,G27),"")</f>
        <v/>
      </c>
      <c r="J27" s="17">
        <f>IF(AND(ISNUMBER(H27),ISNUMBER(I27)),H27+I27,"")</f>
        <v/>
      </c>
      <c r="K27" s="16" t="n">
        <v>0.5</v>
      </c>
      <c r="L27" s="26" t="inlineStr">
        <is>
          <t>29 Dec</t>
        </is>
      </c>
    </row>
    <row r="28">
      <c r="A28" s="41" t="n">
        <v>46021</v>
      </c>
      <c r="B28" s="101">
        <f>IFERROR(IF(INDEX(Polymarket!$B$25:$B$303,MATCH($A28,Polymarket!$A$25:$A$303,0))=0,"",INDEX(Polymarket!$B$25:$B$303,MATCH($A28,Polymarket!$A$25:$A$303,0))),"")</f>
        <v/>
      </c>
      <c r="C28" s="101">
        <f>IFERROR(IF(INDEX(Kalshi!$D$31:$D$485,MATCH($A28,Kalshi!$A$31:$A$485,0))=0,"",INDEX(Kalshi!$D$31:$D$485,MATCH($A28,Kalshi!$A$31:$A$485,0))),"")</f>
        <v/>
      </c>
      <c r="D28" s="31">
        <f>IF(AND(ISNUMBER(B28),ISNUMBER(C28)),B28-C28,"")</f>
        <v/>
      </c>
      <c r="E28" s="29">
        <f>IF(ISNUMBER(D28),ABS(D28),"")</f>
        <v/>
      </c>
      <c r="F28" s="101">
        <f>IFERROR(IF(INDEX(Polymarket!$C$25:$C$303,MATCH($A28,Polymarket!$A$25:$A$303,0))=0,"",INDEX(Polymarket!$C$25:$C$303,MATCH($A28,Polymarket!$A$25:$A$303,0))),"")</f>
        <v/>
      </c>
      <c r="G28" s="101">
        <f>IFERROR(IF(INDEX(Kalshi!$G$31:$G$485,MATCH($A28,Kalshi!$A$31:$A$485,0))=0,"",INDEX(Kalshi!$G$31:$G$485,MATCH($A28,Kalshi!$A$31:$A$485,0))),"")</f>
        <v/>
      </c>
      <c r="H28" s="30">
        <f>IF(AND(ISNUMBER(B28),ISNUMBER(C28)),MIN(B28,C28),"")</f>
        <v/>
      </c>
      <c r="I28" s="30">
        <f>IF(AND(ISNUMBER(F28),ISNUMBER(G28)),MIN(F28,G28),"")</f>
        <v/>
      </c>
      <c r="J28" s="29">
        <f>IF(AND(ISNUMBER(H28),ISNUMBER(I28)),H28+I28,"")</f>
        <v/>
      </c>
      <c r="K28" s="28" t="n">
        <v>0.5</v>
      </c>
      <c r="L28" s="38" t="inlineStr">
        <is>
          <t>30 Dec</t>
        </is>
      </c>
    </row>
    <row r="29">
      <c r="A29" s="39" t="n">
        <v>46022</v>
      </c>
      <c r="B29" s="100">
        <f>IFERROR(IF(INDEX(Polymarket!$B$25:$B$303,MATCH($A29,Polymarket!$A$25:$A$303,0))=0,"",INDEX(Polymarket!$B$25:$B$303,MATCH($A29,Polymarket!$A$25:$A$303,0))),"")</f>
        <v/>
      </c>
      <c r="C29" s="100">
        <f>IFERROR(IF(INDEX(Kalshi!$D$31:$D$485,MATCH($A29,Kalshi!$A$31:$A$485,0))=0,"",INDEX(Kalshi!$D$31:$D$485,MATCH($A29,Kalshi!$A$31:$A$485,0))),"")</f>
        <v/>
      </c>
      <c r="D29" s="18">
        <f>IF(AND(ISNUMBER(B29),ISNUMBER(C29)),B29-C29,"")</f>
        <v/>
      </c>
      <c r="E29" s="17">
        <f>IF(ISNUMBER(D29),ABS(D29),"")</f>
        <v/>
      </c>
      <c r="F29" s="100">
        <f>IFERROR(IF(INDEX(Polymarket!$C$25:$C$303,MATCH($A29,Polymarket!$A$25:$A$303,0))=0,"",INDEX(Polymarket!$C$25:$C$303,MATCH($A29,Polymarket!$A$25:$A$303,0))),"")</f>
        <v/>
      </c>
      <c r="G29" s="100">
        <f>IFERROR(IF(INDEX(Kalshi!$G$31:$G$485,MATCH($A29,Kalshi!$A$31:$A$485,0))=0,"",INDEX(Kalshi!$G$31:$G$485,MATCH($A29,Kalshi!$A$31:$A$485,0))),"")</f>
        <v/>
      </c>
      <c r="H29" s="20">
        <f>IF(AND(ISNUMBER(B29),ISNUMBER(C29)),MIN(B29,C29),"")</f>
        <v/>
      </c>
      <c r="I29" s="20">
        <f>IF(AND(ISNUMBER(F29),ISNUMBER(G29)),MIN(F29,G29),"")</f>
        <v/>
      </c>
      <c r="J29" s="17">
        <f>IF(AND(ISNUMBER(H29),ISNUMBER(I29)),H29+I29,"")</f>
        <v/>
      </c>
      <c r="K29" s="16" t="n">
        <v>0.5</v>
      </c>
      <c r="L29" s="26" t="inlineStr">
        <is>
          <t>31 Dec</t>
        </is>
      </c>
    </row>
    <row r="30">
      <c r="A30" s="41" t="n">
        <v>46023</v>
      </c>
      <c r="B30" s="101">
        <f>IFERROR(IF(INDEX(Polymarket!$B$25:$B$303,MATCH($A30,Polymarket!$A$25:$A$303,0))=0,"",INDEX(Polymarket!$B$25:$B$303,MATCH($A30,Polymarket!$A$25:$A$303,0))),"")</f>
        <v/>
      </c>
      <c r="C30" s="101">
        <f>IFERROR(IF(INDEX(Kalshi!$D$31:$D$485,MATCH($A30,Kalshi!$A$31:$A$485,0))=0,"",INDEX(Kalshi!$D$31:$D$485,MATCH($A30,Kalshi!$A$31:$A$485,0))),"")</f>
        <v/>
      </c>
      <c r="D30" s="31">
        <f>IF(AND(ISNUMBER(B30),ISNUMBER(C30)),B30-C30,"")</f>
        <v/>
      </c>
      <c r="E30" s="29">
        <f>IF(ISNUMBER(D30),ABS(D30),"")</f>
        <v/>
      </c>
      <c r="F30" s="101">
        <f>IFERROR(IF(INDEX(Polymarket!$C$25:$C$303,MATCH($A30,Polymarket!$A$25:$A$303,0))=0,"",INDEX(Polymarket!$C$25:$C$303,MATCH($A30,Polymarket!$A$25:$A$303,0))),"")</f>
        <v/>
      </c>
      <c r="G30" s="101">
        <f>IFERROR(IF(INDEX(Kalshi!$G$31:$G$485,MATCH($A30,Kalshi!$A$31:$A$485,0))=0,"",INDEX(Kalshi!$G$31:$G$485,MATCH($A30,Kalshi!$A$31:$A$485,0))),"")</f>
        <v/>
      </c>
      <c r="H30" s="30">
        <f>IF(AND(ISNUMBER(B30),ISNUMBER(C30)),MIN(B30,C30),"")</f>
        <v/>
      </c>
      <c r="I30" s="30">
        <f>IF(AND(ISNUMBER(F30),ISNUMBER(G30)),MIN(F30,G30),"")</f>
        <v/>
      </c>
      <c r="J30" s="29">
        <f>IF(AND(ISNUMBER(H30),ISNUMBER(I30)),H30+I30,"")</f>
        <v/>
      </c>
      <c r="K30" s="28" t="n">
        <v>0.5</v>
      </c>
      <c r="L30" s="38" t="inlineStr">
        <is>
          <t>01 Jan</t>
        </is>
      </c>
    </row>
    <row r="31">
      <c r="A31" s="39" t="n">
        <v>46024</v>
      </c>
      <c r="B31" s="100">
        <f>IFERROR(IF(INDEX(Polymarket!$B$25:$B$303,MATCH($A31,Polymarket!$A$25:$A$303,0))=0,"",INDEX(Polymarket!$B$25:$B$303,MATCH($A31,Polymarket!$A$25:$A$303,0))),"")</f>
        <v/>
      </c>
      <c r="C31" s="100">
        <f>IFERROR(IF(INDEX(Kalshi!$D$31:$D$485,MATCH($A31,Kalshi!$A$31:$A$485,0))=0,"",INDEX(Kalshi!$D$31:$D$485,MATCH($A31,Kalshi!$A$31:$A$485,0))),"")</f>
        <v/>
      </c>
      <c r="D31" s="18">
        <f>IF(AND(ISNUMBER(B31),ISNUMBER(C31)),B31-C31,"")</f>
        <v/>
      </c>
      <c r="E31" s="17">
        <f>IF(ISNUMBER(D31),ABS(D31),"")</f>
        <v/>
      </c>
      <c r="F31" s="100">
        <f>IFERROR(IF(INDEX(Polymarket!$C$25:$C$303,MATCH($A31,Polymarket!$A$25:$A$303,0))=0,"",INDEX(Polymarket!$C$25:$C$303,MATCH($A31,Polymarket!$A$25:$A$303,0))),"")</f>
        <v/>
      </c>
      <c r="G31" s="100">
        <f>IFERROR(IF(INDEX(Kalshi!$G$31:$G$485,MATCH($A31,Kalshi!$A$31:$A$485,0))=0,"",INDEX(Kalshi!$G$31:$G$485,MATCH($A31,Kalshi!$A$31:$A$485,0))),"")</f>
        <v/>
      </c>
      <c r="H31" s="20">
        <f>IF(AND(ISNUMBER(B31),ISNUMBER(C31)),MIN(B31,C31),"")</f>
        <v/>
      </c>
      <c r="I31" s="20">
        <f>IF(AND(ISNUMBER(F31),ISNUMBER(G31)),MIN(F31,G31),"")</f>
        <v/>
      </c>
      <c r="J31" s="17">
        <f>IF(AND(ISNUMBER(H31),ISNUMBER(I31)),H31+I31,"")</f>
        <v/>
      </c>
      <c r="K31" s="16" t="n">
        <v>0.5</v>
      </c>
      <c r="L31" s="26" t="inlineStr">
        <is>
          <t>02 Jan</t>
        </is>
      </c>
    </row>
    <row r="32">
      <c r="A32" s="41" t="n">
        <v>46025</v>
      </c>
      <c r="B32" s="101">
        <f>IFERROR(IF(INDEX(Polymarket!$B$25:$B$303,MATCH($A32,Polymarket!$A$25:$A$303,0))=0,"",INDEX(Polymarket!$B$25:$B$303,MATCH($A32,Polymarket!$A$25:$A$303,0))),"")</f>
        <v/>
      </c>
      <c r="C32" s="101">
        <f>IFERROR(IF(INDEX(Kalshi!$D$31:$D$485,MATCH($A32,Kalshi!$A$31:$A$485,0))=0,"",INDEX(Kalshi!$D$31:$D$485,MATCH($A32,Kalshi!$A$31:$A$485,0))),"")</f>
        <v/>
      </c>
      <c r="D32" s="31">
        <f>IF(AND(ISNUMBER(B32),ISNUMBER(C32)),B32-C32,"")</f>
        <v/>
      </c>
      <c r="E32" s="29">
        <f>IF(ISNUMBER(D32),ABS(D32),"")</f>
        <v/>
      </c>
      <c r="F32" s="101">
        <f>IFERROR(IF(INDEX(Polymarket!$C$25:$C$303,MATCH($A32,Polymarket!$A$25:$A$303,0))=0,"",INDEX(Polymarket!$C$25:$C$303,MATCH($A32,Polymarket!$A$25:$A$303,0))),"")</f>
        <v/>
      </c>
      <c r="G32" s="101">
        <f>IFERROR(IF(INDEX(Kalshi!$G$31:$G$485,MATCH($A32,Kalshi!$A$31:$A$485,0))=0,"",INDEX(Kalshi!$G$31:$G$485,MATCH($A32,Kalshi!$A$31:$A$485,0))),"")</f>
        <v/>
      </c>
      <c r="H32" s="30">
        <f>IF(AND(ISNUMBER(B32),ISNUMBER(C32)),MIN(B32,C32),"")</f>
        <v/>
      </c>
      <c r="I32" s="30">
        <f>IF(AND(ISNUMBER(F32),ISNUMBER(G32)),MIN(F32,G32),"")</f>
        <v/>
      </c>
      <c r="J32" s="29">
        <f>IF(AND(ISNUMBER(H32),ISNUMBER(I32)),H32+I32,"")</f>
        <v/>
      </c>
      <c r="K32" s="28" t="n">
        <v>0.5</v>
      </c>
      <c r="L32" s="38" t="inlineStr">
        <is>
          <t>03 Jan</t>
        </is>
      </c>
    </row>
    <row r="33">
      <c r="A33" s="39" t="n">
        <v>46026</v>
      </c>
      <c r="B33" s="100">
        <f>IFERROR(IF(INDEX(Polymarket!$B$25:$B$303,MATCH($A33,Polymarket!$A$25:$A$303,0))=0,"",INDEX(Polymarket!$B$25:$B$303,MATCH($A33,Polymarket!$A$25:$A$303,0))),"")</f>
        <v/>
      </c>
      <c r="C33" s="100">
        <f>IFERROR(IF(INDEX(Kalshi!$D$31:$D$485,MATCH($A33,Kalshi!$A$31:$A$485,0))=0,"",INDEX(Kalshi!$D$31:$D$485,MATCH($A33,Kalshi!$A$31:$A$485,0))),"")</f>
        <v/>
      </c>
      <c r="D33" s="18">
        <f>IF(AND(ISNUMBER(B33),ISNUMBER(C33)),B33-C33,"")</f>
        <v/>
      </c>
      <c r="E33" s="17">
        <f>IF(ISNUMBER(D33),ABS(D33),"")</f>
        <v/>
      </c>
      <c r="F33" s="100">
        <f>IFERROR(IF(INDEX(Polymarket!$C$25:$C$303,MATCH($A33,Polymarket!$A$25:$A$303,0))=0,"",INDEX(Polymarket!$C$25:$C$303,MATCH($A33,Polymarket!$A$25:$A$303,0))),"")</f>
        <v/>
      </c>
      <c r="G33" s="100">
        <f>IFERROR(IF(INDEX(Kalshi!$G$31:$G$485,MATCH($A33,Kalshi!$A$31:$A$485,0))=0,"",INDEX(Kalshi!$G$31:$G$485,MATCH($A33,Kalshi!$A$31:$A$485,0))),"")</f>
        <v/>
      </c>
      <c r="H33" s="20">
        <f>IF(AND(ISNUMBER(B33),ISNUMBER(C33)),MIN(B33,C33),"")</f>
        <v/>
      </c>
      <c r="I33" s="20">
        <f>IF(AND(ISNUMBER(F33),ISNUMBER(G33)),MIN(F33,G33),"")</f>
        <v/>
      </c>
      <c r="J33" s="17">
        <f>IF(AND(ISNUMBER(H33),ISNUMBER(I33)),H33+I33,"")</f>
        <v/>
      </c>
      <c r="K33" s="16" t="n">
        <v>0.5</v>
      </c>
      <c r="L33" s="26" t="inlineStr">
        <is>
          <t>04 Jan</t>
        </is>
      </c>
    </row>
    <row r="34">
      <c r="A34" s="41" t="n">
        <v>46027</v>
      </c>
      <c r="B34" s="101">
        <f>IFERROR(IF(INDEX(Polymarket!$B$25:$B$303,MATCH($A34,Polymarket!$A$25:$A$303,0))=0,"",INDEX(Polymarket!$B$25:$B$303,MATCH($A34,Polymarket!$A$25:$A$303,0))),"")</f>
        <v/>
      </c>
      <c r="C34" s="101">
        <f>IFERROR(IF(INDEX(Kalshi!$D$31:$D$485,MATCH($A34,Kalshi!$A$31:$A$485,0))=0,"",INDEX(Kalshi!$D$31:$D$485,MATCH($A34,Kalshi!$A$31:$A$485,0))),"")</f>
        <v/>
      </c>
      <c r="D34" s="31">
        <f>IF(AND(ISNUMBER(B34),ISNUMBER(C34)),B34-C34,"")</f>
        <v/>
      </c>
      <c r="E34" s="29">
        <f>IF(ISNUMBER(D34),ABS(D34),"")</f>
        <v/>
      </c>
      <c r="F34" s="101">
        <f>IFERROR(IF(INDEX(Polymarket!$C$25:$C$303,MATCH($A34,Polymarket!$A$25:$A$303,0))=0,"",INDEX(Polymarket!$C$25:$C$303,MATCH($A34,Polymarket!$A$25:$A$303,0))),"")</f>
        <v/>
      </c>
      <c r="G34" s="101">
        <f>IFERROR(IF(INDEX(Kalshi!$G$31:$G$485,MATCH($A34,Kalshi!$A$31:$A$485,0))=0,"",INDEX(Kalshi!$G$31:$G$485,MATCH($A34,Kalshi!$A$31:$A$485,0))),"")</f>
        <v/>
      </c>
      <c r="H34" s="30">
        <f>IF(AND(ISNUMBER(B34),ISNUMBER(C34)),MIN(B34,C34),"")</f>
        <v/>
      </c>
      <c r="I34" s="30">
        <f>IF(AND(ISNUMBER(F34),ISNUMBER(G34)),MIN(F34,G34),"")</f>
        <v/>
      </c>
      <c r="J34" s="29">
        <f>IF(AND(ISNUMBER(H34),ISNUMBER(I34)),H34+I34,"")</f>
        <v/>
      </c>
      <c r="K34" s="28" t="n">
        <v>0.5</v>
      </c>
      <c r="L34" s="38" t="inlineStr">
        <is>
          <t>05 Jan</t>
        </is>
      </c>
    </row>
    <row r="35">
      <c r="A35" s="39" t="n">
        <v>46028</v>
      </c>
      <c r="B35" s="100">
        <f>IFERROR(IF(INDEX(Polymarket!$B$25:$B$303,MATCH($A35,Polymarket!$A$25:$A$303,0))=0,"",INDEX(Polymarket!$B$25:$B$303,MATCH($A35,Polymarket!$A$25:$A$303,0))),"")</f>
        <v/>
      </c>
      <c r="C35" s="100">
        <f>IFERROR(IF(INDEX(Kalshi!$D$31:$D$485,MATCH($A35,Kalshi!$A$31:$A$485,0))=0,"",INDEX(Kalshi!$D$31:$D$485,MATCH($A35,Kalshi!$A$31:$A$485,0))),"")</f>
        <v/>
      </c>
      <c r="D35" s="18">
        <f>IF(AND(ISNUMBER(B35),ISNUMBER(C35)),B35-C35,"")</f>
        <v/>
      </c>
      <c r="E35" s="17">
        <f>IF(ISNUMBER(D35),ABS(D35),"")</f>
        <v/>
      </c>
      <c r="F35" s="100">
        <f>IFERROR(IF(INDEX(Polymarket!$C$25:$C$303,MATCH($A35,Polymarket!$A$25:$A$303,0))=0,"",INDEX(Polymarket!$C$25:$C$303,MATCH($A35,Polymarket!$A$25:$A$303,0))),"")</f>
        <v/>
      </c>
      <c r="G35" s="100">
        <f>IFERROR(IF(INDEX(Kalshi!$G$31:$G$485,MATCH($A35,Kalshi!$A$31:$A$485,0))=0,"",INDEX(Kalshi!$G$31:$G$485,MATCH($A35,Kalshi!$A$31:$A$485,0))),"")</f>
        <v/>
      </c>
      <c r="H35" s="20">
        <f>IF(AND(ISNUMBER(B35),ISNUMBER(C35)),MIN(B35,C35),"")</f>
        <v/>
      </c>
      <c r="I35" s="20">
        <f>IF(AND(ISNUMBER(F35),ISNUMBER(G35)),MIN(F35,G35),"")</f>
        <v/>
      </c>
      <c r="J35" s="17">
        <f>IF(AND(ISNUMBER(H35),ISNUMBER(I35)),H35+I35,"")</f>
        <v/>
      </c>
      <c r="K35" s="16" t="n">
        <v>0.5</v>
      </c>
      <c r="L35" s="26" t="inlineStr">
        <is>
          <t>06 Jan</t>
        </is>
      </c>
    </row>
    <row r="36">
      <c r="A36" s="41" t="n">
        <v>46029</v>
      </c>
      <c r="B36" s="101">
        <f>IFERROR(IF(INDEX(Polymarket!$B$25:$B$303,MATCH($A36,Polymarket!$A$25:$A$303,0))=0,"",INDEX(Polymarket!$B$25:$B$303,MATCH($A36,Polymarket!$A$25:$A$303,0))),"")</f>
        <v/>
      </c>
      <c r="C36" s="101">
        <f>IFERROR(IF(INDEX(Kalshi!$D$31:$D$485,MATCH($A36,Kalshi!$A$31:$A$485,0))=0,"",INDEX(Kalshi!$D$31:$D$485,MATCH($A36,Kalshi!$A$31:$A$485,0))),"")</f>
        <v/>
      </c>
      <c r="D36" s="31">
        <f>IF(AND(ISNUMBER(B36),ISNUMBER(C36)),B36-C36,"")</f>
        <v/>
      </c>
      <c r="E36" s="29">
        <f>IF(ISNUMBER(D36),ABS(D36),"")</f>
        <v/>
      </c>
      <c r="F36" s="101">
        <f>IFERROR(IF(INDEX(Polymarket!$C$25:$C$303,MATCH($A36,Polymarket!$A$25:$A$303,0))=0,"",INDEX(Polymarket!$C$25:$C$303,MATCH($A36,Polymarket!$A$25:$A$303,0))),"")</f>
        <v/>
      </c>
      <c r="G36" s="101">
        <f>IFERROR(IF(INDEX(Kalshi!$G$31:$G$485,MATCH($A36,Kalshi!$A$31:$A$485,0))=0,"",INDEX(Kalshi!$G$31:$G$485,MATCH($A36,Kalshi!$A$31:$A$485,0))),"")</f>
        <v/>
      </c>
      <c r="H36" s="30">
        <f>IF(AND(ISNUMBER(B36),ISNUMBER(C36)),MIN(B36,C36),"")</f>
        <v/>
      </c>
      <c r="I36" s="30">
        <f>IF(AND(ISNUMBER(F36),ISNUMBER(G36)),MIN(F36,G36),"")</f>
        <v/>
      </c>
      <c r="J36" s="29">
        <f>IF(AND(ISNUMBER(H36),ISNUMBER(I36)),H36+I36,"")</f>
        <v/>
      </c>
      <c r="K36" s="28" t="n">
        <v>0.5</v>
      </c>
      <c r="L36" s="38" t="inlineStr">
        <is>
          <t>07 Jan</t>
        </is>
      </c>
    </row>
    <row r="37">
      <c r="A37" s="39" t="n">
        <v>46030</v>
      </c>
      <c r="B37" s="100">
        <f>IFERROR(IF(INDEX(Polymarket!$B$25:$B$303,MATCH($A37,Polymarket!$A$25:$A$303,0))=0,"",INDEX(Polymarket!$B$25:$B$303,MATCH($A37,Polymarket!$A$25:$A$303,0))),"")</f>
        <v/>
      </c>
      <c r="C37" s="100">
        <f>IFERROR(IF(INDEX(Kalshi!$D$31:$D$485,MATCH($A37,Kalshi!$A$31:$A$485,0))=0,"",INDEX(Kalshi!$D$31:$D$485,MATCH($A37,Kalshi!$A$31:$A$485,0))),"")</f>
        <v/>
      </c>
      <c r="D37" s="18">
        <f>IF(AND(ISNUMBER(B37),ISNUMBER(C37)),B37-C37,"")</f>
        <v/>
      </c>
      <c r="E37" s="17">
        <f>IF(ISNUMBER(D37),ABS(D37),"")</f>
        <v/>
      </c>
      <c r="F37" s="100">
        <f>IFERROR(IF(INDEX(Polymarket!$C$25:$C$303,MATCH($A37,Polymarket!$A$25:$A$303,0))=0,"",INDEX(Polymarket!$C$25:$C$303,MATCH($A37,Polymarket!$A$25:$A$303,0))),"")</f>
        <v/>
      </c>
      <c r="G37" s="100">
        <f>IFERROR(IF(INDEX(Kalshi!$G$31:$G$485,MATCH($A37,Kalshi!$A$31:$A$485,0))=0,"",INDEX(Kalshi!$G$31:$G$485,MATCH($A37,Kalshi!$A$31:$A$485,0))),"")</f>
        <v/>
      </c>
      <c r="H37" s="20">
        <f>IF(AND(ISNUMBER(B37),ISNUMBER(C37)),MIN(B37,C37),"")</f>
        <v/>
      </c>
      <c r="I37" s="20">
        <f>IF(AND(ISNUMBER(F37),ISNUMBER(G37)),MIN(F37,G37),"")</f>
        <v/>
      </c>
      <c r="J37" s="17">
        <f>IF(AND(ISNUMBER(H37),ISNUMBER(I37)),H37+I37,"")</f>
        <v/>
      </c>
      <c r="K37" s="16" t="n">
        <v>0.5</v>
      </c>
      <c r="L37" s="26" t="inlineStr">
        <is>
          <t>08 Jan</t>
        </is>
      </c>
    </row>
    <row r="38">
      <c r="A38" s="41" t="n">
        <v>46031</v>
      </c>
      <c r="B38" s="101">
        <f>IFERROR(IF(INDEX(Polymarket!$B$25:$B$303,MATCH($A38,Polymarket!$A$25:$A$303,0))=0,"",INDEX(Polymarket!$B$25:$B$303,MATCH($A38,Polymarket!$A$25:$A$303,0))),"")</f>
        <v/>
      </c>
      <c r="C38" s="101">
        <f>IFERROR(IF(INDEX(Kalshi!$D$31:$D$485,MATCH($A38,Kalshi!$A$31:$A$485,0))=0,"",INDEX(Kalshi!$D$31:$D$485,MATCH($A38,Kalshi!$A$31:$A$485,0))),"")</f>
        <v/>
      </c>
      <c r="D38" s="31">
        <f>IF(AND(ISNUMBER(B38),ISNUMBER(C38)),B38-C38,"")</f>
        <v/>
      </c>
      <c r="E38" s="29">
        <f>IF(ISNUMBER(D38),ABS(D38),"")</f>
        <v/>
      </c>
      <c r="F38" s="101">
        <f>IFERROR(IF(INDEX(Polymarket!$C$25:$C$303,MATCH($A38,Polymarket!$A$25:$A$303,0))=0,"",INDEX(Polymarket!$C$25:$C$303,MATCH($A38,Polymarket!$A$25:$A$303,0))),"")</f>
        <v/>
      </c>
      <c r="G38" s="101">
        <f>IFERROR(IF(INDEX(Kalshi!$G$31:$G$485,MATCH($A38,Kalshi!$A$31:$A$485,0))=0,"",INDEX(Kalshi!$G$31:$G$485,MATCH($A38,Kalshi!$A$31:$A$485,0))),"")</f>
        <v/>
      </c>
      <c r="H38" s="30">
        <f>IF(AND(ISNUMBER(B38),ISNUMBER(C38)),MIN(B38,C38),"")</f>
        <v/>
      </c>
      <c r="I38" s="30">
        <f>IF(AND(ISNUMBER(F38),ISNUMBER(G38)),MIN(F38,G38),"")</f>
        <v/>
      </c>
      <c r="J38" s="29">
        <f>IF(AND(ISNUMBER(H38),ISNUMBER(I38)),H38+I38,"")</f>
        <v/>
      </c>
      <c r="K38" s="28" t="n">
        <v>0.5</v>
      </c>
      <c r="L38" s="38" t="inlineStr">
        <is>
          <t>09 Jan</t>
        </is>
      </c>
    </row>
    <row r="39">
      <c r="A39" s="39" t="n">
        <v>46032</v>
      </c>
      <c r="B39" s="100">
        <f>IFERROR(IF(INDEX(Polymarket!$B$25:$B$303,MATCH($A39,Polymarket!$A$25:$A$303,0))=0,"",INDEX(Polymarket!$B$25:$B$303,MATCH($A39,Polymarket!$A$25:$A$303,0))),"")</f>
        <v/>
      </c>
      <c r="C39" s="100">
        <f>IFERROR(IF(INDEX(Kalshi!$D$31:$D$485,MATCH($A39,Kalshi!$A$31:$A$485,0))=0,"",INDEX(Kalshi!$D$31:$D$485,MATCH($A39,Kalshi!$A$31:$A$485,0))),"")</f>
        <v/>
      </c>
      <c r="D39" s="18">
        <f>IF(AND(ISNUMBER(B39),ISNUMBER(C39)),B39-C39,"")</f>
        <v/>
      </c>
      <c r="E39" s="17">
        <f>IF(ISNUMBER(D39),ABS(D39),"")</f>
        <v/>
      </c>
      <c r="F39" s="100">
        <f>IFERROR(IF(INDEX(Polymarket!$C$25:$C$303,MATCH($A39,Polymarket!$A$25:$A$303,0))=0,"",INDEX(Polymarket!$C$25:$C$303,MATCH($A39,Polymarket!$A$25:$A$303,0))),"")</f>
        <v/>
      </c>
      <c r="G39" s="100">
        <f>IFERROR(IF(INDEX(Kalshi!$G$31:$G$485,MATCH($A39,Kalshi!$A$31:$A$485,0))=0,"",INDEX(Kalshi!$G$31:$G$485,MATCH($A39,Kalshi!$A$31:$A$485,0))),"")</f>
        <v/>
      </c>
      <c r="H39" s="20">
        <f>IF(AND(ISNUMBER(B39),ISNUMBER(C39)),MIN(B39,C39),"")</f>
        <v/>
      </c>
      <c r="I39" s="20">
        <f>IF(AND(ISNUMBER(F39),ISNUMBER(G39)),MIN(F39,G39),"")</f>
        <v/>
      </c>
      <c r="J39" s="17">
        <f>IF(AND(ISNUMBER(H39),ISNUMBER(I39)),H39+I39,"")</f>
        <v/>
      </c>
      <c r="K39" s="16" t="n">
        <v>0.5</v>
      </c>
      <c r="L39" s="26" t="inlineStr">
        <is>
          <t>10 Jan</t>
        </is>
      </c>
    </row>
    <row r="40">
      <c r="A40" s="41" t="n">
        <v>46033</v>
      </c>
      <c r="B40" s="101">
        <f>IFERROR(IF(INDEX(Polymarket!$B$25:$B$303,MATCH($A40,Polymarket!$A$25:$A$303,0))=0,"",INDEX(Polymarket!$B$25:$B$303,MATCH($A40,Polymarket!$A$25:$A$303,0))),"")</f>
        <v/>
      </c>
      <c r="C40" s="101">
        <f>IFERROR(IF(INDEX(Kalshi!$D$31:$D$485,MATCH($A40,Kalshi!$A$31:$A$485,0))=0,"",INDEX(Kalshi!$D$31:$D$485,MATCH($A40,Kalshi!$A$31:$A$485,0))),"")</f>
        <v/>
      </c>
      <c r="D40" s="31">
        <f>IF(AND(ISNUMBER(B40),ISNUMBER(C40)),B40-C40,"")</f>
        <v/>
      </c>
      <c r="E40" s="29">
        <f>IF(ISNUMBER(D40),ABS(D40),"")</f>
        <v/>
      </c>
      <c r="F40" s="101">
        <f>IFERROR(IF(INDEX(Polymarket!$C$25:$C$303,MATCH($A40,Polymarket!$A$25:$A$303,0))=0,"",INDEX(Polymarket!$C$25:$C$303,MATCH($A40,Polymarket!$A$25:$A$303,0))),"")</f>
        <v/>
      </c>
      <c r="G40" s="101">
        <f>IFERROR(IF(INDEX(Kalshi!$G$31:$G$485,MATCH($A40,Kalshi!$A$31:$A$485,0))=0,"",INDEX(Kalshi!$G$31:$G$485,MATCH($A40,Kalshi!$A$31:$A$485,0))),"")</f>
        <v/>
      </c>
      <c r="H40" s="30">
        <f>IF(AND(ISNUMBER(B40),ISNUMBER(C40)),MIN(B40,C40),"")</f>
        <v/>
      </c>
      <c r="I40" s="30">
        <f>IF(AND(ISNUMBER(F40),ISNUMBER(G40)),MIN(F40,G40),"")</f>
        <v/>
      </c>
      <c r="J40" s="29">
        <f>IF(AND(ISNUMBER(H40),ISNUMBER(I40)),H40+I40,"")</f>
        <v/>
      </c>
      <c r="K40" s="28" t="n">
        <v>0.5</v>
      </c>
      <c r="L40" s="38" t="inlineStr">
        <is>
          <t>11 Jan</t>
        </is>
      </c>
    </row>
    <row r="41">
      <c r="A41" s="39" t="n">
        <v>46034</v>
      </c>
      <c r="B41" s="100">
        <f>IFERROR(IF(INDEX(Polymarket!$B$25:$B$303,MATCH($A41,Polymarket!$A$25:$A$303,0))=0,"",INDEX(Polymarket!$B$25:$B$303,MATCH($A41,Polymarket!$A$25:$A$303,0))),"")</f>
        <v/>
      </c>
      <c r="C41" s="100">
        <f>IFERROR(IF(INDEX(Kalshi!$D$31:$D$485,MATCH($A41,Kalshi!$A$31:$A$485,0))=0,"",INDEX(Kalshi!$D$31:$D$485,MATCH($A41,Kalshi!$A$31:$A$485,0))),"")</f>
        <v/>
      </c>
      <c r="D41" s="18">
        <f>IF(AND(ISNUMBER(B41),ISNUMBER(C41)),B41-C41,"")</f>
        <v/>
      </c>
      <c r="E41" s="17">
        <f>IF(ISNUMBER(D41),ABS(D41),"")</f>
        <v/>
      </c>
      <c r="F41" s="100">
        <f>IFERROR(IF(INDEX(Polymarket!$C$25:$C$303,MATCH($A41,Polymarket!$A$25:$A$303,0))=0,"",INDEX(Polymarket!$C$25:$C$303,MATCH($A41,Polymarket!$A$25:$A$303,0))),"")</f>
        <v/>
      </c>
      <c r="G41" s="100">
        <f>IFERROR(IF(INDEX(Kalshi!$G$31:$G$485,MATCH($A41,Kalshi!$A$31:$A$485,0))=0,"",INDEX(Kalshi!$G$31:$G$485,MATCH($A41,Kalshi!$A$31:$A$485,0))),"")</f>
        <v/>
      </c>
      <c r="H41" s="20">
        <f>IF(AND(ISNUMBER(B41),ISNUMBER(C41)),MIN(B41,C41),"")</f>
        <v/>
      </c>
      <c r="I41" s="20">
        <f>IF(AND(ISNUMBER(F41),ISNUMBER(G41)),MIN(F41,G41),"")</f>
        <v/>
      </c>
      <c r="J41" s="17">
        <f>IF(AND(ISNUMBER(H41),ISNUMBER(I41)),H41+I41,"")</f>
        <v/>
      </c>
      <c r="K41" s="16" t="n">
        <v>0.5</v>
      </c>
      <c r="L41" s="26" t="inlineStr">
        <is>
          <t>12 Jan</t>
        </is>
      </c>
    </row>
    <row r="42">
      <c r="A42" s="41" t="n">
        <v>46035</v>
      </c>
      <c r="B42" s="101">
        <f>IFERROR(IF(INDEX(Polymarket!$B$25:$B$303,MATCH($A42,Polymarket!$A$25:$A$303,0))=0,"",INDEX(Polymarket!$B$25:$B$303,MATCH($A42,Polymarket!$A$25:$A$303,0))),"")</f>
        <v/>
      </c>
      <c r="C42" s="101">
        <f>IFERROR(IF(INDEX(Kalshi!$D$31:$D$485,MATCH($A42,Kalshi!$A$31:$A$485,0))=0,"",INDEX(Kalshi!$D$31:$D$485,MATCH($A42,Kalshi!$A$31:$A$485,0))),"")</f>
        <v/>
      </c>
      <c r="D42" s="31">
        <f>IF(AND(ISNUMBER(B42),ISNUMBER(C42)),B42-C42,"")</f>
        <v/>
      </c>
      <c r="E42" s="29">
        <f>IF(ISNUMBER(D42),ABS(D42),"")</f>
        <v/>
      </c>
      <c r="F42" s="101">
        <f>IFERROR(IF(INDEX(Polymarket!$C$25:$C$303,MATCH($A42,Polymarket!$A$25:$A$303,0))=0,"",INDEX(Polymarket!$C$25:$C$303,MATCH($A42,Polymarket!$A$25:$A$303,0))),"")</f>
        <v/>
      </c>
      <c r="G42" s="101">
        <f>IFERROR(IF(INDEX(Kalshi!$G$31:$G$485,MATCH($A42,Kalshi!$A$31:$A$485,0))=0,"",INDEX(Kalshi!$G$31:$G$485,MATCH($A42,Kalshi!$A$31:$A$485,0))),"")</f>
        <v/>
      </c>
      <c r="H42" s="30">
        <f>IF(AND(ISNUMBER(B42),ISNUMBER(C42)),MIN(B42,C42),"")</f>
        <v/>
      </c>
      <c r="I42" s="30">
        <f>IF(AND(ISNUMBER(F42),ISNUMBER(G42)),MIN(F42,G42),"")</f>
        <v/>
      </c>
      <c r="J42" s="29">
        <f>IF(AND(ISNUMBER(H42),ISNUMBER(I42)),H42+I42,"")</f>
        <v/>
      </c>
      <c r="K42" s="28" t="n">
        <v>0.5</v>
      </c>
      <c r="L42" s="38" t="inlineStr">
        <is>
          <t>13 Jan</t>
        </is>
      </c>
    </row>
    <row r="43">
      <c r="A43" s="39" t="n">
        <v>46036</v>
      </c>
      <c r="B43" s="100">
        <f>IFERROR(IF(INDEX(Polymarket!$B$25:$B$303,MATCH($A43,Polymarket!$A$25:$A$303,0))=0,"",INDEX(Polymarket!$B$25:$B$303,MATCH($A43,Polymarket!$A$25:$A$303,0))),"")</f>
        <v/>
      </c>
      <c r="C43" s="100">
        <f>IFERROR(IF(INDEX(Kalshi!$D$31:$D$485,MATCH($A43,Kalshi!$A$31:$A$485,0))=0,"",INDEX(Kalshi!$D$31:$D$485,MATCH($A43,Kalshi!$A$31:$A$485,0))),"")</f>
        <v/>
      </c>
      <c r="D43" s="18">
        <f>IF(AND(ISNUMBER(B43),ISNUMBER(C43)),B43-C43,"")</f>
        <v/>
      </c>
      <c r="E43" s="17">
        <f>IF(ISNUMBER(D43),ABS(D43),"")</f>
        <v/>
      </c>
      <c r="F43" s="100">
        <f>IFERROR(IF(INDEX(Polymarket!$C$25:$C$303,MATCH($A43,Polymarket!$A$25:$A$303,0))=0,"",INDEX(Polymarket!$C$25:$C$303,MATCH($A43,Polymarket!$A$25:$A$303,0))),"")</f>
        <v/>
      </c>
      <c r="G43" s="100">
        <f>IFERROR(IF(INDEX(Kalshi!$G$31:$G$485,MATCH($A43,Kalshi!$A$31:$A$485,0))=0,"",INDEX(Kalshi!$G$31:$G$485,MATCH($A43,Kalshi!$A$31:$A$485,0))),"")</f>
        <v/>
      </c>
      <c r="H43" s="20">
        <f>IF(AND(ISNUMBER(B43),ISNUMBER(C43)),MIN(B43,C43),"")</f>
        <v/>
      </c>
      <c r="I43" s="20">
        <f>IF(AND(ISNUMBER(F43),ISNUMBER(G43)),MIN(F43,G43),"")</f>
        <v/>
      </c>
      <c r="J43" s="17">
        <f>IF(AND(ISNUMBER(H43),ISNUMBER(I43)),H43+I43,"")</f>
        <v/>
      </c>
      <c r="K43" s="16" t="n">
        <v>0.5</v>
      </c>
      <c r="L43" s="26" t="inlineStr">
        <is>
          <t>14 Jan</t>
        </is>
      </c>
    </row>
    <row r="44">
      <c r="A44" s="41" t="n">
        <v>46037</v>
      </c>
      <c r="B44" s="101">
        <f>IFERROR(IF(INDEX(Polymarket!$B$25:$B$303,MATCH($A44,Polymarket!$A$25:$A$303,0))=0,"",INDEX(Polymarket!$B$25:$B$303,MATCH($A44,Polymarket!$A$25:$A$303,0))),"")</f>
        <v/>
      </c>
      <c r="C44" s="101">
        <f>IFERROR(IF(INDEX(Kalshi!$D$31:$D$485,MATCH($A44,Kalshi!$A$31:$A$485,0))=0,"",INDEX(Kalshi!$D$31:$D$485,MATCH($A44,Kalshi!$A$31:$A$485,0))),"")</f>
        <v/>
      </c>
      <c r="D44" s="31">
        <f>IF(AND(ISNUMBER(B44),ISNUMBER(C44)),B44-C44,"")</f>
        <v/>
      </c>
      <c r="E44" s="29">
        <f>IF(ISNUMBER(D44),ABS(D44),"")</f>
        <v/>
      </c>
      <c r="F44" s="101">
        <f>IFERROR(IF(INDEX(Polymarket!$C$25:$C$303,MATCH($A44,Polymarket!$A$25:$A$303,0))=0,"",INDEX(Polymarket!$C$25:$C$303,MATCH($A44,Polymarket!$A$25:$A$303,0))),"")</f>
        <v/>
      </c>
      <c r="G44" s="101">
        <f>IFERROR(IF(INDEX(Kalshi!$G$31:$G$485,MATCH($A44,Kalshi!$A$31:$A$485,0))=0,"",INDEX(Kalshi!$G$31:$G$485,MATCH($A44,Kalshi!$A$31:$A$485,0))),"")</f>
        <v/>
      </c>
      <c r="H44" s="30">
        <f>IF(AND(ISNUMBER(B44),ISNUMBER(C44)),MIN(B44,C44),"")</f>
        <v/>
      </c>
      <c r="I44" s="30">
        <f>IF(AND(ISNUMBER(F44),ISNUMBER(G44)),MIN(F44,G44),"")</f>
        <v/>
      </c>
      <c r="J44" s="29">
        <f>IF(AND(ISNUMBER(H44),ISNUMBER(I44)),H44+I44,"")</f>
        <v/>
      </c>
      <c r="K44" s="28" t="n">
        <v>0.5</v>
      </c>
      <c r="L44" s="38" t="inlineStr">
        <is>
          <t>15 Jan</t>
        </is>
      </c>
    </row>
    <row r="45">
      <c r="A45" s="39" t="n">
        <v>46038</v>
      </c>
      <c r="B45" s="100">
        <f>IFERROR(IF(INDEX(Polymarket!$B$25:$B$303,MATCH($A45,Polymarket!$A$25:$A$303,0))=0,"",INDEX(Polymarket!$B$25:$B$303,MATCH($A45,Polymarket!$A$25:$A$303,0))),"")</f>
        <v/>
      </c>
      <c r="C45" s="100">
        <f>IFERROR(IF(INDEX(Kalshi!$D$31:$D$485,MATCH($A45,Kalshi!$A$31:$A$485,0))=0,"",INDEX(Kalshi!$D$31:$D$485,MATCH($A45,Kalshi!$A$31:$A$485,0))),"")</f>
        <v/>
      </c>
      <c r="D45" s="18">
        <f>IF(AND(ISNUMBER(B45),ISNUMBER(C45)),B45-C45,"")</f>
        <v/>
      </c>
      <c r="E45" s="17">
        <f>IF(ISNUMBER(D45),ABS(D45),"")</f>
        <v/>
      </c>
      <c r="F45" s="100">
        <f>IFERROR(IF(INDEX(Polymarket!$C$25:$C$303,MATCH($A45,Polymarket!$A$25:$A$303,0))=0,"",INDEX(Polymarket!$C$25:$C$303,MATCH($A45,Polymarket!$A$25:$A$303,0))),"")</f>
        <v/>
      </c>
      <c r="G45" s="100">
        <f>IFERROR(IF(INDEX(Kalshi!$G$31:$G$485,MATCH($A45,Kalshi!$A$31:$A$485,0))=0,"",INDEX(Kalshi!$G$31:$G$485,MATCH($A45,Kalshi!$A$31:$A$485,0))),"")</f>
        <v/>
      </c>
      <c r="H45" s="20">
        <f>IF(AND(ISNUMBER(B45),ISNUMBER(C45)),MIN(B45,C45),"")</f>
        <v/>
      </c>
      <c r="I45" s="20">
        <f>IF(AND(ISNUMBER(F45),ISNUMBER(G45)),MIN(F45,G45),"")</f>
        <v/>
      </c>
      <c r="J45" s="17">
        <f>IF(AND(ISNUMBER(H45),ISNUMBER(I45)),H45+I45,"")</f>
        <v/>
      </c>
      <c r="K45" s="16" t="n">
        <v>0.5</v>
      </c>
      <c r="L45" s="26" t="inlineStr">
        <is>
          <t>16 Jan</t>
        </is>
      </c>
    </row>
    <row r="46">
      <c r="A46" s="41" t="n">
        <v>46039</v>
      </c>
      <c r="B46" s="101">
        <f>IFERROR(IF(INDEX(Polymarket!$B$25:$B$303,MATCH($A46,Polymarket!$A$25:$A$303,0))=0,"",INDEX(Polymarket!$B$25:$B$303,MATCH($A46,Polymarket!$A$25:$A$303,0))),"")</f>
        <v/>
      </c>
      <c r="C46" s="101">
        <f>IFERROR(IF(INDEX(Kalshi!$D$31:$D$485,MATCH($A46,Kalshi!$A$31:$A$485,0))=0,"",INDEX(Kalshi!$D$31:$D$485,MATCH($A46,Kalshi!$A$31:$A$485,0))),"")</f>
        <v/>
      </c>
      <c r="D46" s="31">
        <f>IF(AND(ISNUMBER(B46),ISNUMBER(C46)),B46-C46,"")</f>
        <v/>
      </c>
      <c r="E46" s="29">
        <f>IF(ISNUMBER(D46),ABS(D46),"")</f>
        <v/>
      </c>
      <c r="F46" s="101">
        <f>IFERROR(IF(INDEX(Polymarket!$C$25:$C$303,MATCH($A46,Polymarket!$A$25:$A$303,0))=0,"",INDEX(Polymarket!$C$25:$C$303,MATCH($A46,Polymarket!$A$25:$A$303,0))),"")</f>
        <v/>
      </c>
      <c r="G46" s="101">
        <f>IFERROR(IF(INDEX(Kalshi!$G$31:$G$485,MATCH($A46,Kalshi!$A$31:$A$485,0))=0,"",INDEX(Kalshi!$G$31:$G$485,MATCH($A46,Kalshi!$A$31:$A$485,0))),"")</f>
        <v/>
      </c>
      <c r="H46" s="30">
        <f>IF(AND(ISNUMBER(B46),ISNUMBER(C46)),MIN(B46,C46),"")</f>
        <v/>
      </c>
      <c r="I46" s="30">
        <f>IF(AND(ISNUMBER(F46),ISNUMBER(G46)),MIN(F46,G46),"")</f>
        <v/>
      </c>
      <c r="J46" s="29">
        <f>IF(AND(ISNUMBER(H46),ISNUMBER(I46)),H46+I46,"")</f>
        <v/>
      </c>
      <c r="K46" s="28" t="n">
        <v>0.5</v>
      </c>
      <c r="L46" s="38" t="inlineStr">
        <is>
          <t>17 Jan</t>
        </is>
      </c>
    </row>
    <row r="47">
      <c r="A47" s="39" t="n">
        <v>46040</v>
      </c>
      <c r="B47" s="100">
        <f>IFERROR(IF(INDEX(Polymarket!$B$25:$B$303,MATCH($A47,Polymarket!$A$25:$A$303,0))=0,"",INDEX(Polymarket!$B$25:$B$303,MATCH($A47,Polymarket!$A$25:$A$303,0))),"")</f>
        <v/>
      </c>
      <c r="C47" s="100">
        <f>IFERROR(IF(INDEX(Kalshi!$D$31:$D$485,MATCH($A47,Kalshi!$A$31:$A$485,0))=0,"",INDEX(Kalshi!$D$31:$D$485,MATCH($A47,Kalshi!$A$31:$A$485,0))),"")</f>
        <v/>
      </c>
      <c r="D47" s="18">
        <f>IF(AND(ISNUMBER(B47),ISNUMBER(C47)),B47-C47,"")</f>
        <v/>
      </c>
      <c r="E47" s="17">
        <f>IF(ISNUMBER(D47),ABS(D47),"")</f>
        <v/>
      </c>
      <c r="F47" s="100">
        <f>IFERROR(IF(INDEX(Polymarket!$C$25:$C$303,MATCH($A47,Polymarket!$A$25:$A$303,0))=0,"",INDEX(Polymarket!$C$25:$C$303,MATCH($A47,Polymarket!$A$25:$A$303,0))),"")</f>
        <v/>
      </c>
      <c r="G47" s="100">
        <f>IFERROR(IF(INDEX(Kalshi!$G$31:$G$485,MATCH($A47,Kalshi!$A$31:$A$485,0))=0,"",INDEX(Kalshi!$G$31:$G$485,MATCH($A47,Kalshi!$A$31:$A$485,0))),"")</f>
        <v/>
      </c>
      <c r="H47" s="20">
        <f>IF(AND(ISNUMBER(B47),ISNUMBER(C47)),MIN(B47,C47),"")</f>
        <v/>
      </c>
      <c r="I47" s="20">
        <f>IF(AND(ISNUMBER(F47),ISNUMBER(G47)),MIN(F47,G47),"")</f>
        <v/>
      </c>
      <c r="J47" s="17">
        <f>IF(AND(ISNUMBER(H47),ISNUMBER(I47)),H47+I47,"")</f>
        <v/>
      </c>
      <c r="K47" s="16" t="n">
        <v>0.5</v>
      </c>
      <c r="L47" s="26" t="inlineStr">
        <is>
          <t>18 Jan</t>
        </is>
      </c>
    </row>
    <row r="48">
      <c r="A48" s="41" t="n">
        <v>46041</v>
      </c>
      <c r="B48" s="101">
        <f>IFERROR(IF(INDEX(Polymarket!$B$25:$B$303,MATCH($A48,Polymarket!$A$25:$A$303,0))=0,"",INDEX(Polymarket!$B$25:$B$303,MATCH($A48,Polymarket!$A$25:$A$303,0))),"")</f>
        <v/>
      </c>
      <c r="C48" s="101">
        <f>IFERROR(IF(INDEX(Kalshi!$D$31:$D$485,MATCH($A48,Kalshi!$A$31:$A$485,0))=0,"",INDEX(Kalshi!$D$31:$D$485,MATCH($A48,Kalshi!$A$31:$A$485,0))),"")</f>
        <v/>
      </c>
      <c r="D48" s="31">
        <f>IF(AND(ISNUMBER(B48),ISNUMBER(C48)),B48-C48,"")</f>
        <v/>
      </c>
      <c r="E48" s="29">
        <f>IF(ISNUMBER(D48),ABS(D48),"")</f>
        <v/>
      </c>
      <c r="F48" s="101">
        <f>IFERROR(IF(INDEX(Polymarket!$C$25:$C$303,MATCH($A48,Polymarket!$A$25:$A$303,0))=0,"",INDEX(Polymarket!$C$25:$C$303,MATCH($A48,Polymarket!$A$25:$A$303,0))),"")</f>
        <v/>
      </c>
      <c r="G48" s="101">
        <f>IFERROR(IF(INDEX(Kalshi!$G$31:$G$485,MATCH($A48,Kalshi!$A$31:$A$485,0))=0,"",INDEX(Kalshi!$G$31:$G$485,MATCH($A48,Kalshi!$A$31:$A$485,0))),"")</f>
        <v/>
      </c>
      <c r="H48" s="30">
        <f>IF(AND(ISNUMBER(B48),ISNUMBER(C48)),MIN(B48,C48),"")</f>
        <v/>
      </c>
      <c r="I48" s="30">
        <f>IF(AND(ISNUMBER(F48),ISNUMBER(G48)),MIN(F48,G48),"")</f>
        <v/>
      </c>
      <c r="J48" s="29">
        <f>IF(AND(ISNUMBER(H48),ISNUMBER(I48)),H48+I48,"")</f>
        <v/>
      </c>
      <c r="K48" s="28" t="n">
        <v>0.5</v>
      </c>
      <c r="L48" s="38" t="inlineStr">
        <is>
          <t>19 Jan</t>
        </is>
      </c>
    </row>
    <row r="49">
      <c r="A49" s="39" t="n">
        <v>46042</v>
      </c>
      <c r="B49" s="100">
        <f>IFERROR(IF(INDEX(Polymarket!$B$25:$B$303,MATCH($A49,Polymarket!$A$25:$A$303,0))=0,"",INDEX(Polymarket!$B$25:$B$303,MATCH($A49,Polymarket!$A$25:$A$303,0))),"")</f>
        <v/>
      </c>
      <c r="C49" s="100">
        <f>IFERROR(IF(INDEX(Kalshi!$D$31:$D$485,MATCH($A49,Kalshi!$A$31:$A$485,0))=0,"",INDEX(Kalshi!$D$31:$D$485,MATCH($A49,Kalshi!$A$31:$A$485,0))),"")</f>
        <v/>
      </c>
      <c r="D49" s="18">
        <f>IF(AND(ISNUMBER(B49),ISNUMBER(C49)),B49-C49,"")</f>
        <v/>
      </c>
      <c r="E49" s="17">
        <f>IF(ISNUMBER(D49),ABS(D49),"")</f>
        <v/>
      </c>
      <c r="F49" s="100">
        <f>IFERROR(IF(INDEX(Polymarket!$C$25:$C$303,MATCH($A49,Polymarket!$A$25:$A$303,0))=0,"",INDEX(Polymarket!$C$25:$C$303,MATCH($A49,Polymarket!$A$25:$A$303,0))),"")</f>
        <v/>
      </c>
      <c r="G49" s="100">
        <f>IFERROR(IF(INDEX(Kalshi!$G$31:$G$485,MATCH($A49,Kalshi!$A$31:$A$485,0))=0,"",INDEX(Kalshi!$G$31:$G$485,MATCH($A49,Kalshi!$A$31:$A$485,0))),"")</f>
        <v/>
      </c>
      <c r="H49" s="20">
        <f>IF(AND(ISNUMBER(B49),ISNUMBER(C49)),MIN(B49,C49),"")</f>
        <v/>
      </c>
      <c r="I49" s="20">
        <f>IF(AND(ISNUMBER(F49),ISNUMBER(G49)),MIN(F49,G49),"")</f>
        <v/>
      </c>
      <c r="J49" s="17">
        <f>IF(AND(ISNUMBER(H49),ISNUMBER(I49)),H49+I49,"")</f>
        <v/>
      </c>
      <c r="K49" s="16" t="n">
        <v>0.5</v>
      </c>
      <c r="L49" s="26" t="inlineStr">
        <is>
          <t>20 Jan</t>
        </is>
      </c>
    </row>
    <row r="50">
      <c r="A50" s="41" t="n">
        <v>46043</v>
      </c>
      <c r="B50" s="101">
        <f>IFERROR(IF(INDEX(Polymarket!$B$25:$B$303,MATCH($A50,Polymarket!$A$25:$A$303,0))=0,"",INDEX(Polymarket!$B$25:$B$303,MATCH($A50,Polymarket!$A$25:$A$303,0))),"")</f>
        <v/>
      </c>
      <c r="C50" s="101">
        <f>IFERROR(IF(INDEX(Kalshi!$D$31:$D$485,MATCH($A50,Kalshi!$A$31:$A$485,0))=0,"",INDEX(Kalshi!$D$31:$D$485,MATCH($A50,Kalshi!$A$31:$A$485,0))),"")</f>
        <v/>
      </c>
      <c r="D50" s="31">
        <f>IF(AND(ISNUMBER(B50),ISNUMBER(C50)),B50-C50,"")</f>
        <v/>
      </c>
      <c r="E50" s="29">
        <f>IF(ISNUMBER(D50),ABS(D50),"")</f>
        <v/>
      </c>
      <c r="F50" s="101">
        <f>IFERROR(IF(INDEX(Polymarket!$C$25:$C$303,MATCH($A50,Polymarket!$A$25:$A$303,0))=0,"",INDEX(Polymarket!$C$25:$C$303,MATCH($A50,Polymarket!$A$25:$A$303,0))),"")</f>
        <v/>
      </c>
      <c r="G50" s="101">
        <f>IFERROR(IF(INDEX(Kalshi!$G$31:$G$485,MATCH($A50,Kalshi!$A$31:$A$485,0))=0,"",INDEX(Kalshi!$G$31:$G$485,MATCH($A50,Kalshi!$A$31:$A$485,0))),"")</f>
        <v/>
      </c>
      <c r="H50" s="30">
        <f>IF(AND(ISNUMBER(B50),ISNUMBER(C50)),MIN(B50,C50),"")</f>
        <v/>
      </c>
      <c r="I50" s="30">
        <f>IF(AND(ISNUMBER(F50),ISNUMBER(G50)),MIN(F50,G50),"")</f>
        <v/>
      </c>
      <c r="J50" s="29">
        <f>IF(AND(ISNUMBER(H50),ISNUMBER(I50)),H50+I50,"")</f>
        <v/>
      </c>
      <c r="K50" s="28" t="n">
        <v>0.5</v>
      </c>
      <c r="L50" s="38" t="inlineStr">
        <is>
          <t>21 Jan</t>
        </is>
      </c>
    </row>
    <row r="51">
      <c r="A51" s="39" t="n">
        <v>46044</v>
      </c>
      <c r="B51" s="100">
        <f>IFERROR(IF(INDEX(Polymarket!$B$25:$B$303,MATCH($A51,Polymarket!$A$25:$A$303,0))=0,"",INDEX(Polymarket!$B$25:$B$303,MATCH($A51,Polymarket!$A$25:$A$303,0))),"")</f>
        <v/>
      </c>
      <c r="C51" s="100">
        <f>IFERROR(IF(INDEX(Kalshi!$D$31:$D$485,MATCH($A51,Kalshi!$A$31:$A$485,0))=0,"",INDEX(Kalshi!$D$31:$D$485,MATCH($A51,Kalshi!$A$31:$A$485,0))),"")</f>
        <v/>
      </c>
      <c r="D51" s="18">
        <f>IF(AND(ISNUMBER(B51),ISNUMBER(C51)),B51-C51,"")</f>
        <v/>
      </c>
      <c r="E51" s="17">
        <f>IF(ISNUMBER(D51),ABS(D51),"")</f>
        <v/>
      </c>
      <c r="F51" s="100">
        <f>IFERROR(IF(INDEX(Polymarket!$C$25:$C$303,MATCH($A51,Polymarket!$A$25:$A$303,0))=0,"",INDEX(Polymarket!$C$25:$C$303,MATCH($A51,Polymarket!$A$25:$A$303,0))),"")</f>
        <v/>
      </c>
      <c r="G51" s="100">
        <f>IFERROR(IF(INDEX(Kalshi!$G$31:$G$485,MATCH($A51,Kalshi!$A$31:$A$485,0))=0,"",INDEX(Kalshi!$G$31:$G$485,MATCH($A51,Kalshi!$A$31:$A$485,0))),"")</f>
        <v/>
      </c>
      <c r="H51" s="20">
        <f>IF(AND(ISNUMBER(B51),ISNUMBER(C51)),MIN(B51,C51),"")</f>
        <v/>
      </c>
      <c r="I51" s="20">
        <f>IF(AND(ISNUMBER(F51),ISNUMBER(G51)),MIN(F51,G51),"")</f>
        <v/>
      </c>
      <c r="J51" s="17">
        <f>IF(AND(ISNUMBER(H51),ISNUMBER(I51)),H51+I51,"")</f>
        <v/>
      </c>
      <c r="K51" s="16" t="n">
        <v>0.5</v>
      </c>
      <c r="L51" s="26" t="inlineStr">
        <is>
          <t>22 Jan</t>
        </is>
      </c>
    </row>
    <row r="52">
      <c r="A52" s="41" t="n">
        <v>46045</v>
      </c>
      <c r="B52" s="101">
        <f>IFERROR(IF(INDEX(Polymarket!$B$25:$B$303,MATCH($A52,Polymarket!$A$25:$A$303,0))=0,"",INDEX(Polymarket!$B$25:$B$303,MATCH($A52,Polymarket!$A$25:$A$303,0))),"")</f>
        <v/>
      </c>
      <c r="C52" s="101">
        <f>IFERROR(IF(INDEX(Kalshi!$D$31:$D$485,MATCH($A52,Kalshi!$A$31:$A$485,0))=0,"",INDEX(Kalshi!$D$31:$D$485,MATCH($A52,Kalshi!$A$31:$A$485,0))),"")</f>
        <v/>
      </c>
      <c r="D52" s="31">
        <f>IF(AND(ISNUMBER(B52),ISNUMBER(C52)),B52-C52,"")</f>
        <v/>
      </c>
      <c r="E52" s="29">
        <f>IF(ISNUMBER(D52),ABS(D52),"")</f>
        <v/>
      </c>
      <c r="F52" s="101">
        <f>IFERROR(IF(INDEX(Polymarket!$C$25:$C$303,MATCH($A52,Polymarket!$A$25:$A$303,0))=0,"",INDEX(Polymarket!$C$25:$C$303,MATCH($A52,Polymarket!$A$25:$A$303,0))),"")</f>
        <v/>
      </c>
      <c r="G52" s="101">
        <f>IFERROR(IF(INDEX(Kalshi!$G$31:$G$485,MATCH($A52,Kalshi!$A$31:$A$485,0))=0,"",INDEX(Kalshi!$G$31:$G$485,MATCH($A52,Kalshi!$A$31:$A$485,0))),"")</f>
        <v/>
      </c>
      <c r="H52" s="30">
        <f>IF(AND(ISNUMBER(B52),ISNUMBER(C52)),MIN(B52,C52),"")</f>
        <v/>
      </c>
      <c r="I52" s="30">
        <f>IF(AND(ISNUMBER(F52),ISNUMBER(G52)),MIN(F52,G52),"")</f>
        <v/>
      </c>
      <c r="J52" s="29">
        <f>IF(AND(ISNUMBER(H52),ISNUMBER(I52)),H52+I52,"")</f>
        <v/>
      </c>
      <c r="K52" s="28" t="n">
        <v>0.5</v>
      </c>
      <c r="L52" s="38" t="inlineStr">
        <is>
          <t>23 Jan</t>
        </is>
      </c>
    </row>
    <row r="53">
      <c r="A53" s="39" t="n">
        <v>46046</v>
      </c>
      <c r="B53" s="100">
        <f>IFERROR(IF(INDEX(Polymarket!$B$25:$B$303,MATCH($A53,Polymarket!$A$25:$A$303,0))=0,"",INDEX(Polymarket!$B$25:$B$303,MATCH($A53,Polymarket!$A$25:$A$303,0))),"")</f>
        <v/>
      </c>
      <c r="C53" s="100">
        <f>IFERROR(IF(INDEX(Kalshi!$D$31:$D$485,MATCH($A53,Kalshi!$A$31:$A$485,0))=0,"",INDEX(Kalshi!$D$31:$D$485,MATCH($A53,Kalshi!$A$31:$A$485,0))),"")</f>
        <v/>
      </c>
      <c r="D53" s="18">
        <f>IF(AND(ISNUMBER(B53),ISNUMBER(C53)),B53-C53,"")</f>
        <v/>
      </c>
      <c r="E53" s="17">
        <f>IF(ISNUMBER(D53),ABS(D53),"")</f>
        <v/>
      </c>
      <c r="F53" s="100">
        <f>IFERROR(IF(INDEX(Polymarket!$C$25:$C$303,MATCH($A53,Polymarket!$A$25:$A$303,0))=0,"",INDEX(Polymarket!$C$25:$C$303,MATCH($A53,Polymarket!$A$25:$A$303,0))),"")</f>
        <v/>
      </c>
      <c r="G53" s="100">
        <f>IFERROR(IF(INDEX(Kalshi!$G$31:$G$485,MATCH($A53,Kalshi!$A$31:$A$485,0))=0,"",INDEX(Kalshi!$G$31:$G$485,MATCH($A53,Kalshi!$A$31:$A$485,0))),"")</f>
        <v/>
      </c>
      <c r="H53" s="20">
        <f>IF(AND(ISNUMBER(B53),ISNUMBER(C53)),MIN(B53,C53),"")</f>
        <v/>
      </c>
      <c r="I53" s="20">
        <f>IF(AND(ISNUMBER(F53),ISNUMBER(G53)),MIN(F53,G53),"")</f>
        <v/>
      </c>
      <c r="J53" s="17">
        <f>IF(AND(ISNUMBER(H53),ISNUMBER(I53)),H53+I53,"")</f>
        <v/>
      </c>
      <c r="K53" s="16" t="n">
        <v>0.5</v>
      </c>
      <c r="L53" s="26" t="inlineStr">
        <is>
          <t>24 Jan</t>
        </is>
      </c>
    </row>
    <row r="54">
      <c r="A54" s="41" t="n">
        <v>46047</v>
      </c>
      <c r="B54" s="101">
        <f>IFERROR(IF(INDEX(Polymarket!$B$25:$B$303,MATCH($A54,Polymarket!$A$25:$A$303,0))=0,"",INDEX(Polymarket!$B$25:$B$303,MATCH($A54,Polymarket!$A$25:$A$303,0))),"")</f>
        <v/>
      </c>
      <c r="C54" s="101">
        <f>IFERROR(IF(INDEX(Kalshi!$D$31:$D$485,MATCH($A54,Kalshi!$A$31:$A$485,0))=0,"",INDEX(Kalshi!$D$31:$D$485,MATCH($A54,Kalshi!$A$31:$A$485,0))),"")</f>
        <v/>
      </c>
      <c r="D54" s="31">
        <f>IF(AND(ISNUMBER(B54),ISNUMBER(C54)),B54-C54,"")</f>
        <v/>
      </c>
      <c r="E54" s="29">
        <f>IF(ISNUMBER(D54),ABS(D54),"")</f>
        <v/>
      </c>
      <c r="F54" s="101">
        <f>IFERROR(IF(INDEX(Polymarket!$C$25:$C$303,MATCH($A54,Polymarket!$A$25:$A$303,0))=0,"",INDEX(Polymarket!$C$25:$C$303,MATCH($A54,Polymarket!$A$25:$A$303,0))),"")</f>
        <v/>
      </c>
      <c r="G54" s="101">
        <f>IFERROR(IF(INDEX(Kalshi!$G$31:$G$485,MATCH($A54,Kalshi!$A$31:$A$485,0))=0,"",INDEX(Kalshi!$G$31:$G$485,MATCH($A54,Kalshi!$A$31:$A$485,0))),"")</f>
        <v/>
      </c>
      <c r="H54" s="30">
        <f>IF(AND(ISNUMBER(B54),ISNUMBER(C54)),MIN(B54,C54),"")</f>
        <v/>
      </c>
      <c r="I54" s="30">
        <f>IF(AND(ISNUMBER(F54),ISNUMBER(G54)),MIN(F54,G54),"")</f>
        <v/>
      </c>
      <c r="J54" s="29">
        <f>IF(AND(ISNUMBER(H54),ISNUMBER(I54)),H54+I54,"")</f>
        <v/>
      </c>
      <c r="K54" s="28" t="n">
        <v>0.5</v>
      </c>
      <c r="L54" s="38" t="inlineStr">
        <is>
          <t>25 Jan</t>
        </is>
      </c>
    </row>
    <row r="55">
      <c r="A55" s="39" t="n">
        <v>46048</v>
      </c>
      <c r="B55" s="100">
        <f>IFERROR(IF(INDEX(Polymarket!$B$25:$B$303,MATCH($A55,Polymarket!$A$25:$A$303,0))=0,"",INDEX(Polymarket!$B$25:$B$303,MATCH($A55,Polymarket!$A$25:$A$303,0))),"")</f>
        <v/>
      </c>
      <c r="C55" s="100">
        <f>IFERROR(IF(INDEX(Kalshi!$D$31:$D$485,MATCH($A55,Kalshi!$A$31:$A$485,0))=0,"",INDEX(Kalshi!$D$31:$D$485,MATCH($A55,Kalshi!$A$31:$A$485,0))),"")</f>
        <v/>
      </c>
      <c r="D55" s="18">
        <f>IF(AND(ISNUMBER(B55),ISNUMBER(C55)),B55-C55,"")</f>
        <v/>
      </c>
      <c r="E55" s="17">
        <f>IF(ISNUMBER(D55),ABS(D55),"")</f>
        <v/>
      </c>
      <c r="F55" s="100">
        <f>IFERROR(IF(INDEX(Polymarket!$C$25:$C$303,MATCH($A55,Polymarket!$A$25:$A$303,0))=0,"",INDEX(Polymarket!$C$25:$C$303,MATCH($A55,Polymarket!$A$25:$A$303,0))),"")</f>
        <v/>
      </c>
      <c r="G55" s="100">
        <f>IFERROR(IF(INDEX(Kalshi!$G$31:$G$485,MATCH($A55,Kalshi!$A$31:$A$485,0))=0,"",INDEX(Kalshi!$G$31:$G$485,MATCH($A55,Kalshi!$A$31:$A$485,0))),"")</f>
        <v/>
      </c>
      <c r="H55" s="20">
        <f>IF(AND(ISNUMBER(B55),ISNUMBER(C55)),MIN(B55,C55),"")</f>
        <v/>
      </c>
      <c r="I55" s="20">
        <f>IF(AND(ISNUMBER(F55),ISNUMBER(G55)),MIN(F55,G55),"")</f>
        <v/>
      </c>
      <c r="J55" s="17">
        <f>IF(AND(ISNUMBER(H55),ISNUMBER(I55)),H55+I55,"")</f>
        <v/>
      </c>
      <c r="K55" s="16" t="n">
        <v>0.5</v>
      </c>
      <c r="L55" s="26" t="inlineStr">
        <is>
          <t>26 Jan</t>
        </is>
      </c>
    </row>
    <row r="56">
      <c r="A56" s="41" t="n">
        <v>46049</v>
      </c>
      <c r="B56" s="101">
        <f>IFERROR(IF(INDEX(Polymarket!$B$25:$B$303,MATCH($A56,Polymarket!$A$25:$A$303,0))=0,"",INDEX(Polymarket!$B$25:$B$303,MATCH($A56,Polymarket!$A$25:$A$303,0))),"")</f>
        <v/>
      </c>
      <c r="C56" s="101">
        <f>IFERROR(IF(INDEX(Kalshi!$D$31:$D$485,MATCH($A56,Kalshi!$A$31:$A$485,0))=0,"",INDEX(Kalshi!$D$31:$D$485,MATCH($A56,Kalshi!$A$31:$A$485,0))),"")</f>
        <v/>
      </c>
      <c r="D56" s="31">
        <f>IF(AND(ISNUMBER(B56),ISNUMBER(C56)),B56-C56,"")</f>
        <v/>
      </c>
      <c r="E56" s="29">
        <f>IF(ISNUMBER(D56),ABS(D56),"")</f>
        <v/>
      </c>
      <c r="F56" s="101">
        <f>IFERROR(IF(INDEX(Polymarket!$C$25:$C$303,MATCH($A56,Polymarket!$A$25:$A$303,0))=0,"",INDEX(Polymarket!$C$25:$C$303,MATCH($A56,Polymarket!$A$25:$A$303,0))),"")</f>
        <v/>
      </c>
      <c r="G56" s="101">
        <f>IFERROR(IF(INDEX(Kalshi!$G$31:$G$485,MATCH($A56,Kalshi!$A$31:$A$485,0))=0,"",INDEX(Kalshi!$G$31:$G$485,MATCH($A56,Kalshi!$A$31:$A$485,0))),"")</f>
        <v/>
      </c>
      <c r="H56" s="30">
        <f>IF(AND(ISNUMBER(B56),ISNUMBER(C56)),MIN(B56,C56),"")</f>
        <v/>
      </c>
      <c r="I56" s="30">
        <f>IF(AND(ISNUMBER(F56),ISNUMBER(G56)),MIN(F56,G56),"")</f>
        <v/>
      </c>
      <c r="J56" s="29">
        <f>IF(AND(ISNUMBER(H56),ISNUMBER(I56)),H56+I56,"")</f>
        <v/>
      </c>
      <c r="K56" s="28" t="n">
        <v>0.5</v>
      </c>
      <c r="L56" s="38" t="inlineStr">
        <is>
          <t>27 Jan</t>
        </is>
      </c>
    </row>
    <row r="57">
      <c r="A57" s="39" t="n">
        <v>46050</v>
      </c>
      <c r="B57" s="100">
        <f>IFERROR(IF(INDEX(Polymarket!$B$25:$B$303,MATCH($A57,Polymarket!$A$25:$A$303,0))=0,"",INDEX(Polymarket!$B$25:$B$303,MATCH($A57,Polymarket!$A$25:$A$303,0))),"")</f>
        <v/>
      </c>
      <c r="C57" s="100">
        <f>IFERROR(IF(INDEX(Kalshi!$D$31:$D$485,MATCH($A57,Kalshi!$A$31:$A$485,0))=0,"",INDEX(Kalshi!$D$31:$D$485,MATCH($A57,Kalshi!$A$31:$A$485,0))),"")</f>
        <v/>
      </c>
      <c r="D57" s="18">
        <f>IF(AND(ISNUMBER(B57),ISNUMBER(C57)),B57-C57,"")</f>
        <v/>
      </c>
      <c r="E57" s="17">
        <f>IF(ISNUMBER(D57),ABS(D57),"")</f>
        <v/>
      </c>
      <c r="F57" s="100">
        <f>IFERROR(IF(INDEX(Polymarket!$C$25:$C$303,MATCH($A57,Polymarket!$A$25:$A$303,0))=0,"",INDEX(Polymarket!$C$25:$C$303,MATCH($A57,Polymarket!$A$25:$A$303,0))),"")</f>
        <v/>
      </c>
      <c r="G57" s="100">
        <f>IFERROR(IF(INDEX(Kalshi!$G$31:$G$485,MATCH($A57,Kalshi!$A$31:$A$485,0))=0,"",INDEX(Kalshi!$G$31:$G$485,MATCH($A57,Kalshi!$A$31:$A$485,0))),"")</f>
        <v/>
      </c>
      <c r="H57" s="20">
        <f>IF(AND(ISNUMBER(B57),ISNUMBER(C57)),MIN(B57,C57),"")</f>
        <v/>
      </c>
      <c r="I57" s="20">
        <f>IF(AND(ISNUMBER(F57),ISNUMBER(G57)),MIN(F57,G57),"")</f>
        <v/>
      </c>
      <c r="J57" s="17">
        <f>IF(AND(ISNUMBER(H57),ISNUMBER(I57)),H57+I57,"")</f>
        <v/>
      </c>
      <c r="K57" s="16" t="n">
        <v>0.5</v>
      </c>
      <c r="L57" s="26" t="inlineStr">
        <is>
          <t>28 Jan</t>
        </is>
      </c>
    </row>
    <row r="58">
      <c r="A58" s="41" t="n">
        <v>46051</v>
      </c>
      <c r="B58" s="101">
        <f>IFERROR(IF(INDEX(Polymarket!$B$25:$B$303,MATCH($A58,Polymarket!$A$25:$A$303,0))=0,"",INDEX(Polymarket!$B$25:$B$303,MATCH($A58,Polymarket!$A$25:$A$303,0))),"")</f>
        <v/>
      </c>
      <c r="C58" s="101">
        <f>IFERROR(IF(INDEX(Kalshi!$D$31:$D$485,MATCH($A58,Kalshi!$A$31:$A$485,0))=0,"",INDEX(Kalshi!$D$31:$D$485,MATCH($A58,Kalshi!$A$31:$A$485,0))),"")</f>
        <v/>
      </c>
      <c r="D58" s="31">
        <f>IF(AND(ISNUMBER(B58),ISNUMBER(C58)),B58-C58,"")</f>
        <v/>
      </c>
      <c r="E58" s="29">
        <f>IF(ISNUMBER(D58),ABS(D58),"")</f>
        <v/>
      </c>
      <c r="F58" s="101">
        <f>IFERROR(IF(INDEX(Polymarket!$C$25:$C$303,MATCH($A58,Polymarket!$A$25:$A$303,0))=0,"",INDEX(Polymarket!$C$25:$C$303,MATCH($A58,Polymarket!$A$25:$A$303,0))),"")</f>
        <v/>
      </c>
      <c r="G58" s="101">
        <f>IFERROR(IF(INDEX(Kalshi!$G$31:$G$485,MATCH($A58,Kalshi!$A$31:$A$485,0))=0,"",INDEX(Kalshi!$G$31:$G$485,MATCH($A58,Kalshi!$A$31:$A$485,0))),"")</f>
        <v/>
      </c>
      <c r="H58" s="30">
        <f>IF(AND(ISNUMBER(B58),ISNUMBER(C58)),MIN(B58,C58),"")</f>
        <v/>
      </c>
      <c r="I58" s="30">
        <f>IF(AND(ISNUMBER(F58),ISNUMBER(G58)),MIN(F58,G58),"")</f>
        <v/>
      </c>
      <c r="J58" s="29">
        <f>IF(AND(ISNUMBER(H58),ISNUMBER(I58)),H58+I58,"")</f>
        <v/>
      </c>
      <c r="K58" s="28" t="n">
        <v>0.5</v>
      </c>
      <c r="L58" s="38" t="inlineStr">
        <is>
          <t>29 Jan</t>
        </is>
      </c>
    </row>
    <row r="59">
      <c r="A59" s="39" t="n">
        <v>46052</v>
      </c>
      <c r="B59" s="100">
        <f>IFERROR(IF(INDEX(Polymarket!$B$25:$B$303,MATCH($A59,Polymarket!$A$25:$A$303,0))=0,"",INDEX(Polymarket!$B$25:$B$303,MATCH($A59,Polymarket!$A$25:$A$303,0))),"")</f>
        <v/>
      </c>
      <c r="C59" s="100">
        <f>IFERROR(IF(INDEX(Kalshi!$D$31:$D$485,MATCH($A59,Kalshi!$A$31:$A$485,0))=0,"",INDEX(Kalshi!$D$31:$D$485,MATCH($A59,Kalshi!$A$31:$A$485,0))),"")</f>
        <v/>
      </c>
      <c r="D59" s="18">
        <f>IF(AND(ISNUMBER(B59),ISNUMBER(C59)),B59-C59,"")</f>
        <v/>
      </c>
      <c r="E59" s="17">
        <f>IF(ISNUMBER(D59),ABS(D59),"")</f>
        <v/>
      </c>
      <c r="F59" s="100">
        <f>IFERROR(IF(INDEX(Polymarket!$C$25:$C$303,MATCH($A59,Polymarket!$A$25:$A$303,0))=0,"",INDEX(Polymarket!$C$25:$C$303,MATCH($A59,Polymarket!$A$25:$A$303,0))),"")</f>
        <v/>
      </c>
      <c r="G59" s="100">
        <f>IFERROR(IF(INDEX(Kalshi!$G$31:$G$485,MATCH($A59,Kalshi!$A$31:$A$485,0))=0,"",INDEX(Kalshi!$G$31:$G$485,MATCH($A59,Kalshi!$A$31:$A$485,0))),"")</f>
        <v/>
      </c>
      <c r="H59" s="20">
        <f>IF(AND(ISNUMBER(B59),ISNUMBER(C59)),MIN(B59,C59),"")</f>
        <v/>
      </c>
      <c r="I59" s="20">
        <f>IF(AND(ISNUMBER(F59),ISNUMBER(G59)),MIN(F59,G59),"")</f>
        <v/>
      </c>
      <c r="J59" s="17">
        <f>IF(AND(ISNUMBER(H59),ISNUMBER(I59)),H59+I59,"")</f>
        <v/>
      </c>
      <c r="K59" s="16" t="n">
        <v>0.5</v>
      </c>
      <c r="L59" s="26" t="inlineStr">
        <is>
          <t>30 Jan</t>
        </is>
      </c>
    </row>
    <row r="60">
      <c r="A60" s="41" t="n">
        <v>46053</v>
      </c>
      <c r="B60" s="101">
        <f>IFERROR(IF(INDEX(Polymarket!$B$25:$B$303,MATCH($A60,Polymarket!$A$25:$A$303,0))=0,"",INDEX(Polymarket!$B$25:$B$303,MATCH($A60,Polymarket!$A$25:$A$303,0))),"")</f>
        <v/>
      </c>
      <c r="C60" s="101">
        <f>IFERROR(IF(INDEX(Kalshi!$D$31:$D$485,MATCH($A60,Kalshi!$A$31:$A$485,0))=0,"",INDEX(Kalshi!$D$31:$D$485,MATCH($A60,Kalshi!$A$31:$A$485,0))),"")</f>
        <v/>
      </c>
      <c r="D60" s="31">
        <f>IF(AND(ISNUMBER(B60),ISNUMBER(C60)),B60-C60,"")</f>
        <v/>
      </c>
      <c r="E60" s="29">
        <f>IF(ISNUMBER(D60),ABS(D60),"")</f>
        <v/>
      </c>
      <c r="F60" s="101">
        <f>IFERROR(IF(INDEX(Polymarket!$C$25:$C$303,MATCH($A60,Polymarket!$A$25:$A$303,0))=0,"",INDEX(Polymarket!$C$25:$C$303,MATCH($A60,Polymarket!$A$25:$A$303,0))),"")</f>
        <v/>
      </c>
      <c r="G60" s="101">
        <f>IFERROR(IF(INDEX(Kalshi!$G$31:$G$485,MATCH($A60,Kalshi!$A$31:$A$485,0))=0,"",INDEX(Kalshi!$G$31:$G$485,MATCH($A60,Kalshi!$A$31:$A$485,0))),"")</f>
        <v/>
      </c>
      <c r="H60" s="30">
        <f>IF(AND(ISNUMBER(B60),ISNUMBER(C60)),MIN(B60,C60),"")</f>
        <v/>
      </c>
      <c r="I60" s="30">
        <f>IF(AND(ISNUMBER(F60),ISNUMBER(G60)),MIN(F60,G60),"")</f>
        <v/>
      </c>
      <c r="J60" s="29">
        <f>IF(AND(ISNUMBER(H60),ISNUMBER(I60)),H60+I60,"")</f>
        <v/>
      </c>
      <c r="K60" s="28" t="n">
        <v>0.5</v>
      </c>
      <c r="L60" s="38" t="inlineStr">
        <is>
          <t>31 Jan</t>
        </is>
      </c>
    </row>
    <row r="61">
      <c r="A61" s="39" t="n">
        <v>46054</v>
      </c>
      <c r="B61" s="100">
        <f>IFERROR(IF(INDEX(Polymarket!$B$25:$B$303,MATCH($A61,Polymarket!$A$25:$A$303,0))=0,"",INDEX(Polymarket!$B$25:$B$303,MATCH($A61,Polymarket!$A$25:$A$303,0))),"")</f>
        <v/>
      </c>
      <c r="C61" s="100">
        <f>IFERROR(IF(INDEX(Kalshi!$D$31:$D$485,MATCH($A61,Kalshi!$A$31:$A$485,0))=0,"",INDEX(Kalshi!$D$31:$D$485,MATCH($A61,Kalshi!$A$31:$A$485,0))),"")</f>
        <v/>
      </c>
      <c r="D61" s="18">
        <f>IF(AND(ISNUMBER(B61),ISNUMBER(C61)),B61-C61,"")</f>
        <v/>
      </c>
      <c r="E61" s="17">
        <f>IF(ISNUMBER(D61),ABS(D61),"")</f>
        <v/>
      </c>
      <c r="F61" s="100">
        <f>IFERROR(IF(INDEX(Polymarket!$C$25:$C$303,MATCH($A61,Polymarket!$A$25:$A$303,0))=0,"",INDEX(Polymarket!$C$25:$C$303,MATCH($A61,Polymarket!$A$25:$A$303,0))),"")</f>
        <v/>
      </c>
      <c r="G61" s="100">
        <f>IFERROR(IF(INDEX(Kalshi!$G$31:$G$485,MATCH($A61,Kalshi!$A$31:$A$485,0))=0,"",INDEX(Kalshi!$G$31:$G$485,MATCH($A61,Kalshi!$A$31:$A$485,0))),"")</f>
        <v/>
      </c>
      <c r="H61" s="20">
        <f>IF(AND(ISNUMBER(B61),ISNUMBER(C61)),MIN(B61,C61),"")</f>
        <v/>
      </c>
      <c r="I61" s="20">
        <f>IF(AND(ISNUMBER(F61),ISNUMBER(G61)),MIN(F61,G61),"")</f>
        <v/>
      </c>
      <c r="J61" s="17">
        <f>IF(AND(ISNUMBER(H61),ISNUMBER(I61)),H61+I61,"")</f>
        <v/>
      </c>
      <c r="K61" s="16" t="n">
        <v>0.5</v>
      </c>
      <c r="L61" s="26" t="inlineStr">
        <is>
          <t>01 Feb</t>
        </is>
      </c>
    </row>
    <row r="62">
      <c r="A62" s="41" t="n">
        <v>46055</v>
      </c>
      <c r="B62" s="101">
        <f>IFERROR(IF(INDEX(Polymarket!$B$25:$B$303,MATCH($A62,Polymarket!$A$25:$A$303,0))=0,"",INDEX(Polymarket!$B$25:$B$303,MATCH($A62,Polymarket!$A$25:$A$303,0))),"")</f>
        <v/>
      </c>
      <c r="C62" s="101">
        <f>IFERROR(IF(INDEX(Kalshi!$D$31:$D$485,MATCH($A62,Kalshi!$A$31:$A$485,0))=0,"",INDEX(Kalshi!$D$31:$D$485,MATCH($A62,Kalshi!$A$31:$A$485,0))),"")</f>
        <v/>
      </c>
      <c r="D62" s="31">
        <f>IF(AND(ISNUMBER(B62),ISNUMBER(C62)),B62-C62,"")</f>
        <v/>
      </c>
      <c r="E62" s="29">
        <f>IF(ISNUMBER(D62),ABS(D62),"")</f>
        <v/>
      </c>
      <c r="F62" s="101">
        <f>IFERROR(IF(INDEX(Polymarket!$C$25:$C$303,MATCH($A62,Polymarket!$A$25:$A$303,0))=0,"",INDEX(Polymarket!$C$25:$C$303,MATCH($A62,Polymarket!$A$25:$A$303,0))),"")</f>
        <v/>
      </c>
      <c r="G62" s="101">
        <f>IFERROR(IF(INDEX(Kalshi!$G$31:$G$485,MATCH($A62,Kalshi!$A$31:$A$485,0))=0,"",INDEX(Kalshi!$G$31:$G$485,MATCH($A62,Kalshi!$A$31:$A$485,0))),"")</f>
        <v/>
      </c>
      <c r="H62" s="30">
        <f>IF(AND(ISNUMBER(B62),ISNUMBER(C62)),MIN(B62,C62),"")</f>
        <v/>
      </c>
      <c r="I62" s="30">
        <f>IF(AND(ISNUMBER(F62),ISNUMBER(G62)),MIN(F62,G62),"")</f>
        <v/>
      </c>
      <c r="J62" s="29">
        <f>IF(AND(ISNUMBER(H62),ISNUMBER(I62)),H62+I62,"")</f>
        <v/>
      </c>
      <c r="K62" s="28" t="n">
        <v>0.5</v>
      </c>
      <c r="L62" s="38" t="inlineStr">
        <is>
          <t>02 Feb</t>
        </is>
      </c>
    </row>
    <row r="63">
      <c r="A63" s="39" t="n">
        <v>46056</v>
      </c>
      <c r="B63" s="100">
        <f>IFERROR(IF(INDEX(Polymarket!$B$25:$B$303,MATCH($A63,Polymarket!$A$25:$A$303,0))=0,"",INDEX(Polymarket!$B$25:$B$303,MATCH($A63,Polymarket!$A$25:$A$303,0))),"")</f>
        <v/>
      </c>
      <c r="C63" s="100">
        <f>IFERROR(IF(INDEX(Kalshi!$D$31:$D$485,MATCH($A63,Kalshi!$A$31:$A$485,0))=0,"",INDEX(Kalshi!$D$31:$D$485,MATCH($A63,Kalshi!$A$31:$A$485,0))),"")</f>
        <v/>
      </c>
      <c r="D63" s="18">
        <f>IF(AND(ISNUMBER(B63),ISNUMBER(C63)),B63-C63,"")</f>
        <v/>
      </c>
      <c r="E63" s="17">
        <f>IF(ISNUMBER(D63),ABS(D63),"")</f>
        <v/>
      </c>
      <c r="F63" s="100">
        <f>IFERROR(IF(INDEX(Polymarket!$C$25:$C$303,MATCH($A63,Polymarket!$A$25:$A$303,0))=0,"",INDEX(Polymarket!$C$25:$C$303,MATCH($A63,Polymarket!$A$25:$A$303,0))),"")</f>
        <v/>
      </c>
      <c r="G63" s="100">
        <f>IFERROR(IF(INDEX(Kalshi!$G$31:$G$485,MATCH($A63,Kalshi!$A$31:$A$485,0))=0,"",INDEX(Kalshi!$G$31:$G$485,MATCH($A63,Kalshi!$A$31:$A$485,0))),"")</f>
        <v/>
      </c>
      <c r="H63" s="20">
        <f>IF(AND(ISNUMBER(B63),ISNUMBER(C63)),MIN(B63,C63),"")</f>
        <v/>
      </c>
      <c r="I63" s="20">
        <f>IF(AND(ISNUMBER(F63),ISNUMBER(G63)),MIN(F63,G63),"")</f>
        <v/>
      </c>
      <c r="J63" s="17">
        <f>IF(AND(ISNUMBER(H63),ISNUMBER(I63)),H63+I63,"")</f>
        <v/>
      </c>
      <c r="K63" s="16" t="n">
        <v>0.5</v>
      </c>
      <c r="L63" s="26" t="inlineStr">
        <is>
          <t>03 Feb</t>
        </is>
      </c>
    </row>
    <row r="64">
      <c r="A64" s="41" t="n">
        <v>46057</v>
      </c>
      <c r="B64" s="101">
        <f>IFERROR(IF(INDEX(Polymarket!$B$25:$B$303,MATCH($A64,Polymarket!$A$25:$A$303,0))=0,"",INDEX(Polymarket!$B$25:$B$303,MATCH($A64,Polymarket!$A$25:$A$303,0))),"")</f>
        <v/>
      </c>
      <c r="C64" s="101">
        <f>IFERROR(IF(INDEX(Kalshi!$D$31:$D$485,MATCH($A64,Kalshi!$A$31:$A$485,0))=0,"",INDEX(Kalshi!$D$31:$D$485,MATCH($A64,Kalshi!$A$31:$A$485,0))),"")</f>
        <v/>
      </c>
      <c r="D64" s="31">
        <f>IF(AND(ISNUMBER(B64),ISNUMBER(C64)),B64-C64,"")</f>
        <v/>
      </c>
      <c r="E64" s="29">
        <f>IF(ISNUMBER(D64),ABS(D64),"")</f>
        <v/>
      </c>
      <c r="F64" s="101">
        <f>IFERROR(IF(INDEX(Polymarket!$C$25:$C$303,MATCH($A64,Polymarket!$A$25:$A$303,0))=0,"",INDEX(Polymarket!$C$25:$C$303,MATCH($A64,Polymarket!$A$25:$A$303,0))),"")</f>
        <v/>
      </c>
      <c r="G64" s="101">
        <f>IFERROR(IF(INDEX(Kalshi!$G$31:$G$485,MATCH($A64,Kalshi!$A$31:$A$485,0))=0,"",INDEX(Kalshi!$G$31:$G$485,MATCH($A64,Kalshi!$A$31:$A$485,0))),"")</f>
        <v/>
      </c>
      <c r="H64" s="30">
        <f>IF(AND(ISNUMBER(B64),ISNUMBER(C64)),MIN(B64,C64),"")</f>
        <v/>
      </c>
      <c r="I64" s="30">
        <f>IF(AND(ISNUMBER(F64),ISNUMBER(G64)),MIN(F64,G64),"")</f>
        <v/>
      </c>
      <c r="J64" s="29">
        <f>IF(AND(ISNUMBER(H64),ISNUMBER(I64)),H64+I64,"")</f>
        <v/>
      </c>
      <c r="K64" s="28" t="n">
        <v>0.5</v>
      </c>
      <c r="L64" s="38" t="inlineStr">
        <is>
          <t>04 Feb</t>
        </is>
      </c>
    </row>
    <row r="65">
      <c r="A65" s="39" t="n">
        <v>46058</v>
      </c>
      <c r="B65" s="100">
        <f>IFERROR(IF(INDEX(Polymarket!$B$25:$B$303,MATCH($A65,Polymarket!$A$25:$A$303,0))=0,"",INDEX(Polymarket!$B$25:$B$303,MATCH($A65,Polymarket!$A$25:$A$303,0))),"")</f>
        <v/>
      </c>
      <c r="C65" s="100">
        <f>IFERROR(IF(INDEX(Kalshi!$D$31:$D$485,MATCH($A65,Kalshi!$A$31:$A$485,0))=0,"",INDEX(Kalshi!$D$31:$D$485,MATCH($A65,Kalshi!$A$31:$A$485,0))),"")</f>
        <v/>
      </c>
      <c r="D65" s="18">
        <f>IF(AND(ISNUMBER(B65),ISNUMBER(C65)),B65-C65,"")</f>
        <v/>
      </c>
      <c r="E65" s="17">
        <f>IF(ISNUMBER(D65),ABS(D65),"")</f>
        <v/>
      </c>
      <c r="F65" s="100">
        <f>IFERROR(IF(INDEX(Polymarket!$C$25:$C$303,MATCH($A65,Polymarket!$A$25:$A$303,0))=0,"",INDEX(Polymarket!$C$25:$C$303,MATCH($A65,Polymarket!$A$25:$A$303,0))),"")</f>
        <v/>
      </c>
      <c r="G65" s="100">
        <f>IFERROR(IF(INDEX(Kalshi!$G$31:$G$485,MATCH($A65,Kalshi!$A$31:$A$485,0))=0,"",INDEX(Kalshi!$G$31:$G$485,MATCH($A65,Kalshi!$A$31:$A$485,0))),"")</f>
        <v/>
      </c>
      <c r="H65" s="20">
        <f>IF(AND(ISNUMBER(B65),ISNUMBER(C65)),MIN(B65,C65),"")</f>
        <v/>
      </c>
      <c r="I65" s="20">
        <f>IF(AND(ISNUMBER(F65),ISNUMBER(G65)),MIN(F65,G65),"")</f>
        <v/>
      </c>
      <c r="J65" s="17">
        <f>IF(AND(ISNUMBER(H65),ISNUMBER(I65)),H65+I65,"")</f>
        <v/>
      </c>
      <c r="K65" s="16" t="n">
        <v>0.5</v>
      </c>
      <c r="L65" s="26" t="inlineStr">
        <is>
          <t>05 Feb</t>
        </is>
      </c>
    </row>
    <row r="66">
      <c r="A66" s="41" t="n">
        <v>46059</v>
      </c>
      <c r="B66" s="101">
        <f>IFERROR(IF(INDEX(Polymarket!$B$25:$B$303,MATCH($A66,Polymarket!$A$25:$A$303,0))=0,"",INDEX(Polymarket!$B$25:$B$303,MATCH($A66,Polymarket!$A$25:$A$303,0))),"")</f>
        <v/>
      </c>
      <c r="C66" s="101">
        <f>IFERROR(IF(INDEX(Kalshi!$D$31:$D$485,MATCH($A66,Kalshi!$A$31:$A$485,0))=0,"",INDEX(Kalshi!$D$31:$D$485,MATCH($A66,Kalshi!$A$31:$A$485,0))),"")</f>
        <v/>
      </c>
      <c r="D66" s="31">
        <f>IF(AND(ISNUMBER(B66),ISNUMBER(C66)),B66-C66,"")</f>
        <v/>
      </c>
      <c r="E66" s="29">
        <f>IF(ISNUMBER(D66),ABS(D66),"")</f>
        <v/>
      </c>
      <c r="F66" s="101">
        <f>IFERROR(IF(INDEX(Polymarket!$C$25:$C$303,MATCH($A66,Polymarket!$A$25:$A$303,0))=0,"",INDEX(Polymarket!$C$25:$C$303,MATCH($A66,Polymarket!$A$25:$A$303,0))),"")</f>
        <v/>
      </c>
      <c r="G66" s="101">
        <f>IFERROR(IF(INDEX(Kalshi!$G$31:$G$485,MATCH($A66,Kalshi!$A$31:$A$485,0))=0,"",INDEX(Kalshi!$G$31:$G$485,MATCH($A66,Kalshi!$A$31:$A$485,0))),"")</f>
        <v/>
      </c>
      <c r="H66" s="30">
        <f>IF(AND(ISNUMBER(B66),ISNUMBER(C66)),MIN(B66,C66),"")</f>
        <v/>
      </c>
      <c r="I66" s="30">
        <f>IF(AND(ISNUMBER(F66),ISNUMBER(G66)),MIN(F66,G66),"")</f>
        <v/>
      </c>
      <c r="J66" s="29">
        <f>IF(AND(ISNUMBER(H66),ISNUMBER(I66)),H66+I66,"")</f>
        <v/>
      </c>
      <c r="K66" s="28" t="n">
        <v>0.5</v>
      </c>
      <c r="L66" s="38" t="inlineStr">
        <is>
          <t>06 Feb</t>
        </is>
      </c>
    </row>
    <row r="67">
      <c r="A67" s="39" t="n">
        <v>46060</v>
      </c>
      <c r="B67" s="100">
        <f>IFERROR(IF(INDEX(Polymarket!$B$25:$B$303,MATCH($A67,Polymarket!$A$25:$A$303,0))=0,"",INDEX(Polymarket!$B$25:$B$303,MATCH($A67,Polymarket!$A$25:$A$303,0))),"")</f>
        <v/>
      </c>
      <c r="C67" s="100">
        <f>IFERROR(IF(INDEX(Kalshi!$D$31:$D$485,MATCH($A67,Kalshi!$A$31:$A$485,0))=0,"",INDEX(Kalshi!$D$31:$D$485,MATCH($A67,Kalshi!$A$31:$A$485,0))),"")</f>
        <v/>
      </c>
      <c r="D67" s="18">
        <f>IF(AND(ISNUMBER(B67),ISNUMBER(C67)),B67-C67,"")</f>
        <v/>
      </c>
      <c r="E67" s="17">
        <f>IF(ISNUMBER(D67),ABS(D67),"")</f>
        <v/>
      </c>
      <c r="F67" s="100">
        <f>IFERROR(IF(INDEX(Polymarket!$C$25:$C$303,MATCH($A67,Polymarket!$A$25:$A$303,0))=0,"",INDEX(Polymarket!$C$25:$C$303,MATCH($A67,Polymarket!$A$25:$A$303,0))),"")</f>
        <v/>
      </c>
      <c r="G67" s="100">
        <f>IFERROR(IF(INDEX(Kalshi!$G$31:$G$485,MATCH($A67,Kalshi!$A$31:$A$485,0))=0,"",INDEX(Kalshi!$G$31:$G$485,MATCH($A67,Kalshi!$A$31:$A$485,0))),"")</f>
        <v/>
      </c>
      <c r="H67" s="20">
        <f>IF(AND(ISNUMBER(B67),ISNUMBER(C67)),MIN(B67,C67),"")</f>
        <v/>
      </c>
      <c r="I67" s="20">
        <f>IF(AND(ISNUMBER(F67),ISNUMBER(G67)),MIN(F67,G67),"")</f>
        <v/>
      </c>
      <c r="J67" s="17">
        <f>IF(AND(ISNUMBER(H67),ISNUMBER(I67)),H67+I67,"")</f>
        <v/>
      </c>
      <c r="K67" s="16" t="n">
        <v>0.5</v>
      </c>
      <c r="L67" s="26" t="inlineStr">
        <is>
          <t>07 Feb</t>
        </is>
      </c>
    </row>
    <row r="68">
      <c r="A68" s="41" t="n">
        <v>46061</v>
      </c>
      <c r="B68" s="101">
        <f>IFERROR(IF(INDEX(Polymarket!$B$25:$B$303,MATCH($A68,Polymarket!$A$25:$A$303,0))=0,"",INDEX(Polymarket!$B$25:$B$303,MATCH($A68,Polymarket!$A$25:$A$303,0))),"")</f>
        <v/>
      </c>
      <c r="C68" s="101">
        <f>IFERROR(IF(INDEX(Kalshi!$D$31:$D$485,MATCH($A68,Kalshi!$A$31:$A$485,0))=0,"",INDEX(Kalshi!$D$31:$D$485,MATCH($A68,Kalshi!$A$31:$A$485,0))),"")</f>
        <v/>
      </c>
      <c r="D68" s="31">
        <f>IF(AND(ISNUMBER(B68),ISNUMBER(C68)),B68-C68,"")</f>
        <v/>
      </c>
      <c r="E68" s="29">
        <f>IF(ISNUMBER(D68),ABS(D68),"")</f>
        <v/>
      </c>
      <c r="F68" s="101">
        <f>IFERROR(IF(INDEX(Polymarket!$C$25:$C$303,MATCH($A68,Polymarket!$A$25:$A$303,0))=0,"",INDEX(Polymarket!$C$25:$C$303,MATCH($A68,Polymarket!$A$25:$A$303,0))),"")</f>
        <v/>
      </c>
      <c r="G68" s="101">
        <f>IFERROR(IF(INDEX(Kalshi!$G$31:$G$485,MATCH($A68,Kalshi!$A$31:$A$485,0))=0,"",INDEX(Kalshi!$G$31:$G$485,MATCH($A68,Kalshi!$A$31:$A$485,0))),"")</f>
        <v/>
      </c>
      <c r="H68" s="30">
        <f>IF(AND(ISNUMBER(B68),ISNUMBER(C68)),MIN(B68,C68),"")</f>
        <v/>
      </c>
      <c r="I68" s="30">
        <f>IF(AND(ISNUMBER(F68),ISNUMBER(G68)),MIN(F68,G68),"")</f>
        <v/>
      </c>
      <c r="J68" s="29">
        <f>IF(AND(ISNUMBER(H68),ISNUMBER(I68)),H68+I68,"")</f>
        <v/>
      </c>
      <c r="K68" s="28" t="n">
        <v>0.5</v>
      </c>
      <c r="L68" s="38" t="inlineStr">
        <is>
          <t>08 Feb</t>
        </is>
      </c>
    </row>
    <row r="69">
      <c r="A69" s="39" t="n">
        <v>46062</v>
      </c>
      <c r="B69" s="100">
        <f>IFERROR(IF(INDEX(Polymarket!$B$25:$B$303,MATCH($A69,Polymarket!$A$25:$A$303,0))=0,"",INDEX(Polymarket!$B$25:$B$303,MATCH($A69,Polymarket!$A$25:$A$303,0))),"")</f>
        <v/>
      </c>
      <c r="C69" s="100">
        <f>IFERROR(IF(INDEX(Kalshi!$D$31:$D$485,MATCH($A69,Kalshi!$A$31:$A$485,0))=0,"",INDEX(Kalshi!$D$31:$D$485,MATCH($A69,Kalshi!$A$31:$A$485,0))),"")</f>
        <v/>
      </c>
      <c r="D69" s="18">
        <f>IF(AND(ISNUMBER(B69),ISNUMBER(C69)),B69-C69,"")</f>
        <v/>
      </c>
      <c r="E69" s="17">
        <f>IF(ISNUMBER(D69),ABS(D69),"")</f>
        <v/>
      </c>
      <c r="F69" s="100">
        <f>IFERROR(IF(INDEX(Polymarket!$C$25:$C$303,MATCH($A69,Polymarket!$A$25:$A$303,0))=0,"",INDEX(Polymarket!$C$25:$C$303,MATCH($A69,Polymarket!$A$25:$A$303,0))),"")</f>
        <v/>
      </c>
      <c r="G69" s="100">
        <f>IFERROR(IF(INDEX(Kalshi!$G$31:$G$485,MATCH($A69,Kalshi!$A$31:$A$485,0))=0,"",INDEX(Kalshi!$G$31:$G$485,MATCH($A69,Kalshi!$A$31:$A$485,0))),"")</f>
        <v/>
      </c>
      <c r="H69" s="20">
        <f>IF(AND(ISNUMBER(B69),ISNUMBER(C69)),MIN(B69,C69),"")</f>
        <v/>
      </c>
      <c r="I69" s="20">
        <f>IF(AND(ISNUMBER(F69),ISNUMBER(G69)),MIN(F69,G69),"")</f>
        <v/>
      </c>
      <c r="J69" s="17">
        <f>IF(AND(ISNUMBER(H69),ISNUMBER(I69)),H69+I69,"")</f>
        <v/>
      </c>
      <c r="K69" s="16" t="n">
        <v>0.5</v>
      </c>
      <c r="L69" s="26" t="inlineStr">
        <is>
          <t>09 Feb</t>
        </is>
      </c>
    </row>
    <row r="70">
      <c r="A70" s="41" t="n">
        <v>46063</v>
      </c>
      <c r="B70" s="101">
        <f>IFERROR(IF(INDEX(Polymarket!$B$25:$B$303,MATCH($A70,Polymarket!$A$25:$A$303,0))=0,"",INDEX(Polymarket!$B$25:$B$303,MATCH($A70,Polymarket!$A$25:$A$303,0))),"")</f>
        <v/>
      </c>
      <c r="C70" s="101">
        <f>IFERROR(IF(INDEX(Kalshi!$D$31:$D$485,MATCH($A70,Kalshi!$A$31:$A$485,0))=0,"",INDEX(Kalshi!$D$31:$D$485,MATCH($A70,Kalshi!$A$31:$A$485,0))),"")</f>
        <v/>
      </c>
      <c r="D70" s="31">
        <f>IF(AND(ISNUMBER(B70),ISNUMBER(C70)),B70-C70,"")</f>
        <v/>
      </c>
      <c r="E70" s="29">
        <f>IF(ISNUMBER(D70),ABS(D70),"")</f>
        <v/>
      </c>
      <c r="F70" s="101">
        <f>IFERROR(IF(INDEX(Polymarket!$C$25:$C$303,MATCH($A70,Polymarket!$A$25:$A$303,0))=0,"",INDEX(Polymarket!$C$25:$C$303,MATCH($A70,Polymarket!$A$25:$A$303,0))),"")</f>
        <v/>
      </c>
      <c r="G70" s="101">
        <f>IFERROR(IF(INDEX(Kalshi!$G$31:$G$485,MATCH($A70,Kalshi!$A$31:$A$485,0))=0,"",INDEX(Kalshi!$G$31:$G$485,MATCH($A70,Kalshi!$A$31:$A$485,0))),"")</f>
        <v/>
      </c>
      <c r="H70" s="30">
        <f>IF(AND(ISNUMBER(B70),ISNUMBER(C70)),MIN(B70,C70),"")</f>
        <v/>
      </c>
      <c r="I70" s="30">
        <f>IF(AND(ISNUMBER(F70),ISNUMBER(G70)),MIN(F70,G70),"")</f>
        <v/>
      </c>
      <c r="J70" s="29">
        <f>IF(AND(ISNUMBER(H70),ISNUMBER(I70)),H70+I70,"")</f>
        <v/>
      </c>
      <c r="K70" s="28" t="n">
        <v>0.5</v>
      </c>
      <c r="L70" s="38" t="inlineStr">
        <is>
          <t>10 Feb</t>
        </is>
      </c>
    </row>
    <row r="71">
      <c r="A71" s="39" t="n">
        <v>46064</v>
      </c>
      <c r="B71" s="100">
        <f>IFERROR(IF(INDEX(Polymarket!$B$25:$B$303,MATCH($A71,Polymarket!$A$25:$A$303,0))=0,"",INDEX(Polymarket!$B$25:$B$303,MATCH($A71,Polymarket!$A$25:$A$303,0))),"")</f>
        <v/>
      </c>
      <c r="C71" s="100">
        <f>IFERROR(IF(INDEX(Kalshi!$D$31:$D$485,MATCH($A71,Kalshi!$A$31:$A$485,0))=0,"",INDEX(Kalshi!$D$31:$D$485,MATCH($A71,Kalshi!$A$31:$A$485,0))),"")</f>
        <v/>
      </c>
      <c r="D71" s="18">
        <f>IF(AND(ISNUMBER(B71),ISNUMBER(C71)),B71-C71,"")</f>
        <v/>
      </c>
      <c r="E71" s="17">
        <f>IF(ISNUMBER(D71),ABS(D71),"")</f>
        <v/>
      </c>
      <c r="F71" s="100">
        <f>IFERROR(IF(INDEX(Polymarket!$C$25:$C$303,MATCH($A71,Polymarket!$A$25:$A$303,0))=0,"",INDEX(Polymarket!$C$25:$C$303,MATCH($A71,Polymarket!$A$25:$A$303,0))),"")</f>
        <v/>
      </c>
      <c r="G71" s="100">
        <f>IFERROR(IF(INDEX(Kalshi!$G$31:$G$485,MATCH($A71,Kalshi!$A$31:$A$485,0))=0,"",INDEX(Kalshi!$G$31:$G$485,MATCH($A71,Kalshi!$A$31:$A$485,0))),"")</f>
        <v/>
      </c>
      <c r="H71" s="20">
        <f>IF(AND(ISNUMBER(B71),ISNUMBER(C71)),MIN(B71,C71),"")</f>
        <v/>
      </c>
      <c r="I71" s="20">
        <f>IF(AND(ISNUMBER(F71),ISNUMBER(G71)),MIN(F71,G71),"")</f>
        <v/>
      </c>
      <c r="J71" s="17">
        <f>IF(AND(ISNUMBER(H71),ISNUMBER(I71)),H71+I71,"")</f>
        <v/>
      </c>
      <c r="K71" s="16" t="n">
        <v>0.5</v>
      </c>
      <c r="L71" s="26" t="inlineStr">
        <is>
          <t>11 Feb</t>
        </is>
      </c>
    </row>
    <row r="72">
      <c r="A72" s="41" t="n">
        <v>46065</v>
      </c>
      <c r="B72" s="101">
        <f>IFERROR(IF(INDEX(Polymarket!$B$25:$B$303,MATCH($A72,Polymarket!$A$25:$A$303,0))=0,"",INDEX(Polymarket!$B$25:$B$303,MATCH($A72,Polymarket!$A$25:$A$303,0))),"")</f>
        <v/>
      </c>
      <c r="C72" s="101">
        <f>IFERROR(IF(INDEX(Kalshi!$D$31:$D$485,MATCH($A72,Kalshi!$A$31:$A$485,0))=0,"",INDEX(Kalshi!$D$31:$D$485,MATCH($A72,Kalshi!$A$31:$A$485,0))),"")</f>
        <v/>
      </c>
      <c r="D72" s="31">
        <f>IF(AND(ISNUMBER(B72),ISNUMBER(C72)),B72-C72,"")</f>
        <v/>
      </c>
      <c r="E72" s="29">
        <f>IF(ISNUMBER(D72),ABS(D72),"")</f>
        <v/>
      </c>
      <c r="F72" s="101">
        <f>IFERROR(IF(INDEX(Polymarket!$C$25:$C$303,MATCH($A72,Polymarket!$A$25:$A$303,0))=0,"",INDEX(Polymarket!$C$25:$C$303,MATCH($A72,Polymarket!$A$25:$A$303,0))),"")</f>
        <v/>
      </c>
      <c r="G72" s="101">
        <f>IFERROR(IF(INDEX(Kalshi!$G$31:$G$485,MATCH($A72,Kalshi!$A$31:$A$485,0))=0,"",INDEX(Kalshi!$G$31:$G$485,MATCH($A72,Kalshi!$A$31:$A$485,0))),"")</f>
        <v/>
      </c>
      <c r="H72" s="30">
        <f>IF(AND(ISNUMBER(B72),ISNUMBER(C72)),MIN(B72,C72),"")</f>
        <v/>
      </c>
      <c r="I72" s="30">
        <f>IF(AND(ISNUMBER(F72),ISNUMBER(G72)),MIN(F72,G72),"")</f>
        <v/>
      </c>
      <c r="J72" s="29">
        <f>IF(AND(ISNUMBER(H72),ISNUMBER(I72)),H72+I72,"")</f>
        <v/>
      </c>
      <c r="K72" s="28" t="n">
        <v>0.5</v>
      </c>
      <c r="L72" s="38" t="inlineStr">
        <is>
          <t>12 Feb</t>
        </is>
      </c>
    </row>
    <row r="73">
      <c r="A73" s="39" t="n">
        <v>46066</v>
      </c>
      <c r="B73" s="100">
        <f>IFERROR(IF(INDEX(Polymarket!$B$25:$B$303,MATCH($A73,Polymarket!$A$25:$A$303,0))=0,"",INDEX(Polymarket!$B$25:$B$303,MATCH($A73,Polymarket!$A$25:$A$303,0))),"")</f>
        <v/>
      </c>
      <c r="C73" s="100">
        <f>IFERROR(IF(INDEX(Kalshi!$D$31:$D$485,MATCH($A73,Kalshi!$A$31:$A$485,0))=0,"",INDEX(Kalshi!$D$31:$D$485,MATCH($A73,Kalshi!$A$31:$A$485,0))),"")</f>
        <v/>
      </c>
      <c r="D73" s="18">
        <f>IF(AND(ISNUMBER(B73),ISNUMBER(C73)),B73-C73,"")</f>
        <v/>
      </c>
      <c r="E73" s="17">
        <f>IF(ISNUMBER(D73),ABS(D73),"")</f>
        <v/>
      </c>
      <c r="F73" s="100">
        <f>IFERROR(IF(INDEX(Polymarket!$C$25:$C$303,MATCH($A73,Polymarket!$A$25:$A$303,0))=0,"",INDEX(Polymarket!$C$25:$C$303,MATCH($A73,Polymarket!$A$25:$A$303,0))),"")</f>
        <v/>
      </c>
      <c r="G73" s="100">
        <f>IFERROR(IF(INDEX(Kalshi!$G$31:$G$485,MATCH($A73,Kalshi!$A$31:$A$485,0))=0,"",INDEX(Kalshi!$G$31:$G$485,MATCH($A73,Kalshi!$A$31:$A$485,0))),"")</f>
        <v/>
      </c>
      <c r="H73" s="20">
        <f>IF(AND(ISNUMBER(B73),ISNUMBER(C73)),MIN(B73,C73),"")</f>
        <v/>
      </c>
      <c r="I73" s="20">
        <f>IF(AND(ISNUMBER(F73),ISNUMBER(G73)),MIN(F73,G73),"")</f>
        <v/>
      </c>
      <c r="J73" s="17">
        <f>IF(AND(ISNUMBER(H73),ISNUMBER(I73)),H73+I73,"")</f>
        <v/>
      </c>
      <c r="K73" s="16" t="n">
        <v>0.5</v>
      </c>
      <c r="L73" s="26" t="inlineStr">
        <is>
          <t>13 Feb</t>
        </is>
      </c>
    </row>
    <row r="74">
      <c r="A74" s="41" t="n">
        <v>46067</v>
      </c>
      <c r="B74" s="101">
        <f>IFERROR(IF(INDEX(Polymarket!$B$25:$B$303,MATCH($A74,Polymarket!$A$25:$A$303,0))=0,"",INDEX(Polymarket!$B$25:$B$303,MATCH($A74,Polymarket!$A$25:$A$303,0))),"")</f>
        <v/>
      </c>
      <c r="C74" s="101">
        <f>IFERROR(IF(INDEX(Kalshi!$D$31:$D$485,MATCH($A74,Kalshi!$A$31:$A$485,0))=0,"",INDEX(Kalshi!$D$31:$D$485,MATCH($A74,Kalshi!$A$31:$A$485,0))),"")</f>
        <v/>
      </c>
      <c r="D74" s="31">
        <f>IF(AND(ISNUMBER(B74),ISNUMBER(C74)),B74-C74,"")</f>
        <v/>
      </c>
      <c r="E74" s="29">
        <f>IF(ISNUMBER(D74),ABS(D74),"")</f>
        <v/>
      </c>
      <c r="F74" s="101">
        <f>IFERROR(IF(INDEX(Polymarket!$C$25:$C$303,MATCH($A74,Polymarket!$A$25:$A$303,0))=0,"",INDEX(Polymarket!$C$25:$C$303,MATCH($A74,Polymarket!$A$25:$A$303,0))),"")</f>
        <v/>
      </c>
      <c r="G74" s="101">
        <f>IFERROR(IF(INDEX(Kalshi!$G$31:$G$485,MATCH($A74,Kalshi!$A$31:$A$485,0))=0,"",INDEX(Kalshi!$G$31:$G$485,MATCH($A74,Kalshi!$A$31:$A$485,0))),"")</f>
        <v/>
      </c>
      <c r="H74" s="30">
        <f>IF(AND(ISNUMBER(B74),ISNUMBER(C74)),MIN(B74,C74),"")</f>
        <v/>
      </c>
      <c r="I74" s="30">
        <f>IF(AND(ISNUMBER(F74),ISNUMBER(G74)),MIN(F74,G74),"")</f>
        <v/>
      </c>
      <c r="J74" s="29">
        <f>IF(AND(ISNUMBER(H74),ISNUMBER(I74)),H74+I74,"")</f>
        <v/>
      </c>
      <c r="K74" s="28" t="n">
        <v>0.5</v>
      </c>
      <c r="L74" s="38" t="inlineStr">
        <is>
          <t>14 Feb</t>
        </is>
      </c>
    </row>
    <row r="75">
      <c r="A75" s="39" t="n">
        <v>46068</v>
      </c>
      <c r="B75" s="100">
        <f>IFERROR(IF(INDEX(Polymarket!$B$25:$B$303,MATCH($A75,Polymarket!$A$25:$A$303,0))=0,"",INDEX(Polymarket!$B$25:$B$303,MATCH($A75,Polymarket!$A$25:$A$303,0))),"")</f>
        <v/>
      </c>
      <c r="C75" s="100">
        <f>IFERROR(IF(INDEX(Kalshi!$D$31:$D$485,MATCH($A75,Kalshi!$A$31:$A$485,0))=0,"",INDEX(Kalshi!$D$31:$D$485,MATCH($A75,Kalshi!$A$31:$A$485,0))),"")</f>
        <v/>
      </c>
      <c r="D75" s="18">
        <f>IF(AND(ISNUMBER(B75),ISNUMBER(C75)),B75-C75,"")</f>
        <v/>
      </c>
      <c r="E75" s="17">
        <f>IF(ISNUMBER(D75),ABS(D75),"")</f>
        <v/>
      </c>
      <c r="F75" s="100">
        <f>IFERROR(IF(INDEX(Polymarket!$C$25:$C$303,MATCH($A75,Polymarket!$A$25:$A$303,0))=0,"",INDEX(Polymarket!$C$25:$C$303,MATCH($A75,Polymarket!$A$25:$A$303,0))),"")</f>
        <v/>
      </c>
      <c r="G75" s="100">
        <f>IFERROR(IF(INDEX(Kalshi!$G$31:$G$485,MATCH($A75,Kalshi!$A$31:$A$485,0))=0,"",INDEX(Kalshi!$G$31:$G$485,MATCH($A75,Kalshi!$A$31:$A$485,0))),"")</f>
        <v/>
      </c>
      <c r="H75" s="20">
        <f>IF(AND(ISNUMBER(B75),ISNUMBER(C75)),MIN(B75,C75),"")</f>
        <v/>
      </c>
      <c r="I75" s="20">
        <f>IF(AND(ISNUMBER(F75),ISNUMBER(G75)),MIN(F75,G75),"")</f>
        <v/>
      </c>
      <c r="J75" s="17">
        <f>IF(AND(ISNUMBER(H75),ISNUMBER(I75)),H75+I75,"")</f>
        <v/>
      </c>
      <c r="K75" s="16" t="n">
        <v>0.5</v>
      </c>
      <c r="L75" s="26" t="inlineStr">
        <is>
          <t>15 Feb</t>
        </is>
      </c>
    </row>
    <row r="76">
      <c r="A76" s="41" t="n">
        <v>46069</v>
      </c>
      <c r="B76" s="101">
        <f>IFERROR(IF(INDEX(Polymarket!$B$25:$B$303,MATCH($A76,Polymarket!$A$25:$A$303,0))=0,"",INDEX(Polymarket!$B$25:$B$303,MATCH($A76,Polymarket!$A$25:$A$303,0))),"")</f>
        <v/>
      </c>
      <c r="C76" s="101">
        <f>IFERROR(IF(INDEX(Kalshi!$D$31:$D$485,MATCH($A76,Kalshi!$A$31:$A$485,0))=0,"",INDEX(Kalshi!$D$31:$D$485,MATCH($A76,Kalshi!$A$31:$A$485,0))),"")</f>
        <v/>
      </c>
      <c r="D76" s="31">
        <f>IF(AND(ISNUMBER(B76),ISNUMBER(C76)),B76-C76,"")</f>
        <v/>
      </c>
      <c r="E76" s="29">
        <f>IF(ISNUMBER(D76),ABS(D76),"")</f>
        <v/>
      </c>
      <c r="F76" s="101">
        <f>IFERROR(IF(INDEX(Polymarket!$C$25:$C$303,MATCH($A76,Polymarket!$A$25:$A$303,0))=0,"",INDEX(Polymarket!$C$25:$C$303,MATCH($A76,Polymarket!$A$25:$A$303,0))),"")</f>
        <v/>
      </c>
      <c r="G76" s="101">
        <f>IFERROR(IF(INDEX(Kalshi!$G$31:$G$485,MATCH($A76,Kalshi!$A$31:$A$485,0))=0,"",INDEX(Kalshi!$G$31:$G$485,MATCH($A76,Kalshi!$A$31:$A$485,0))),"")</f>
        <v/>
      </c>
      <c r="H76" s="30">
        <f>IF(AND(ISNUMBER(B76),ISNUMBER(C76)),MIN(B76,C76),"")</f>
        <v/>
      </c>
      <c r="I76" s="30">
        <f>IF(AND(ISNUMBER(F76),ISNUMBER(G76)),MIN(F76,G76),"")</f>
        <v/>
      </c>
      <c r="J76" s="29">
        <f>IF(AND(ISNUMBER(H76),ISNUMBER(I76)),H76+I76,"")</f>
        <v/>
      </c>
      <c r="K76" s="28" t="n">
        <v>0.5</v>
      </c>
      <c r="L76" s="38" t="inlineStr">
        <is>
          <t>16 Feb</t>
        </is>
      </c>
    </row>
    <row r="77">
      <c r="A77" s="39" t="n">
        <v>46070</v>
      </c>
      <c r="B77" s="100">
        <f>IFERROR(IF(INDEX(Polymarket!$B$25:$B$303,MATCH($A77,Polymarket!$A$25:$A$303,0))=0,"",INDEX(Polymarket!$B$25:$B$303,MATCH($A77,Polymarket!$A$25:$A$303,0))),"")</f>
        <v/>
      </c>
      <c r="C77" s="100">
        <f>IFERROR(IF(INDEX(Kalshi!$D$31:$D$485,MATCH($A77,Kalshi!$A$31:$A$485,0))=0,"",INDEX(Kalshi!$D$31:$D$485,MATCH($A77,Kalshi!$A$31:$A$485,0))),"")</f>
        <v/>
      </c>
      <c r="D77" s="18">
        <f>IF(AND(ISNUMBER(B77),ISNUMBER(C77)),B77-C77,"")</f>
        <v/>
      </c>
      <c r="E77" s="17">
        <f>IF(ISNUMBER(D77),ABS(D77),"")</f>
        <v/>
      </c>
      <c r="F77" s="100">
        <f>IFERROR(IF(INDEX(Polymarket!$C$25:$C$303,MATCH($A77,Polymarket!$A$25:$A$303,0))=0,"",INDEX(Polymarket!$C$25:$C$303,MATCH($A77,Polymarket!$A$25:$A$303,0))),"")</f>
        <v/>
      </c>
      <c r="G77" s="100">
        <f>IFERROR(IF(INDEX(Kalshi!$G$31:$G$485,MATCH($A77,Kalshi!$A$31:$A$485,0))=0,"",INDEX(Kalshi!$G$31:$G$485,MATCH($A77,Kalshi!$A$31:$A$485,0))),"")</f>
        <v/>
      </c>
      <c r="H77" s="20">
        <f>IF(AND(ISNUMBER(B77),ISNUMBER(C77)),MIN(B77,C77),"")</f>
        <v/>
      </c>
      <c r="I77" s="20">
        <f>IF(AND(ISNUMBER(F77),ISNUMBER(G77)),MIN(F77,G77),"")</f>
        <v/>
      </c>
      <c r="J77" s="17">
        <f>IF(AND(ISNUMBER(H77),ISNUMBER(I77)),H77+I77,"")</f>
        <v/>
      </c>
      <c r="K77" s="16" t="n">
        <v>0.5</v>
      </c>
      <c r="L77" s="26" t="inlineStr">
        <is>
          <t>17 Feb</t>
        </is>
      </c>
    </row>
    <row r="78">
      <c r="A78" s="41" t="n">
        <v>46071</v>
      </c>
      <c r="B78" s="101">
        <f>IFERROR(IF(INDEX(Polymarket!$B$25:$B$303,MATCH($A78,Polymarket!$A$25:$A$303,0))=0,"",INDEX(Polymarket!$B$25:$B$303,MATCH($A78,Polymarket!$A$25:$A$303,0))),"")</f>
        <v/>
      </c>
      <c r="C78" s="101">
        <f>IFERROR(IF(INDEX(Kalshi!$D$31:$D$485,MATCH($A78,Kalshi!$A$31:$A$485,0))=0,"",INDEX(Kalshi!$D$31:$D$485,MATCH($A78,Kalshi!$A$31:$A$485,0))),"")</f>
        <v/>
      </c>
      <c r="D78" s="31">
        <f>IF(AND(ISNUMBER(B78),ISNUMBER(C78)),B78-C78,"")</f>
        <v/>
      </c>
      <c r="E78" s="29">
        <f>IF(ISNUMBER(D78),ABS(D78),"")</f>
        <v/>
      </c>
      <c r="F78" s="101">
        <f>IFERROR(IF(INDEX(Polymarket!$C$25:$C$303,MATCH($A78,Polymarket!$A$25:$A$303,0))=0,"",INDEX(Polymarket!$C$25:$C$303,MATCH($A78,Polymarket!$A$25:$A$303,0))),"")</f>
        <v/>
      </c>
      <c r="G78" s="101">
        <f>IFERROR(IF(INDEX(Kalshi!$G$31:$G$485,MATCH($A78,Kalshi!$A$31:$A$485,0))=0,"",INDEX(Kalshi!$G$31:$G$485,MATCH($A78,Kalshi!$A$31:$A$485,0))),"")</f>
        <v/>
      </c>
      <c r="H78" s="30">
        <f>IF(AND(ISNUMBER(B78),ISNUMBER(C78)),MIN(B78,C78),"")</f>
        <v/>
      </c>
      <c r="I78" s="30">
        <f>IF(AND(ISNUMBER(F78),ISNUMBER(G78)),MIN(F78,G78),"")</f>
        <v/>
      </c>
      <c r="J78" s="29">
        <f>IF(AND(ISNUMBER(H78),ISNUMBER(I78)),H78+I78,"")</f>
        <v/>
      </c>
      <c r="K78" s="28" t="n">
        <v>0.5</v>
      </c>
      <c r="L78" s="38" t="inlineStr">
        <is>
          <t>18 Feb</t>
        </is>
      </c>
    </row>
    <row r="79">
      <c r="A79" s="39" t="n">
        <v>46072</v>
      </c>
      <c r="B79" s="100">
        <f>IFERROR(IF(INDEX(Polymarket!$B$25:$B$303,MATCH($A79,Polymarket!$A$25:$A$303,0))=0,"",INDEX(Polymarket!$B$25:$B$303,MATCH($A79,Polymarket!$A$25:$A$303,0))),"")</f>
        <v/>
      </c>
      <c r="C79" s="100">
        <f>IFERROR(IF(INDEX(Kalshi!$D$31:$D$485,MATCH($A79,Kalshi!$A$31:$A$485,0))=0,"",INDEX(Kalshi!$D$31:$D$485,MATCH($A79,Kalshi!$A$31:$A$485,0))),"")</f>
        <v/>
      </c>
      <c r="D79" s="18">
        <f>IF(AND(ISNUMBER(B79),ISNUMBER(C79)),B79-C79,"")</f>
        <v/>
      </c>
      <c r="E79" s="17">
        <f>IF(ISNUMBER(D79),ABS(D79),"")</f>
        <v/>
      </c>
      <c r="F79" s="100">
        <f>IFERROR(IF(INDEX(Polymarket!$C$25:$C$303,MATCH($A79,Polymarket!$A$25:$A$303,0))=0,"",INDEX(Polymarket!$C$25:$C$303,MATCH($A79,Polymarket!$A$25:$A$303,0))),"")</f>
        <v/>
      </c>
      <c r="G79" s="100">
        <f>IFERROR(IF(INDEX(Kalshi!$G$31:$G$485,MATCH($A79,Kalshi!$A$31:$A$485,0))=0,"",INDEX(Kalshi!$G$31:$G$485,MATCH($A79,Kalshi!$A$31:$A$485,0))),"")</f>
        <v/>
      </c>
      <c r="H79" s="20">
        <f>IF(AND(ISNUMBER(B79),ISNUMBER(C79)),MIN(B79,C79),"")</f>
        <v/>
      </c>
      <c r="I79" s="20">
        <f>IF(AND(ISNUMBER(F79),ISNUMBER(G79)),MIN(F79,G79),"")</f>
        <v/>
      </c>
      <c r="J79" s="17">
        <f>IF(AND(ISNUMBER(H79),ISNUMBER(I79)),H79+I79,"")</f>
        <v/>
      </c>
      <c r="K79" s="16" t="n">
        <v>0.5</v>
      </c>
      <c r="L79" s="26" t="inlineStr">
        <is>
          <t>19 Feb</t>
        </is>
      </c>
    </row>
    <row r="80">
      <c r="A80" s="41" t="n">
        <v>46073</v>
      </c>
      <c r="B80" s="101">
        <f>IFERROR(IF(INDEX(Polymarket!$B$25:$B$303,MATCH($A80,Polymarket!$A$25:$A$303,0))=0,"",INDEX(Polymarket!$B$25:$B$303,MATCH($A80,Polymarket!$A$25:$A$303,0))),"")</f>
        <v/>
      </c>
      <c r="C80" s="101">
        <f>IFERROR(IF(INDEX(Kalshi!$D$31:$D$485,MATCH($A80,Kalshi!$A$31:$A$485,0))=0,"",INDEX(Kalshi!$D$31:$D$485,MATCH($A80,Kalshi!$A$31:$A$485,0))),"")</f>
        <v/>
      </c>
      <c r="D80" s="31">
        <f>IF(AND(ISNUMBER(B80),ISNUMBER(C80)),B80-C80,"")</f>
        <v/>
      </c>
      <c r="E80" s="29">
        <f>IF(ISNUMBER(D80),ABS(D80),"")</f>
        <v/>
      </c>
      <c r="F80" s="101">
        <f>IFERROR(IF(INDEX(Polymarket!$C$25:$C$303,MATCH($A80,Polymarket!$A$25:$A$303,0))=0,"",INDEX(Polymarket!$C$25:$C$303,MATCH($A80,Polymarket!$A$25:$A$303,0))),"")</f>
        <v/>
      </c>
      <c r="G80" s="101">
        <f>IFERROR(IF(INDEX(Kalshi!$G$31:$G$485,MATCH($A80,Kalshi!$A$31:$A$485,0))=0,"",INDEX(Kalshi!$G$31:$G$485,MATCH($A80,Kalshi!$A$31:$A$485,0))),"")</f>
        <v/>
      </c>
      <c r="H80" s="30">
        <f>IF(AND(ISNUMBER(B80),ISNUMBER(C80)),MIN(B80,C80),"")</f>
        <v/>
      </c>
      <c r="I80" s="30">
        <f>IF(AND(ISNUMBER(F80),ISNUMBER(G80)),MIN(F80,G80),"")</f>
        <v/>
      </c>
      <c r="J80" s="29">
        <f>IF(AND(ISNUMBER(H80),ISNUMBER(I80)),H80+I80,"")</f>
        <v/>
      </c>
      <c r="K80" s="28" t="n">
        <v>0.5</v>
      </c>
      <c r="L80" s="38" t="inlineStr">
        <is>
          <t>20 Feb</t>
        </is>
      </c>
    </row>
    <row r="81">
      <c r="A81" s="39" t="n">
        <v>46074</v>
      </c>
      <c r="B81" s="100">
        <f>IFERROR(IF(INDEX(Polymarket!$B$25:$B$303,MATCH($A81,Polymarket!$A$25:$A$303,0))=0,"",INDEX(Polymarket!$B$25:$B$303,MATCH($A81,Polymarket!$A$25:$A$303,0))),"")</f>
        <v/>
      </c>
      <c r="C81" s="100">
        <f>IFERROR(IF(INDEX(Kalshi!$D$31:$D$485,MATCH($A81,Kalshi!$A$31:$A$485,0))=0,"",INDEX(Kalshi!$D$31:$D$485,MATCH($A81,Kalshi!$A$31:$A$485,0))),"")</f>
        <v/>
      </c>
      <c r="D81" s="18">
        <f>IF(AND(ISNUMBER(B81),ISNUMBER(C81)),B81-C81,"")</f>
        <v/>
      </c>
      <c r="E81" s="17">
        <f>IF(ISNUMBER(D81),ABS(D81),"")</f>
        <v/>
      </c>
      <c r="F81" s="100">
        <f>IFERROR(IF(INDEX(Polymarket!$C$25:$C$303,MATCH($A81,Polymarket!$A$25:$A$303,0))=0,"",INDEX(Polymarket!$C$25:$C$303,MATCH($A81,Polymarket!$A$25:$A$303,0))),"")</f>
        <v/>
      </c>
      <c r="G81" s="100">
        <f>IFERROR(IF(INDEX(Kalshi!$G$31:$G$485,MATCH($A81,Kalshi!$A$31:$A$485,0))=0,"",INDEX(Kalshi!$G$31:$G$485,MATCH($A81,Kalshi!$A$31:$A$485,0))),"")</f>
        <v/>
      </c>
      <c r="H81" s="20">
        <f>IF(AND(ISNUMBER(B81),ISNUMBER(C81)),MIN(B81,C81),"")</f>
        <v/>
      </c>
      <c r="I81" s="20">
        <f>IF(AND(ISNUMBER(F81),ISNUMBER(G81)),MIN(F81,G81),"")</f>
        <v/>
      </c>
      <c r="J81" s="17">
        <f>IF(AND(ISNUMBER(H81),ISNUMBER(I81)),H81+I81,"")</f>
        <v/>
      </c>
      <c r="K81" s="16" t="n">
        <v>0.5</v>
      </c>
      <c r="L81" s="26" t="inlineStr">
        <is>
          <t>21 Feb</t>
        </is>
      </c>
    </row>
    <row r="82">
      <c r="A82" s="41" t="n">
        <v>46075</v>
      </c>
      <c r="B82" s="101">
        <f>IFERROR(IF(INDEX(Polymarket!$B$25:$B$303,MATCH($A82,Polymarket!$A$25:$A$303,0))=0,"",INDEX(Polymarket!$B$25:$B$303,MATCH($A82,Polymarket!$A$25:$A$303,0))),"")</f>
        <v/>
      </c>
      <c r="C82" s="101">
        <f>IFERROR(IF(INDEX(Kalshi!$D$31:$D$485,MATCH($A82,Kalshi!$A$31:$A$485,0))=0,"",INDEX(Kalshi!$D$31:$D$485,MATCH($A82,Kalshi!$A$31:$A$485,0))),"")</f>
        <v/>
      </c>
      <c r="D82" s="31">
        <f>IF(AND(ISNUMBER(B82),ISNUMBER(C82)),B82-C82,"")</f>
        <v/>
      </c>
      <c r="E82" s="29">
        <f>IF(ISNUMBER(D82),ABS(D82),"")</f>
        <v/>
      </c>
      <c r="F82" s="101">
        <f>IFERROR(IF(INDEX(Polymarket!$C$25:$C$303,MATCH($A82,Polymarket!$A$25:$A$303,0))=0,"",INDEX(Polymarket!$C$25:$C$303,MATCH($A82,Polymarket!$A$25:$A$303,0))),"")</f>
        <v/>
      </c>
      <c r="G82" s="101">
        <f>IFERROR(IF(INDEX(Kalshi!$G$31:$G$485,MATCH($A82,Kalshi!$A$31:$A$485,0))=0,"",INDEX(Kalshi!$G$31:$G$485,MATCH($A82,Kalshi!$A$31:$A$485,0))),"")</f>
        <v/>
      </c>
      <c r="H82" s="30">
        <f>IF(AND(ISNUMBER(B82),ISNUMBER(C82)),MIN(B82,C82),"")</f>
        <v/>
      </c>
      <c r="I82" s="30">
        <f>IF(AND(ISNUMBER(F82),ISNUMBER(G82)),MIN(F82,G82),"")</f>
        <v/>
      </c>
      <c r="J82" s="29">
        <f>IF(AND(ISNUMBER(H82),ISNUMBER(I82)),H82+I82,"")</f>
        <v/>
      </c>
      <c r="K82" s="28" t="n">
        <v>0.5</v>
      </c>
      <c r="L82" s="38" t="inlineStr">
        <is>
          <t>22 Feb</t>
        </is>
      </c>
    </row>
    <row r="83">
      <c r="A83" s="39" t="n">
        <v>46076</v>
      </c>
      <c r="B83" s="100">
        <f>IFERROR(IF(INDEX(Polymarket!$B$25:$B$303,MATCH($A83,Polymarket!$A$25:$A$303,0))=0,"",INDEX(Polymarket!$B$25:$B$303,MATCH($A83,Polymarket!$A$25:$A$303,0))),"")</f>
        <v/>
      </c>
      <c r="C83" s="100">
        <f>IFERROR(IF(INDEX(Kalshi!$D$31:$D$485,MATCH($A83,Kalshi!$A$31:$A$485,0))=0,"",INDEX(Kalshi!$D$31:$D$485,MATCH($A83,Kalshi!$A$31:$A$485,0))),"")</f>
        <v/>
      </c>
      <c r="D83" s="18">
        <f>IF(AND(ISNUMBER(B83),ISNUMBER(C83)),B83-C83,"")</f>
        <v/>
      </c>
      <c r="E83" s="17">
        <f>IF(ISNUMBER(D83),ABS(D83),"")</f>
        <v/>
      </c>
      <c r="F83" s="100">
        <f>IFERROR(IF(INDEX(Polymarket!$C$25:$C$303,MATCH($A83,Polymarket!$A$25:$A$303,0))=0,"",INDEX(Polymarket!$C$25:$C$303,MATCH($A83,Polymarket!$A$25:$A$303,0))),"")</f>
        <v/>
      </c>
      <c r="G83" s="100">
        <f>IFERROR(IF(INDEX(Kalshi!$G$31:$G$485,MATCH($A83,Kalshi!$A$31:$A$485,0))=0,"",INDEX(Kalshi!$G$31:$G$485,MATCH($A83,Kalshi!$A$31:$A$485,0))),"")</f>
        <v/>
      </c>
      <c r="H83" s="20">
        <f>IF(AND(ISNUMBER(B83),ISNUMBER(C83)),MIN(B83,C83),"")</f>
        <v/>
      </c>
      <c r="I83" s="20">
        <f>IF(AND(ISNUMBER(F83),ISNUMBER(G83)),MIN(F83,G83),"")</f>
        <v/>
      </c>
      <c r="J83" s="17">
        <f>IF(AND(ISNUMBER(H83),ISNUMBER(I83)),H83+I83,"")</f>
        <v/>
      </c>
      <c r="K83" s="16" t="n">
        <v>0.5</v>
      </c>
      <c r="L83" s="26" t="inlineStr">
        <is>
          <t>23 Feb</t>
        </is>
      </c>
    </row>
    <row r="84">
      <c r="A84" s="41" t="n">
        <v>46077</v>
      </c>
      <c r="B84" s="101">
        <f>IFERROR(IF(INDEX(Polymarket!$B$25:$B$303,MATCH($A84,Polymarket!$A$25:$A$303,0))=0,"",INDEX(Polymarket!$B$25:$B$303,MATCH($A84,Polymarket!$A$25:$A$303,0))),"")</f>
        <v/>
      </c>
      <c r="C84" s="101">
        <f>IFERROR(IF(INDEX(Kalshi!$D$31:$D$485,MATCH($A84,Kalshi!$A$31:$A$485,0))=0,"",INDEX(Kalshi!$D$31:$D$485,MATCH($A84,Kalshi!$A$31:$A$485,0))),"")</f>
        <v/>
      </c>
      <c r="D84" s="31">
        <f>IF(AND(ISNUMBER(B84),ISNUMBER(C84)),B84-C84,"")</f>
        <v/>
      </c>
      <c r="E84" s="29">
        <f>IF(ISNUMBER(D84),ABS(D84),"")</f>
        <v/>
      </c>
      <c r="F84" s="101">
        <f>IFERROR(IF(INDEX(Polymarket!$C$25:$C$303,MATCH($A84,Polymarket!$A$25:$A$303,0))=0,"",INDEX(Polymarket!$C$25:$C$303,MATCH($A84,Polymarket!$A$25:$A$303,0))),"")</f>
        <v/>
      </c>
      <c r="G84" s="101">
        <f>IFERROR(IF(INDEX(Kalshi!$G$31:$G$485,MATCH($A84,Kalshi!$A$31:$A$485,0))=0,"",INDEX(Kalshi!$G$31:$G$485,MATCH($A84,Kalshi!$A$31:$A$485,0))),"")</f>
        <v/>
      </c>
      <c r="H84" s="30">
        <f>IF(AND(ISNUMBER(B84),ISNUMBER(C84)),MIN(B84,C84),"")</f>
        <v/>
      </c>
      <c r="I84" s="30">
        <f>IF(AND(ISNUMBER(F84),ISNUMBER(G84)),MIN(F84,G84),"")</f>
        <v/>
      </c>
      <c r="J84" s="29">
        <f>IF(AND(ISNUMBER(H84),ISNUMBER(I84)),H84+I84,"")</f>
        <v/>
      </c>
      <c r="K84" s="28" t="n">
        <v>0.5</v>
      </c>
      <c r="L84" s="38" t="inlineStr">
        <is>
          <t>24 Feb</t>
        </is>
      </c>
    </row>
    <row r="85">
      <c r="A85" s="39" t="n">
        <v>46078</v>
      </c>
      <c r="B85" s="100">
        <f>IFERROR(IF(INDEX(Polymarket!$B$25:$B$303,MATCH($A85,Polymarket!$A$25:$A$303,0))=0,"",INDEX(Polymarket!$B$25:$B$303,MATCH($A85,Polymarket!$A$25:$A$303,0))),"")</f>
        <v/>
      </c>
      <c r="C85" s="100">
        <f>IFERROR(IF(INDEX(Kalshi!$D$31:$D$485,MATCH($A85,Kalshi!$A$31:$A$485,0))=0,"",INDEX(Kalshi!$D$31:$D$485,MATCH($A85,Kalshi!$A$31:$A$485,0))),"")</f>
        <v/>
      </c>
      <c r="D85" s="18">
        <f>IF(AND(ISNUMBER(B85),ISNUMBER(C85)),B85-C85,"")</f>
        <v/>
      </c>
      <c r="E85" s="17">
        <f>IF(ISNUMBER(D85),ABS(D85),"")</f>
        <v/>
      </c>
      <c r="F85" s="100">
        <f>IFERROR(IF(INDEX(Polymarket!$C$25:$C$303,MATCH($A85,Polymarket!$A$25:$A$303,0))=0,"",INDEX(Polymarket!$C$25:$C$303,MATCH($A85,Polymarket!$A$25:$A$303,0))),"")</f>
        <v/>
      </c>
      <c r="G85" s="100">
        <f>IFERROR(IF(INDEX(Kalshi!$G$31:$G$485,MATCH($A85,Kalshi!$A$31:$A$485,0))=0,"",INDEX(Kalshi!$G$31:$G$485,MATCH($A85,Kalshi!$A$31:$A$485,0))),"")</f>
        <v/>
      </c>
      <c r="H85" s="20">
        <f>IF(AND(ISNUMBER(B85),ISNUMBER(C85)),MIN(B85,C85),"")</f>
        <v/>
      </c>
      <c r="I85" s="20">
        <f>IF(AND(ISNUMBER(F85),ISNUMBER(G85)),MIN(F85,G85),"")</f>
        <v/>
      </c>
      <c r="J85" s="17">
        <f>IF(AND(ISNUMBER(H85),ISNUMBER(I85)),H85+I85,"")</f>
        <v/>
      </c>
      <c r="K85" s="16" t="n">
        <v>0.5</v>
      </c>
      <c r="L85" s="26" t="inlineStr">
        <is>
          <t>25 Feb</t>
        </is>
      </c>
    </row>
    <row r="86">
      <c r="A86" s="41" t="n">
        <v>46079</v>
      </c>
      <c r="B86" s="101">
        <f>IFERROR(IF(INDEX(Polymarket!$B$25:$B$303,MATCH($A86,Polymarket!$A$25:$A$303,0))=0,"",INDEX(Polymarket!$B$25:$B$303,MATCH($A86,Polymarket!$A$25:$A$303,0))),"")</f>
        <v/>
      </c>
      <c r="C86" s="101">
        <f>IFERROR(IF(INDEX(Kalshi!$D$31:$D$485,MATCH($A86,Kalshi!$A$31:$A$485,0))=0,"",INDEX(Kalshi!$D$31:$D$485,MATCH($A86,Kalshi!$A$31:$A$485,0))),"")</f>
        <v/>
      </c>
      <c r="D86" s="31">
        <f>IF(AND(ISNUMBER(B86),ISNUMBER(C86)),B86-C86,"")</f>
        <v/>
      </c>
      <c r="E86" s="29">
        <f>IF(ISNUMBER(D86),ABS(D86),"")</f>
        <v/>
      </c>
      <c r="F86" s="101">
        <f>IFERROR(IF(INDEX(Polymarket!$C$25:$C$303,MATCH($A86,Polymarket!$A$25:$A$303,0))=0,"",INDEX(Polymarket!$C$25:$C$303,MATCH($A86,Polymarket!$A$25:$A$303,0))),"")</f>
        <v/>
      </c>
      <c r="G86" s="101">
        <f>IFERROR(IF(INDEX(Kalshi!$G$31:$G$485,MATCH($A86,Kalshi!$A$31:$A$485,0))=0,"",INDEX(Kalshi!$G$31:$G$485,MATCH($A86,Kalshi!$A$31:$A$485,0))),"")</f>
        <v/>
      </c>
      <c r="H86" s="30">
        <f>IF(AND(ISNUMBER(B86),ISNUMBER(C86)),MIN(B86,C86),"")</f>
        <v/>
      </c>
      <c r="I86" s="30">
        <f>IF(AND(ISNUMBER(F86),ISNUMBER(G86)),MIN(F86,G86),"")</f>
        <v/>
      </c>
      <c r="J86" s="29">
        <f>IF(AND(ISNUMBER(H86),ISNUMBER(I86)),H86+I86,"")</f>
        <v/>
      </c>
      <c r="K86" s="28" t="n">
        <v>0.5</v>
      </c>
      <c r="L86" s="38" t="inlineStr">
        <is>
          <t>26 Feb</t>
        </is>
      </c>
    </row>
    <row r="87">
      <c r="A87" s="39" t="n">
        <v>46080</v>
      </c>
      <c r="B87" s="100">
        <f>IFERROR(IF(INDEX(Polymarket!$B$25:$B$303,MATCH($A87,Polymarket!$A$25:$A$303,0))=0,"",INDEX(Polymarket!$B$25:$B$303,MATCH($A87,Polymarket!$A$25:$A$303,0))),"")</f>
        <v/>
      </c>
      <c r="C87" s="100">
        <f>IFERROR(IF(INDEX(Kalshi!$D$31:$D$485,MATCH($A87,Kalshi!$A$31:$A$485,0))=0,"",INDEX(Kalshi!$D$31:$D$485,MATCH($A87,Kalshi!$A$31:$A$485,0))),"")</f>
        <v/>
      </c>
      <c r="D87" s="18">
        <f>IF(AND(ISNUMBER(B87),ISNUMBER(C87)),B87-C87,"")</f>
        <v/>
      </c>
      <c r="E87" s="17">
        <f>IF(ISNUMBER(D87),ABS(D87),"")</f>
        <v/>
      </c>
      <c r="F87" s="100">
        <f>IFERROR(IF(INDEX(Polymarket!$C$25:$C$303,MATCH($A87,Polymarket!$A$25:$A$303,0))=0,"",INDEX(Polymarket!$C$25:$C$303,MATCH($A87,Polymarket!$A$25:$A$303,0))),"")</f>
        <v/>
      </c>
      <c r="G87" s="100">
        <f>IFERROR(IF(INDEX(Kalshi!$G$31:$G$485,MATCH($A87,Kalshi!$A$31:$A$485,0))=0,"",INDEX(Kalshi!$G$31:$G$485,MATCH($A87,Kalshi!$A$31:$A$485,0))),"")</f>
        <v/>
      </c>
      <c r="H87" s="20">
        <f>IF(AND(ISNUMBER(B87),ISNUMBER(C87)),MIN(B87,C87),"")</f>
        <v/>
      </c>
      <c r="I87" s="20">
        <f>IF(AND(ISNUMBER(F87),ISNUMBER(G87)),MIN(F87,G87),"")</f>
        <v/>
      </c>
      <c r="J87" s="17">
        <f>IF(AND(ISNUMBER(H87),ISNUMBER(I87)),H87+I87,"")</f>
        <v/>
      </c>
      <c r="K87" s="16" t="n">
        <v>0.5</v>
      </c>
      <c r="L87" s="26" t="inlineStr">
        <is>
          <t>27 Feb</t>
        </is>
      </c>
    </row>
    <row r="88">
      <c r="A88" s="41" t="n">
        <v>46081</v>
      </c>
      <c r="B88" s="101">
        <f>IFERROR(IF(INDEX(Polymarket!$B$25:$B$303,MATCH($A88,Polymarket!$A$25:$A$303,0))=0,"",INDEX(Polymarket!$B$25:$B$303,MATCH($A88,Polymarket!$A$25:$A$303,0))),"")</f>
        <v/>
      </c>
      <c r="C88" s="101">
        <f>IFERROR(IF(INDEX(Kalshi!$D$31:$D$485,MATCH($A88,Kalshi!$A$31:$A$485,0))=0,"",INDEX(Kalshi!$D$31:$D$485,MATCH($A88,Kalshi!$A$31:$A$485,0))),"")</f>
        <v/>
      </c>
      <c r="D88" s="31">
        <f>IF(AND(ISNUMBER(B88),ISNUMBER(C88)),B88-C88,"")</f>
        <v/>
      </c>
      <c r="E88" s="29">
        <f>IF(ISNUMBER(D88),ABS(D88),"")</f>
        <v/>
      </c>
      <c r="F88" s="101">
        <f>IFERROR(IF(INDEX(Polymarket!$C$25:$C$303,MATCH($A88,Polymarket!$A$25:$A$303,0))=0,"",INDEX(Polymarket!$C$25:$C$303,MATCH($A88,Polymarket!$A$25:$A$303,0))),"")</f>
        <v/>
      </c>
      <c r="G88" s="101">
        <f>IFERROR(IF(INDEX(Kalshi!$G$31:$G$485,MATCH($A88,Kalshi!$A$31:$A$485,0))=0,"",INDEX(Kalshi!$G$31:$G$485,MATCH($A88,Kalshi!$A$31:$A$485,0))),"")</f>
        <v/>
      </c>
      <c r="H88" s="30">
        <f>IF(AND(ISNUMBER(B88),ISNUMBER(C88)),MIN(B88,C88),"")</f>
        <v/>
      </c>
      <c r="I88" s="30">
        <f>IF(AND(ISNUMBER(F88),ISNUMBER(G88)),MIN(F88,G88),"")</f>
        <v/>
      </c>
      <c r="J88" s="29">
        <f>IF(AND(ISNUMBER(H88),ISNUMBER(I88)),H88+I88,"")</f>
        <v/>
      </c>
      <c r="K88" s="28" t="n">
        <v>0.5</v>
      </c>
      <c r="L88" s="38" t="inlineStr">
        <is>
          <t>28 Feb</t>
        </is>
      </c>
    </row>
    <row r="89">
      <c r="A89" s="39" t="n">
        <v>46082</v>
      </c>
      <c r="B89" s="100">
        <f>IFERROR(IF(INDEX(Polymarket!$B$25:$B$303,MATCH($A89,Polymarket!$A$25:$A$303,0))=0,"",INDEX(Polymarket!$B$25:$B$303,MATCH($A89,Polymarket!$A$25:$A$303,0))),"")</f>
        <v/>
      </c>
      <c r="C89" s="100">
        <f>IFERROR(IF(INDEX(Kalshi!$D$31:$D$485,MATCH($A89,Kalshi!$A$31:$A$485,0))=0,"",INDEX(Kalshi!$D$31:$D$485,MATCH($A89,Kalshi!$A$31:$A$485,0))),"")</f>
        <v/>
      </c>
      <c r="D89" s="18">
        <f>IF(AND(ISNUMBER(B89),ISNUMBER(C89)),B89-C89,"")</f>
        <v/>
      </c>
      <c r="E89" s="17">
        <f>IF(ISNUMBER(D89),ABS(D89),"")</f>
        <v/>
      </c>
      <c r="F89" s="100">
        <f>IFERROR(IF(INDEX(Polymarket!$C$25:$C$303,MATCH($A89,Polymarket!$A$25:$A$303,0))=0,"",INDEX(Polymarket!$C$25:$C$303,MATCH($A89,Polymarket!$A$25:$A$303,0))),"")</f>
        <v/>
      </c>
      <c r="G89" s="100">
        <f>IFERROR(IF(INDEX(Kalshi!$G$31:$G$485,MATCH($A89,Kalshi!$A$31:$A$485,0))=0,"",INDEX(Kalshi!$G$31:$G$485,MATCH($A89,Kalshi!$A$31:$A$485,0))),"")</f>
        <v/>
      </c>
      <c r="H89" s="20">
        <f>IF(AND(ISNUMBER(B89),ISNUMBER(C89)),MIN(B89,C89),"")</f>
        <v/>
      </c>
      <c r="I89" s="20">
        <f>IF(AND(ISNUMBER(F89),ISNUMBER(G89)),MIN(F89,G89),"")</f>
        <v/>
      </c>
      <c r="J89" s="17">
        <f>IF(AND(ISNUMBER(H89),ISNUMBER(I89)),H89+I89,"")</f>
        <v/>
      </c>
      <c r="K89" s="16" t="n">
        <v>0.5</v>
      </c>
      <c r="L89" s="26" t="inlineStr">
        <is>
          <t>01 Mar</t>
        </is>
      </c>
    </row>
    <row r="90">
      <c r="A90" s="41" t="n">
        <v>46083</v>
      </c>
      <c r="B90" s="101">
        <f>IFERROR(IF(INDEX(Polymarket!$B$25:$B$303,MATCH($A90,Polymarket!$A$25:$A$303,0))=0,"",INDEX(Polymarket!$B$25:$B$303,MATCH($A90,Polymarket!$A$25:$A$303,0))),"")</f>
        <v/>
      </c>
      <c r="C90" s="101">
        <f>IFERROR(IF(INDEX(Kalshi!$D$31:$D$485,MATCH($A90,Kalshi!$A$31:$A$485,0))=0,"",INDEX(Kalshi!$D$31:$D$485,MATCH($A90,Kalshi!$A$31:$A$485,0))),"")</f>
        <v/>
      </c>
      <c r="D90" s="31">
        <f>IF(AND(ISNUMBER(B90),ISNUMBER(C90)),B90-C90,"")</f>
        <v/>
      </c>
      <c r="E90" s="29">
        <f>IF(ISNUMBER(D90),ABS(D90),"")</f>
        <v/>
      </c>
      <c r="F90" s="101">
        <f>IFERROR(IF(INDEX(Polymarket!$C$25:$C$303,MATCH($A90,Polymarket!$A$25:$A$303,0))=0,"",INDEX(Polymarket!$C$25:$C$303,MATCH($A90,Polymarket!$A$25:$A$303,0))),"")</f>
        <v/>
      </c>
      <c r="G90" s="101">
        <f>IFERROR(IF(INDEX(Kalshi!$G$31:$G$485,MATCH($A90,Kalshi!$A$31:$A$485,0))=0,"",INDEX(Kalshi!$G$31:$G$485,MATCH($A90,Kalshi!$A$31:$A$485,0))),"")</f>
        <v/>
      </c>
      <c r="H90" s="30">
        <f>IF(AND(ISNUMBER(B90),ISNUMBER(C90)),MIN(B90,C90),"")</f>
        <v/>
      </c>
      <c r="I90" s="30">
        <f>IF(AND(ISNUMBER(F90),ISNUMBER(G90)),MIN(F90,G90),"")</f>
        <v/>
      </c>
      <c r="J90" s="29">
        <f>IF(AND(ISNUMBER(H90),ISNUMBER(I90)),H90+I90,"")</f>
        <v/>
      </c>
      <c r="K90" s="28" t="n">
        <v>0.5</v>
      </c>
      <c r="L90" s="38" t="inlineStr">
        <is>
          <t>02 Mar</t>
        </is>
      </c>
    </row>
    <row r="91">
      <c r="A91" s="39" t="n">
        <v>46084</v>
      </c>
      <c r="B91" s="100">
        <f>IFERROR(IF(INDEX(Polymarket!$B$25:$B$303,MATCH($A91,Polymarket!$A$25:$A$303,0))=0,"",INDEX(Polymarket!$B$25:$B$303,MATCH($A91,Polymarket!$A$25:$A$303,0))),"")</f>
        <v/>
      </c>
      <c r="C91" s="100">
        <f>IFERROR(IF(INDEX(Kalshi!$D$31:$D$485,MATCH($A91,Kalshi!$A$31:$A$485,0))=0,"",INDEX(Kalshi!$D$31:$D$485,MATCH($A91,Kalshi!$A$31:$A$485,0))),"")</f>
        <v/>
      </c>
      <c r="D91" s="18">
        <f>IF(AND(ISNUMBER(B91),ISNUMBER(C91)),B91-C91,"")</f>
        <v/>
      </c>
      <c r="E91" s="17">
        <f>IF(ISNUMBER(D91),ABS(D91),"")</f>
        <v/>
      </c>
      <c r="F91" s="100">
        <f>IFERROR(IF(INDEX(Polymarket!$C$25:$C$303,MATCH($A91,Polymarket!$A$25:$A$303,0))=0,"",INDEX(Polymarket!$C$25:$C$303,MATCH($A91,Polymarket!$A$25:$A$303,0))),"")</f>
        <v/>
      </c>
      <c r="G91" s="100">
        <f>IFERROR(IF(INDEX(Kalshi!$G$31:$G$485,MATCH($A91,Kalshi!$A$31:$A$485,0))=0,"",INDEX(Kalshi!$G$31:$G$485,MATCH($A91,Kalshi!$A$31:$A$485,0))),"")</f>
        <v/>
      </c>
      <c r="H91" s="20">
        <f>IF(AND(ISNUMBER(B91),ISNUMBER(C91)),MIN(B91,C91),"")</f>
        <v/>
      </c>
      <c r="I91" s="20">
        <f>IF(AND(ISNUMBER(F91),ISNUMBER(G91)),MIN(F91,G91),"")</f>
        <v/>
      </c>
      <c r="J91" s="17">
        <f>IF(AND(ISNUMBER(H91),ISNUMBER(I91)),H91+I91,"")</f>
        <v/>
      </c>
      <c r="K91" s="16" t="n">
        <v>0.5</v>
      </c>
      <c r="L91" s="26" t="inlineStr">
        <is>
          <t>03 Mar</t>
        </is>
      </c>
    </row>
    <row r="92">
      <c r="A92" s="41" t="n">
        <v>46085</v>
      </c>
      <c r="B92" s="101">
        <f>IFERROR(IF(INDEX(Polymarket!$B$25:$B$303,MATCH($A92,Polymarket!$A$25:$A$303,0))=0,"",INDEX(Polymarket!$B$25:$B$303,MATCH($A92,Polymarket!$A$25:$A$303,0))),"")</f>
        <v/>
      </c>
      <c r="C92" s="101">
        <f>IFERROR(IF(INDEX(Kalshi!$D$31:$D$485,MATCH($A92,Kalshi!$A$31:$A$485,0))=0,"",INDEX(Kalshi!$D$31:$D$485,MATCH($A92,Kalshi!$A$31:$A$485,0))),"")</f>
        <v/>
      </c>
      <c r="D92" s="31">
        <f>IF(AND(ISNUMBER(B92),ISNUMBER(C92)),B92-C92,"")</f>
        <v/>
      </c>
      <c r="E92" s="29">
        <f>IF(ISNUMBER(D92),ABS(D92),"")</f>
        <v/>
      </c>
      <c r="F92" s="101">
        <f>IFERROR(IF(INDEX(Polymarket!$C$25:$C$303,MATCH($A92,Polymarket!$A$25:$A$303,0))=0,"",INDEX(Polymarket!$C$25:$C$303,MATCH($A92,Polymarket!$A$25:$A$303,0))),"")</f>
        <v/>
      </c>
      <c r="G92" s="101">
        <f>IFERROR(IF(INDEX(Kalshi!$G$31:$G$485,MATCH($A92,Kalshi!$A$31:$A$485,0))=0,"",INDEX(Kalshi!$G$31:$G$485,MATCH($A92,Kalshi!$A$31:$A$485,0))),"")</f>
        <v/>
      </c>
      <c r="H92" s="30">
        <f>IF(AND(ISNUMBER(B92),ISNUMBER(C92)),MIN(B92,C92),"")</f>
        <v/>
      </c>
      <c r="I92" s="30">
        <f>IF(AND(ISNUMBER(F92),ISNUMBER(G92)),MIN(F92,G92),"")</f>
        <v/>
      </c>
      <c r="J92" s="29">
        <f>IF(AND(ISNUMBER(H92),ISNUMBER(I92)),H92+I92,"")</f>
        <v/>
      </c>
      <c r="K92" s="28" t="n">
        <v>0.5</v>
      </c>
      <c r="L92" s="38" t="inlineStr">
        <is>
          <t>04 Mar</t>
        </is>
      </c>
    </row>
    <row r="93">
      <c r="A93" s="39" t="n">
        <v>46086</v>
      </c>
      <c r="B93" s="100">
        <f>IFERROR(IF(INDEX(Polymarket!$B$25:$B$303,MATCH($A93,Polymarket!$A$25:$A$303,0))=0,"",INDEX(Polymarket!$B$25:$B$303,MATCH($A93,Polymarket!$A$25:$A$303,0))),"")</f>
        <v/>
      </c>
      <c r="C93" s="100">
        <f>IFERROR(IF(INDEX(Kalshi!$D$31:$D$485,MATCH($A93,Kalshi!$A$31:$A$485,0))=0,"",INDEX(Kalshi!$D$31:$D$485,MATCH($A93,Kalshi!$A$31:$A$485,0))),"")</f>
        <v/>
      </c>
      <c r="D93" s="18">
        <f>IF(AND(ISNUMBER(B93),ISNUMBER(C93)),B93-C93,"")</f>
        <v/>
      </c>
      <c r="E93" s="17">
        <f>IF(ISNUMBER(D93),ABS(D93),"")</f>
        <v/>
      </c>
      <c r="F93" s="100">
        <f>IFERROR(IF(INDEX(Polymarket!$C$25:$C$303,MATCH($A93,Polymarket!$A$25:$A$303,0))=0,"",INDEX(Polymarket!$C$25:$C$303,MATCH($A93,Polymarket!$A$25:$A$303,0))),"")</f>
        <v/>
      </c>
      <c r="G93" s="100">
        <f>IFERROR(IF(INDEX(Kalshi!$G$31:$G$485,MATCH($A93,Kalshi!$A$31:$A$485,0))=0,"",INDEX(Kalshi!$G$31:$G$485,MATCH($A93,Kalshi!$A$31:$A$485,0))),"")</f>
        <v/>
      </c>
      <c r="H93" s="20">
        <f>IF(AND(ISNUMBER(B93),ISNUMBER(C93)),MIN(B93,C93),"")</f>
        <v/>
      </c>
      <c r="I93" s="20">
        <f>IF(AND(ISNUMBER(F93),ISNUMBER(G93)),MIN(F93,G93),"")</f>
        <v/>
      </c>
      <c r="J93" s="17">
        <f>IF(AND(ISNUMBER(H93),ISNUMBER(I93)),H93+I93,"")</f>
        <v/>
      </c>
      <c r="K93" s="16" t="n">
        <v>0.5</v>
      </c>
      <c r="L93" s="26" t="inlineStr">
        <is>
          <t>05 Mar</t>
        </is>
      </c>
    </row>
    <row r="94">
      <c r="A94" s="41" t="n">
        <v>46087</v>
      </c>
      <c r="B94" s="101">
        <f>IFERROR(IF(INDEX(Polymarket!$B$25:$B$303,MATCH($A94,Polymarket!$A$25:$A$303,0))=0,"",INDEX(Polymarket!$B$25:$B$303,MATCH($A94,Polymarket!$A$25:$A$303,0))),"")</f>
        <v/>
      </c>
      <c r="C94" s="101">
        <f>IFERROR(IF(INDEX(Kalshi!$D$31:$D$485,MATCH($A94,Kalshi!$A$31:$A$485,0))=0,"",INDEX(Kalshi!$D$31:$D$485,MATCH($A94,Kalshi!$A$31:$A$485,0))),"")</f>
        <v/>
      </c>
      <c r="D94" s="31">
        <f>IF(AND(ISNUMBER(B94),ISNUMBER(C94)),B94-C94,"")</f>
        <v/>
      </c>
      <c r="E94" s="29">
        <f>IF(ISNUMBER(D94),ABS(D94),"")</f>
        <v/>
      </c>
      <c r="F94" s="101">
        <f>IFERROR(IF(INDEX(Polymarket!$C$25:$C$303,MATCH($A94,Polymarket!$A$25:$A$303,0))=0,"",INDEX(Polymarket!$C$25:$C$303,MATCH($A94,Polymarket!$A$25:$A$303,0))),"")</f>
        <v/>
      </c>
      <c r="G94" s="101">
        <f>IFERROR(IF(INDEX(Kalshi!$G$31:$G$485,MATCH($A94,Kalshi!$A$31:$A$485,0))=0,"",INDEX(Kalshi!$G$31:$G$485,MATCH($A94,Kalshi!$A$31:$A$485,0))),"")</f>
        <v/>
      </c>
      <c r="H94" s="30">
        <f>IF(AND(ISNUMBER(B94),ISNUMBER(C94)),MIN(B94,C94),"")</f>
        <v/>
      </c>
      <c r="I94" s="30">
        <f>IF(AND(ISNUMBER(F94),ISNUMBER(G94)),MIN(F94,G94),"")</f>
        <v/>
      </c>
      <c r="J94" s="29">
        <f>IF(AND(ISNUMBER(H94),ISNUMBER(I94)),H94+I94,"")</f>
        <v/>
      </c>
      <c r="K94" s="28" t="n">
        <v>0.5</v>
      </c>
      <c r="L94" s="38" t="inlineStr">
        <is>
          <t>06 Mar</t>
        </is>
      </c>
    </row>
    <row r="95">
      <c r="A95" s="39" t="n">
        <v>46088</v>
      </c>
      <c r="B95" s="100">
        <f>IFERROR(IF(INDEX(Polymarket!$B$25:$B$303,MATCH($A95,Polymarket!$A$25:$A$303,0))=0,"",INDEX(Polymarket!$B$25:$B$303,MATCH($A95,Polymarket!$A$25:$A$303,0))),"")</f>
        <v/>
      </c>
      <c r="C95" s="100">
        <f>IFERROR(IF(INDEX(Kalshi!$D$31:$D$485,MATCH($A95,Kalshi!$A$31:$A$485,0))=0,"",INDEX(Kalshi!$D$31:$D$485,MATCH($A95,Kalshi!$A$31:$A$485,0))),"")</f>
        <v/>
      </c>
      <c r="D95" s="18">
        <f>IF(AND(ISNUMBER(B95),ISNUMBER(C95)),B95-C95,"")</f>
        <v/>
      </c>
      <c r="E95" s="17">
        <f>IF(ISNUMBER(D95),ABS(D95),"")</f>
        <v/>
      </c>
      <c r="F95" s="100">
        <f>IFERROR(IF(INDEX(Polymarket!$C$25:$C$303,MATCH($A95,Polymarket!$A$25:$A$303,0))=0,"",INDEX(Polymarket!$C$25:$C$303,MATCH($A95,Polymarket!$A$25:$A$303,0))),"")</f>
        <v/>
      </c>
      <c r="G95" s="100">
        <f>IFERROR(IF(INDEX(Kalshi!$G$31:$G$485,MATCH($A95,Kalshi!$A$31:$A$485,0))=0,"",INDEX(Kalshi!$G$31:$G$485,MATCH($A95,Kalshi!$A$31:$A$485,0))),"")</f>
        <v/>
      </c>
      <c r="H95" s="20">
        <f>IF(AND(ISNUMBER(B95),ISNUMBER(C95)),MIN(B95,C95),"")</f>
        <v/>
      </c>
      <c r="I95" s="20">
        <f>IF(AND(ISNUMBER(F95),ISNUMBER(G95)),MIN(F95,G95),"")</f>
        <v/>
      </c>
      <c r="J95" s="17">
        <f>IF(AND(ISNUMBER(H95),ISNUMBER(I95)),H95+I95,"")</f>
        <v/>
      </c>
      <c r="K95" s="16" t="n">
        <v>0.5</v>
      </c>
      <c r="L95" s="26" t="inlineStr">
        <is>
          <t>07 Mar</t>
        </is>
      </c>
    </row>
    <row r="96">
      <c r="A96" s="41" t="n">
        <v>46089</v>
      </c>
      <c r="B96" s="101">
        <f>IFERROR(IF(INDEX(Polymarket!$B$25:$B$303,MATCH($A96,Polymarket!$A$25:$A$303,0))=0,"",INDEX(Polymarket!$B$25:$B$303,MATCH($A96,Polymarket!$A$25:$A$303,0))),"")</f>
        <v/>
      </c>
      <c r="C96" s="101">
        <f>IFERROR(IF(INDEX(Kalshi!$D$31:$D$485,MATCH($A96,Kalshi!$A$31:$A$485,0))=0,"",INDEX(Kalshi!$D$31:$D$485,MATCH($A96,Kalshi!$A$31:$A$485,0))),"")</f>
        <v/>
      </c>
      <c r="D96" s="31">
        <f>IF(AND(ISNUMBER(B96),ISNUMBER(C96)),B96-C96,"")</f>
        <v/>
      </c>
      <c r="E96" s="29">
        <f>IF(ISNUMBER(D96),ABS(D96),"")</f>
        <v/>
      </c>
      <c r="F96" s="101">
        <f>IFERROR(IF(INDEX(Polymarket!$C$25:$C$303,MATCH($A96,Polymarket!$A$25:$A$303,0))=0,"",INDEX(Polymarket!$C$25:$C$303,MATCH($A96,Polymarket!$A$25:$A$303,0))),"")</f>
        <v/>
      </c>
      <c r="G96" s="101">
        <f>IFERROR(IF(INDEX(Kalshi!$G$31:$G$485,MATCH($A96,Kalshi!$A$31:$A$485,0))=0,"",INDEX(Kalshi!$G$31:$G$485,MATCH($A96,Kalshi!$A$31:$A$485,0))),"")</f>
        <v/>
      </c>
      <c r="H96" s="30">
        <f>IF(AND(ISNUMBER(B96),ISNUMBER(C96)),MIN(B96,C96),"")</f>
        <v/>
      </c>
      <c r="I96" s="30">
        <f>IF(AND(ISNUMBER(F96),ISNUMBER(G96)),MIN(F96,G96),"")</f>
        <v/>
      </c>
      <c r="J96" s="29">
        <f>IF(AND(ISNUMBER(H96),ISNUMBER(I96)),H96+I96,"")</f>
        <v/>
      </c>
      <c r="K96" s="28" t="n">
        <v>0.5</v>
      </c>
      <c r="L96" s="38" t="inlineStr">
        <is>
          <t>08 Mar</t>
        </is>
      </c>
    </row>
    <row r="97">
      <c r="A97" s="39" t="n">
        <v>46090</v>
      </c>
      <c r="B97" s="100">
        <f>IFERROR(IF(INDEX(Polymarket!$B$25:$B$303,MATCH($A97,Polymarket!$A$25:$A$303,0))=0,"",INDEX(Polymarket!$B$25:$B$303,MATCH($A97,Polymarket!$A$25:$A$303,0))),"")</f>
        <v/>
      </c>
      <c r="C97" s="100">
        <f>IFERROR(IF(INDEX(Kalshi!$D$31:$D$485,MATCH($A97,Kalshi!$A$31:$A$485,0))=0,"",INDEX(Kalshi!$D$31:$D$485,MATCH($A97,Kalshi!$A$31:$A$485,0))),"")</f>
        <v/>
      </c>
      <c r="D97" s="18">
        <f>IF(AND(ISNUMBER(B97),ISNUMBER(C97)),B97-C97,"")</f>
        <v/>
      </c>
      <c r="E97" s="17">
        <f>IF(ISNUMBER(D97),ABS(D97),"")</f>
        <v/>
      </c>
      <c r="F97" s="100">
        <f>IFERROR(IF(INDEX(Polymarket!$C$25:$C$303,MATCH($A97,Polymarket!$A$25:$A$303,0))=0,"",INDEX(Polymarket!$C$25:$C$303,MATCH($A97,Polymarket!$A$25:$A$303,0))),"")</f>
        <v/>
      </c>
      <c r="G97" s="100">
        <f>IFERROR(IF(INDEX(Kalshi!$G$31:$G$485,MATCH($A97,Kalshi!$A$31:$A$485,0))=0,"",INDEX(Kalshi!$G$31:$G$485,MATCH($A97,Kalshi!$A$31:$A$485,0))),"")</f>
        <v/>
      </c>
      <c r="H97" s="20">
        <f>IF(AND(ISNUMBER(B97),ISNUMBER(C97)),MIN(B97,C97),"")</f>
        <v/>
      </c>
      <c r="I97" s="20">
        <f>IF(AND(ISNUMBER(F97),ISNUMBER(G97)),MIN(F97,G97),"")</f>
        <v/>
      </c>
      <c r="J97" s="17">
        <f>IF(AND(ISNUMBER(H97),ISNUMBER(I97)),H97+I97,"")</f>
        <v/>
      </c>
      <c r="K97" s="16" t="n">
        <v>0.5</v>
      </c>
      <c r="L97" s="26" t="inlineStr">
        <is>
          <t>09 Mar</t>
        </is>
      </c>
    </row>
    <row r="98">
      <c r="A98" s="41" t="n">
        <v>46091</v>
      </c>
      <c r="B98" s="101">
        <f>IFERROR(IF(INDEX(Polymarket!$B$25:$B$303,MATCH($A98,Polymarket!$A$25:$A$303,0))=0,"",INDEX(Polymarket!$B$25:$B$303,MATCH($A98,Polymarket!$A$25:$A$303,0))),"")</f>
        <v/>
      </c>
      <c r="C98" s="101">
        <f>IFERROR(IF(INDEX(Kalshi!$D$31:$D$485,MATCH($A98,Kalshi!$A$31:$A$485,0))=0,"",INDEX(Kalshi!$D$31:$D$485,MATCH($A98,Kalshi!$A$31:$A$485,0))),"")</f>
        <v/>
      </c>
      <c r="D98" s="31">
        <f>IF(AND(ISNUMBER(B98),ISNUMBER(C98)),B98-C98,"")</f>
        <v/>
      </c>
      <c r="E98" s="29">
        <f>IF(ISNUMBER(D98),ABS(D98),"")</f>
        <v/>
      </c>
      <c r="F98" s="101">
        <f>IFERROR(IF(INDEX(Polymarket!$C$25:$C$303,MATCH($A98,Polymarket!$A$25:$A$303,0))=0,"",INDEX(Polymarket!$C$25:$C$303,MATCH($A98,Polymarket!$A$25:$A$303,0))),"")</f>
        <v/>
      </c>
      <c r="G98" s="101">
        <f>IFERROR(IF(INDEX(Kalshi!$G$31:$G$485,MATCH($A98,Kalshi!$A$31:$A$485,0))=0,"",INDEX(Kalshi!$G$31:$G$485,MATCH($A98,Kalshi!$A$31:$A$485,0))),"")</f>
        <v/>
      </c>
      <c r="H98" s="30">
        <f>IF(AND(ISNUMBER(B98),ISNUMBER(C98)),MIN(B98,C98),"")</f>
        <v/>
      </c>
      <c r="I98" s="30">
        <f>IF(AND(ISNUMBER(F98),ISNUMBER(G98)),MIN(F98,G98),"")</f>
        <v/>
      </c>
      <c r="J98" s="29">
        <f>IF(AND(ISNUMBER(H98),ISNUMBER(I98)),H98+I98,"")</f>
        <v/>
      </c>
      <c r="K98" s="28" t="n">
        <v>0.5</v>
      </c>
      <c r="L98" s="38" t="inlineStr">
        <is>
          <t>10 Mar</t>
        </is>
      </c>
    </row>
    <row r="99">
      <c r="A99" s="39" t="n">
        <v>46092</v>
      </c>
      <c r="B99" s="100">
        <f>IFERROR(IF(INDEX(Polymarket!$B$25:$B$303,MATCH($A99,Polymarket!$A$25:$A$303,0))=0,"",INDEX(Polymarket!$B$25:$B$303,MATCH($A99,Polymarket!$A$25:$A$303,0))),"")</f>
        <v/>
      </c>
      <c r="C99" s="100">
        <f>IFERROR(IF(INDEX(Kalshi!$D$31:$D$485,MATCH($A99,Kalshi!$A$31:$A$485,0))=0,"",INDEX(Kalshi!$D$31:$D$485,MATCH($A99,Kalshi!$A$31:$A$485,0))),"")</f>
        <v/>
      </c>
      <c r="D99" s="18">
        <f>IF(AND(ISNUMBER(B99),ISNUMBER(C99)),B99-C99,"")</f>
        <v/>
      </c>
      <c r="E99" s="17">
        <f>IF(ISNUMBER(D99),ABS(D99),"")</f>
        <v/>
      </c>
      <c r="F99" s="100">
        <f>IFERROR(IF(INDEX(Polymarket!$C$25:$C$303,MATCH($A99,Polymarket!$A$25:$A$303,0))=0,"",INDEX(Polymarket!$C$25:$C$303,MATCH($A99,Polymarket!$A$25:$A$303,0))),"")</f>
        <v/>
      </c>
      <c r="G99" s="100">
        <f>IFERROR(IF(INDEX(Kalshi!$G$31:$G$485,MATCH($A99,Kalshi!$A$31:$A$485,0))=0,"",INDEX(Kalshi!$G$31:$G$485,MATCH($A99,Kalshi!$A$31:$A$485,0))),"")</f>
        <v/>
      </c>
      <c r="H99" s="20">
        <f>IF(AND(ISNUMBER(B99),ISNUMBER(C99)),MIN(B99,C99),"")</f>
        <v/>
      </c>
      <c r="I99" s="20">
        <f>IF(AND(ISNUMBER(F99),ISNUMBER(G99)),MIN(F99,G99),"")</f>
        <v/>
      </c>
      <c r="J99" s="17">
        <f>IF(AND(ISNUMBER(H99),ISNUMBER(I99)),H99+I99,"")</f>
        <v/>
      </c>
      <c r="K99" s="16" t="n">
        <v>0.5</v>
      </c>
      <c r="L99" s="26" t="inlineStr">
        <is>
          <t>11 Mar</t>
        </is>
      </c>
    </row>
    <row r="100">
      <c r="A100" s="41" t="n">
        <v>46093</v>
      </c>
      <c r="B100" s="101">
        <f>IFERROR(IF(INDEX(Polymarket!$B$25:$B$303,MATCH($A100,Polymarket!$A$25:$A$303,0))=0,"",INDEX(Polymarket!$B$25:$B$303,MATCH($A100,Polymarket!$A$25:$A$303,0))),"")</f>
        <v/>
      </c>
      <c r="C100" s="101">
        <f>IFERROR(IF(INDEX(Kalshi!$D$31:$D$485,MATCH($A100,Kalshi!$A$31:$A$485,0))=0,"",INDEX(Kalshi!$D$31:$D$485,MATCH($A100,Kalshi!$A$31:$A$485,0))),"")</f>
        <v/>
      </c>
      <c r="D100" s="31">
        <f>IF(AND(ISNUMBER(B100),ISNUMBER(C100)),B100-C100,"")</f>
        <v/>
      </c>
      <c r="E100" s="29">
        <f>IF(ISNUMBER(D100),ABS(D100),"")</f>
        <v/>
      </c>
      <c r="F100" s="101">
        <f>IFERROR(IF(INDEX(Polymarket!$C$25:$C$303,MATCH($A100,Polymarket!$A$25:$A$303,0))=0,"",INDEX(Polymarket!$C$25:$C$303,MATCH($A100,Polymarket!$A$25:$A$303,0))),"")</f>
        <v/>
      </c>
      <c r="G100" s="101">
        <f>IFERROR(IF(INDEX(Kalshi!$G$31:$G$485,MATCH($A100,Kalshi!$A$31:$A$485,0))=0,"",INDEX(Kalshi!$G$31:$G$485,MATCH($A100,Kalshi!$A$31:$A$485,0))),"")</f>
        <v/>
      </c>
      <c r="H100" s="30">
        <f>IF(AND(ISNUMBER(B100),ISNUMBER(C100)),MIN(B100,C100),"")</f>
        <v/>
      </c>
      <c r="I100" s="30">
        <f>IF(AND(ISNUMBER(F100),ISNUMBER(G100)),MIN(F100,G100),"")</f>
        <v/>
      </c>
      <c r="J100" s="29">
        <f>IF(AND(ISNUMBER(H100),ISNUMBER(I100)),H100+I100,"")</f>
        <v/>
      </c>
      <c r="K100" s="28" t="n">
        <v>0.5</v>
      </c>
      <c r="L100" s="38" t="inlineStr">
        <is>
          <t>12 Mar</t>
        </is>
      </c>
    </row>
    <row r="101">
      <c r="A101" s="39" t="n">
        <v>46094</v>
      </c>
      <c r="B101" s="100">
        <f>IFERROR(IF(INDEX(Polymarket!$B$25:$B$303,MATCH($A101,Polymarket!$A$25:$A$303,0))=0,"",INDEX(Polymarket!$B$25:$B$303,MATCH($A101,Polymarket!$A$25:$A$303,0))),"")</f>
        <v/>
      </c>
      <c r="C101" s="100">
        <f>IFERROR(IF(INDEX(Kalshi!$D$31:$D$485,MATCH($A101,Kalshi!$A$31:$A$485,0))=0,"",INDEX(Kalshi!$D$31:$D$485,MATCH($A101,Kalshi!$A$31:$A$485,0))),"")</f>
        <v/>
      </c>
      <c r="D101" s="18">
        <f>IF(AND(ISNUMBER(B101),ISNUMBER(C101)),B101-C101,"")</f>
        <v/>
      </c>
      <c r="E101" s="17">
        <f>IF(ISNUMBER(D101),ABS(D101),"")</f>
        <v/>
      </c>
      <c r="F101" s="100">
        <f>IFERROR(IF(INDEX(Polymarket!$C$25:$C$303,MATCH($A101,Polymarket!$A$25:$A$303,0))=0,"",INDEX(Polymarket!$C$25:$C$303,MATCH($A101,Polymarket!$A$25:$A$303,0))),"")</f>
        <v/>
      </c>
      <c r="G101" s="100">
        <f>IFERROR(IF(INDEX(Kalshi!$G$31:$G$485,MATCH($A101,Kalshi!$A$31:$A$485,0))=0,"",INDEX(Kalshi!$G$31:$G$485,MATCH($A101,Kalshi!$A$31:$A$485,0))),"")</f>
        <v/>
      </c>
      <c r="H101" s="20">
        <f>IF(AND(ISNUMBER(B101),ISNUMBER(C101)),MIN(B101,C101),"")</f>
        <v/>
      </c>
      <c r="I101" s="20">
        <f>IF(AND(ISNUMBER(F101),ISNUMBER(G101)),MIN(F101,G101),"")</f>
        <v/>
      </c>
      <c r="J101" s="17">
        <f>IF(AND(ISNUMBER(H101),ISNUMBER(I101)),H101+I101,"")</f>
        <v/>
      </c>
      <c r="K101" s="16" t="n">
        <v>0.5</v>
      </c>
      <c r="L101" s="26" t="inlineStr">
        <is>
          <t>13 Mar</t>
        </is>
      </c>
    </row>
    <row r="102">
      <c r="A102" s="41" t="n">
        <v>46095</v>
      </c>
      <c r="B102" s="101">
        <f>IFERROR(IF(INDEX(Polymarket!$B$25:$B$303,MATCH($A102,Polymarket!$A$25:$A$303,0))=0,"",INDEX(Polymarket!$B$25:$B$303,MATCH($A102,Polymarket!$A$25:$A$303,0))),"")</f>
        <v/>
      </c>
      <c r="C102" s="101">
        <f>IFERROR(IF(INDEX(Kalshi!$D$31:$D$485,MATCH($A102,Kalshi!$A$31:$A$485,0))=0,"",INDEX(Kalshi!$D$31:$D$485,MATCH($A102,Kalshi!$A$31:$A$485,0))),"")</f>
        <v/>
      </c>
      <c r="D102" s="31">
        <f>IF(AND(ISNUMBER(B102),ISNUMBER(C102)),B102-C102,"")</f>
        <v/>
      </c>
      <c r="E102" s="29">
        <f>IF(ISNUMBER(D102),ABS(D102),"")</f>
        <v/>
      </c>
      <c r="F102" s="101">
        <f>IFERROR(IF(INDEX(Polymarket!$C$25:$C$303,MATCH($A102,Polymarket!$A$25:$A$303,0))=0,"",INDEX(Polymarket!$C$25:$C$303,MATCH($A102,Polymarket!$A$25:$A$303,0))),"")</f>
        <v/>
      </c>
      <c r="G102" s="101">
        <f>IFERROR(IF(INDEX(Kalshi!$G$31:$G$485,MATCH($A102,Kalshi!$A$31:$A$485,0))=0,"",INDEX(Kalshi!$G$31:$G$485,MATCH($A102,Kalshi!$A$31:$A$485,0))),"")</f>
        <v/>
      </c>
      <c r="H102" s="30">
        <f>IF(AND(ISNUMBER(B102),ISNUMBER(C102)),MIN(B102,C102),"")</f>
        <v/>
      </c>
      <c r="I102" s="30">
        <f>IF(AND(ISNUMBER(F102),ISNUMBER(G102)),MIN(F102,G102),"")</f>
        <v/>
      </c>
      <c r="J102" s="29">
        <f>IF(AND(ISNUMBER(H102),ISNUMBER(I102)),H102+I102,"")</f>
        <v/>
      </c>
      <c r="K102" s="28" t="n">
        <v>0.5</v>
      </c>
      <c r="L102" s="38" t="inlineStr">
        <is>
          <t>14 Mar</t>
        </is>
      </c>
    </row>
    <row r="103">
      <c r="A103" s="39" t="n">
        <v>46096</v>
      </c>
      <c r="B103" s="100">
        <f>IFERROR(IF(INDEX(Polymarket!$B$25:$B$303,MATCH($A103,Polymarket!$A$25:$A$303,0))=0,"",INDEX(Polymarket!$B$25:$B$303,MATCH($A103,Polymarket!$A$25:$A$303,0))),"")</f>
        <v/>
      </c>
      <c r="C103" s="100">
        <f>IFERROR(IF(INDEX(Kalshi!$D$31:$D$485,MATCH($A103,Kalshi!$A$31:$A$485,0))=0,"",INDEX(Kalshi!$D$31:$D$485,MATCH($A103,Kalshi!$A$31:$A$485,0))),"")</f>
        <v/>
      </c>
      <c r="D103" s="18">
        <f>IF(AND(ISNUMBER(B103),ISNUMBER(C103)),B103-C103,"")</f>
        <v/>
      </c>
      <c r="E103" s="17">
        <f>IF(ISNUMBER(D103),ABS(D103),"")</f>
        <v/>
      </c>
      <c r="F103" s="100">
        <f>IFERROR(IF(INDEX(Polymarket!$C$25:$C$303,MATCH($A103,Polymarket!$A$25:$A$303,0))=0,"",INDEX(Polymarket!$C$25:$C$303,MATCH($A103,Polymarket!$A$25:$A$303,0))),"")</f>
        <v/>
      </c>
      <c r="G103" s="100">
        <f>IFERROR(IF(INDEX(Kalshi!$G$31:$G$485,MATCH($A103,Kalshi!$A$31:$A$485,0))=0,"",INDEX(Kalshi!$G$31:$G$485,MATCH($A103,Kalshi!$A$31:$A$485,0))),"")</f>
        <v/>
      </c>
      <c r="H103" s="20">
        <f>IF(AND(ISNUMBER(B103),ISNUMBER(C103)),MIN(B103,C103),"")</f>
        <v/>
      </c>
      <c r="I103" s="20">
        <f>IF(AND(ISNUMBER(F103),ISNUMBER(G103)),MIN(F103,G103),"")</f>
        <v/>
      </c>
      <c r="J103" s="17">
        <f>IF(AND(ISNUMBER(H103),ISNUMBER(I103)),H103+I103,"")</f>
        <v/>
      </c>
      <c r="K103" s="16" t="n">
        <v>0.5</v>
      </c>
      <c r="L103" s="26" t="inlineStr">
        <is>
          <t>15 Mar</t>
        </is>
      </c>
    </row>
    <row r="104">
      <c r="A104" s="41" t="n">
        <v>46097</v>
      </c>
      <c r="B104" s="101">
        <f>IFERROR(IF(INDEX(Polymarket!$B$25:$B$303,MATCH($A104,Polymarket!$A$25:$A$303,0))=0,"",INDEX(Polymarket!$B$25:$B$303,MATCH($A104,Polymarket!$A$25:$A$303,0))),"")</f>
        <v/>
      </c>
      <c r="C104" s="101">
        <f>IFERROR(IF(INDEX(Kalshi!$D$31:$D$485,MATCH($A104,Kalshi!$A$31:$A$485,0))=0,"",INDEX(Kalshi!$D$31:$D$485,MATCH($A104,Kalshi!$A$31:$A$485,0))),"")</f>
        <v/>
      </c>
      <c r="D104" s="31">
        <f>IF(AND(ISNUMBER(B104),ISNUMBER(C104)),B104-C104,"")</f>
        <v/>
      </c>
      <c r="E104" s="29">
        <f>IF(ISNUMBER(D104),ABS(D104),"")</f>
        <v/>
      </c>
      <c r="F104" s="101">
        <f>IFERROR(IF(INDEX(Polymarket!$C$25:$C$303,MATCH($A104,Polymarket!$A$25:$A$303,0))=0,"",INDEX(Polymarket!$C$25:$C$303,MATCH($A104,Polymarket!$A$25:$A$303,0))),"")</f>
        <v/>
      </c>
      <c r="G104" s="101">
        <f>IFERROR(IF(INDEX(Kalshi!$G$31:$G$485,MATCH($A104,Kalshi!$A$31:$A$485,0))=0,"",INDEX(Kalshi!$G$31:$G$485,MATCH($A104,Kalshi!$A$31:$A$485,0))),"")</f>
        <v/>
      </c>
      <c r="H104" s="30">
        <f>IF(AND(ISNUMBER(B104),ISNUMBER(C104)),MIN(B104,C104),"")</f>
        <v/>
      </c>
      <c r="I104" s="30">
        <f>IF(AND(ISNUMBER(F104),ISNUMBER(G104)),MIN(F104,G104),"")</f>
        <v/>
      </c>
      <c r="J104" s="29">
        <f>IF(AND(ISNUMBER(H104),ISNUMBER(I104)),H104+I104,"")</f>
        <v/>
      </c>
      <c r="K104" s="28" t="n">
        <v>0.5</v>
      </c>
      <c r="L104" s="38" t="inlineStr">
        <is>
          <t>16 Mar</t>
        </is>
      </c>
    </row>
    <row r="105">
      <c r="A105" s="39" t="n">
        <v>46098</v>
      </c>
      <c r="B105" s="100">
        <f>IFERROR(IF(INDEX(Polymarket!$B$25:$B$303,MATCH($A105,Polymarket!$A$25:$A$303,0))=0,"",INDEX(Polymarket!$B$25:$B$303,MATCH($A105,Polymarket!$A$25:$A$303,0))),"")</f>
        <v/>
      </c>
      <c r="C105" s="100">
        <f>IFERROR(IF(INDEX(Kalshi!$D$31:$D$485,MATCH($A105,Kalshi!$A$31:$A$485,0))=0,"",INDEX(Kalshi!$D$31:$D$485,MATCH($A105,Kalshi!$A$31:$A$485,0))),"")</f>
        <v/>
      </c>
      <c r="D105" s="18">
        <f>IF(AND(ISNUMBER(B105),ISNUMBER(C105)),B105-C105,"")</f>
        <v/>
      </c>
      <c r="E105" s="17">
        <f>IF(ISNUMBER(D105),ABS(D105),"")</f>
        <v/>
      </c>
      <c r="F105" s="100">
        <f>IFERROR(IF(INDEX(Polymarket!$C$25:$C$303,MATCH($A105,Polymarket!$A$25:$A$303,0))=0,"",INDEX(Polymarket!$C$25:$C$303,MATCH($A105,Polymarket!$A$25:$A$303,0))),"")</f>
        <v/>
      </c>
      <c r="G105" s="100">
        <f>IFERROR(IF(INDEX(Kalshi!$G$31:$G$485,MATCH($A105,Kalshi!$A$31:$A$485,0))=0,"",INDEX(Kalshi!$G$31:$G$485,MATCH($A105,Kalshi!$A$31:$A$485,0))),"")</f>
        <v/>
      </c>
      <c r="H105" s="20">
        <f>IF(AND(ISNUMBER(B105),ISNUMBER(C105)),MIN(B105,C105),"")</f>
        <v/>
      </c>
      <c r="I105" s="20">
        <f>IF(AND(ISNUMBER(F105),ISNUMBER(G105)),MIN(F105,G105),"")</f>
        <v/>
      </c>
      <c r="J105" s="17">
        <f>IF(AND(ISNUMBER(H105),ISNUMBER(I105)),H105+I105,"")</f>
        <v/>
      </c>
      <c r="K105" s="16" t="n">
        <v>0.5</v>
      </c>
      <c r="L105" s="26" t="inlineStr">
        <is>
          <t>17 Mar</t>
        </is>
      </c>
    </row>
    <row r="106">
      <c r="A106" s="41" t="n">
        <v>46099</v>
      </c>
      <c r="B106" s="101">
        <f>IFERROR(IF(INDEX(Polymarket!$B$25:$B$303,MATCH($A106,Polymarket!$A$25:$A$303,0))=0,"",INDEX(Polymarket!$B$25:$B$303,MATCH($A106,Polymarket!$A$25:$A$303,0))),"")</f>
        <v/>
      </c>
      <c r="C106" s="101">
        <f>IFERROR(IF(INDEX(Kalshi!$D$31:$D$485,MATCH($A106,Kalshi!$A$31:$A$485,0))=0,"",INDEX(Kalshi!$D$31:$D$485,MATCH($A106,Kalshi!$A$31:$A$485,0))),"")</f>
        <v/>
      </c>
      <c r="D106" s="31">
        <f>IF(AND(ISNUMBER(B106),ISNUMBER(C106)),B106-C106,"")</f>
        <v/>
      </c>
      <c r="E106" s="29">
        <f>IF(ISNUMBER(D106),ABS(D106),"")</f>
        <v/>
      </c>
      <c r="F106" s="101">
        <f>IFERROR(IF(INDEX(Polymarket!$C$25:$C$303,MATCH($A106,Polymarket!$A$25:$A$303,0))=0,"",INDEX(Polymarket!$C$25:$C$303,MATCH($A106,Polymarket!$A$25:$A$303,0))),"")</f>
        <v/>
      </c>
      <c r="G106" s="101">
        <f>IFERROR(IF(INDEX(Kalshi!$G$31:$G$485,MATCH($A106,Kalshi!$A$31:$A$485,0))=0,"",INDEX(Kalshi!$G$31:$G$485,MATCH($A106,Kalshi!$A$31:$A$485,0))),"")</f>
        <v/>
      </c>
      <c r="H106" s="30">
        <f>IF(AND(ISNUMBER(B106),ISNUMBER(C106)),MIN(B106,C106),"")</f>
        <v/>
      </c>
      <c r="I106" s="30">
        <f>IF(AND(ISNUMBER(F106),ISNUMBER(G106)),MIN(F106,G106),"")</f>
        <v/>
      </c>
      <c r="J106" s="29">
        <f>IF(AND(ISNUMBER(H106),ISNUMBER(I106)),H106+I106,"")</f>
        <v/>
      </c>
      <c r="K106" s="28" t="n">
        <v>0.5</v>
      </c>
      <c r="L106" s="38" t="inlineStr">
        <is>
          <t>18 Mar</t>
        </is>
      </c>
    </row>
    <row r="107">
      <c r="A107" s="39" t="n">
        <v>46100</v>
      </c>
      <c r="B107" s="100">
        <f>IFERROR(IF(INDEX(Polymarket!$B$25:$B$303,MATCH($A107,Polymarket!$A$25:$A$303,0))=0,"",INDEX(Polymarket!$B$25:$B$303,MATCH($A107,Polymarket!$A$25:$A$303,0))),"")</f>
        <v/>
      </c>
      <c r="C107" s="100">
        <f>IFERROR(IF(INDEX(Kalshi!$D$31:$D$485,MATCH($A107,Kalshi!$A$31:$A$485,0))=0,"",INDEX(Kalshi!$D$31:$D$485,MATCH($A107,Kalshi!$A$31:$A$485,0))),"")</f>
        <v/>
      </c>
      <c r="D107" s="18">
        <f>IF(AND(ISNUMBER(B107),ISNUMBER(C107)),B107-C107,"")</f>
        <v/>
      </c>
      <c r="E107" s="17">
        <f>IF(ISNUMBER(D107),ABS(D107),"")</f>
        <v/>
      </c>
      <c r="F107" s="100">
        <f>IFERROR(IF(INDEX(Polymarket!$C$25:$C$303,MATCH($A107,Polymarket!$A$25:$A$303,0))=0,"",INDEX(Polymarket!$C$25:$C$303,MATCH($A107,Polymarket!$A$25:$A$303,0))),"")</f>
        <v/>
      </c>
      <c r="G107" s="100">
        <f>IFERROR(IF(INDEX(Kalshi!$G$31:$G$485,MATCH($A107,Kalshi!$A$31:$A$485,0))=0,"",INDEX(Kalshi!$G$31:$G$485,MATCH($A107,Kalshi!$A$31:$A$485,0))),"")</f>
        <v/>
      </c>
      <c r="H107" s="20">
        <f>IF(AND(ISNUMBER(B107),ISNUMBER(C107)),MIN(B107,C107),"")</f>
        <v/>
      </c>
      <c r="I107" s="20">
        <f>IF(AND(ISNUMBER(F107),ISNUMBER(G107)),MIN(F107,G107),"")</f>
        <v/>
      </c>
      <c r="J107" s="17">
        <f>IF(AND(ISNUMBER(H107),ISNUMBER(I107)),H107+I107,"")</f>
        <v/>
      </c>
      <c r="K107" s="16" t="n">
        <v>0.5</v>
      </c>
      <c r="L107" s="26" t="inlineStr">
        <is>
          <t>19 Mar</t>
        </is>
      </c>
    </row>
    <row r="108">
      <c r="A108" s="41" t="n">
        <v>46101</v>
      </c>
      <c r="B108" s="101">
        <f>IFERROR(IF(INDEX(Polymarket!$B$25:$B$303,MATCH($A108,Polymarket!$A$25:$A$303,0))=0,"",INDEX(Polymarket!$B$25:$B$303,MATCH($A108,Polymarket!$A$25:$A$303,0))),"")</f>
        <v/>
      </c>
      <c r="C108" s="101">
        <f>IFERROR(IF(INDEX(Kalshi!$D$31:$D$485,MATCH($A108,Kalshi!$A$31:$A$485,0))=0,"",INDEX(Kalshi!$D$31:$D$485,MATCH($A108,Kalshi!$A$31:$A$485,0))),"")</f>
        <v/>
      </c>
      <c r="D108" s="31">
        <f>IF(AND(ISNUMBER(B108),ISNUMBER(C108)),B108-C108,"")</f>
        <v/>
      </c>
      <c r="E108" s="29">
        <f>IF(ISNUMBER(D108),ABS(D108),"")</f>
        <v/>
      </c>
      <c r="F108" s="101">
        <f>IFERROR(IF(INDEX(Polymarket!$C$25:$C$303,MATCH($A108,Polymarket!$A$25:$A$303,0))=0,"",INDEX(Polymarket!$C$25:$C$303,MATCH($A108,Polymarket!$A$25:$A$303,0))),"")</f>
        <v/>
      </c>
      <c r="G108" s="101">
        <f>IFERROR(IF(INDEX(Kalshi!$G$31:$G$485,MATCH($A108,Kalshi!$A$31:$A$485,0))=0,"",INDEX(Kalshi!$G$31:$G$485,MATCH($A108,Kalshi!$A$31:$A$485,0))),"")</f>
        <v/>
      </c>
      <c r="H108" s="30">
        <f>IF(AND(ISNUMBER(B108),ISNUMBER(C108)),MIN(B108,C108),"")</f>
        <v/>
      </c>
      <c r="I108" s="30">
        <f>IF(AND(ISNUMBER(F108),ISNUMBER(G108)),MIN(F108,G108),"")</f>
        <v/>
      </c>
      <c r="J108" s="29">
        <f>IF(AND(ISNUMBER(H108),ISNUMBER(I108)),H108+I108,"")</f>
        <v/>
      </c>
      <c r="K108" s="28" t="n">
        <v>0.5</v>
      </c>
      <c r="L108" s="38" t="inlineStr">
        <is>
          <t>20 Mar</t>
        </is>
      </c>
    </row>
    <row r="109">
      <c r="A109" s="39" t="n">
        <v>46102</v>
      </c>
      <c r="B109" s="100">
        <f>IFERROR(IF(INDEX(Polymarket!$B$25:$B$303,MATCH($A109,Polymarket!$A$25:$A$303,0))=0,"",INDEX(Polymarket!$B$25:$B$303,MATCH($A109,Polymarket!$A$25:$A$303,0))),"")</f>
        <v/>
      </c>
      <c r="C109" s="100">
        <f>IFERROR(IF(INDEX(Kalshi!$D$31:$D$485,MATCH($A109,Kalshi!$A$31:$A$485,0))=0,"",INDEX(Kalshi!$D$31:$D$485,MATCH($A109,Kalshi!$A$31:$A$485,0))),"")</f>
        <v/>
      </c>
      <c r="D109" s="18">
        <f>IF(AND(ISNUMBER(B109),ISNUMBER(C109)),B109-C109,"")</f>
        <v/>
      </c>
      <c r="E109" s="17">
        <f>IF(ISNUMBER(D109),ABS(D109),"")</f>
        <v/>
      </c>
      <c r="F109" s="100">
        <f>IFERROR(IF(INDEX(Polymarket!$C$25:$C$303,MATCH($A109,Polymarket!$A$25:$A$303,0))=0,"",INDEX(Polymarket!$C$25:$C$303,MATCH($A109,Polymarket!$A$25:$A$303,0))),"")</f>
        <v/>
      </c>
      <c r="G109" s="100">
        <f>IFERROR(IF(INDEX(Kalshi!$G$31:$G$485,MATCH($A109,Kalshi!$A$31:$A$485,0))=0,"",INDEX(Kalshi!$G$31:$G$485,MATCH($A109,Kalshi!$A$31:$A$485,0))),"")</f>
        <v/>
      </c>
      <c r="H109" s="20">
        <f>IF(AND(ISNUMBER(B109),ISNUMBER(C109)),MIN(B109,C109),"")</f>
        <v/>
      </c>
      <c r="I109" s="20">
        <f>IF(AND(ISNUMBER(F109),ISNUMBER(G109)),MIN(F109,G109),"")</f>
        <v/>
      </c>
      <c r="J109" s="17">
        <f>IF(AND(ISNUMBER(H109),ISNUMBER(I109)),H109+I109,"")</f>
        <v/>
      </c>
      <c r="K109" s="16" t="n">
        <v>0.5</v>
      </c>
      <c r="L109" s="26" t="inlineStr">
        <is>
          <t>21 Mar</t>
        </is>
      </c>
    </row>
    <row r="110">
      <c r="A110" s="41" t="n">
        <v>46103</v>
      </c>
      <c r="B110" s="101">
        <f>IFERROR(IF(INDEX(Polymarket!$B$25:$B$303,MATCH($A110,Polymarket!$A$25:$A$303,0))=0,"",INDEX(Polymarket!$B$25:$B$303,MATCH($A110,Polymarket!$A$25:$A$303,0))),"")</f>
        <v/>
      </c>
      <c r="C110" s="101">
        <f>IFERROR(IF(INDEX(Kalshi!$D$31:$D$485,MATCH($A110,Kalshi!$A$31:$A$485,0))=0,"",INDEX(Kalshi!$D$31:$D$485,MATCH($A110,Kalshi!$A$31:$A$485,0))),"")</f>
        <v/>
      </c>
      <c r="D110" s="31">
        <f>IF(AND(ISNUMBER(B110),ISNUMBER(C110)),B110-C110,"")</f>
        <v/>
      </c>
      <c r="E110" s="29">
        <f>IF(ISNUMBER(D110),ABS(D110),"")</f>
        <v/>
      </c>
      <c r="F110" s="101">
        <f>IFERROR(IF(INDEX(Polymarket!$C$25:$C$303,MATCH($A110,Polymarket!$A$25:$A$303,0))=0,"",INDEX(Polymarket!$C$25:$C$303,MATCH($A110,Polymarket!$A$25:$A$303,0))),"")</f>
        <v/>
      </c>
      <c r="G110" s="101">
        <f>IFERROR(IF(INDEX(Kalshi!$G$31:$G$485,MATCH($A110,Kalshi!$A$31:$A$485,0))=0,"",INDEX(Kalshi!$G$31:$G$485,MATCH($A110,Kalshi!$A$31:$A$485,0))),"")</f>
        <v/>
      </c>
      <c r="H110" s="30">
        <f>IF(AND(ISNUMBER(B110),ISNUMBER(C110)),MIN(B110,C110),"")</f>
        <v/>
      </c>
      <c r="I110" s="30">
        <f>IF(AND(ISNUMBER(F110),ISNUMBER(G110)),MIN(F110,G110),"")</f>
        <v/>
      </c>
      <c r="J110" s="29">
        <f>IF(AND(ISNUMBER(H110),ISNUMBER(I110)),H110+I110,"")</f>
        <v/>
      </c>
      <c r="K110" s="28" t="n">
        <v>0.5</v>
      </c>
      <c r="L110" s="38" t="inlineStr">
        <is>
          <t>22 Mar</t>
        </is>
      </c>
    </row>
    <row r="111">
      <c r="A111" s="39" t="n">
        <v>46104</v>
      </c>
      <c r="B111" s="100">
        <f>IFERROR(IF(INDEX(Polymarket!$B$25:$B$303,MATCH($A111,Polymarket!$A$25:$A$303,0))=0,"",INDEX(Polymarket!$B$25:$B$303,MATCH($A111,Polymarket!$A$25:$A$303,0))),"")</f>
        <v/>
      </c>
      <c r="C111" s="100">
        <f>IFERROR(IF(INDEX(Kalshi!$D$31:$D$485,MATCH($A111,Kalshi!$A$31:$A$485,0))=0,"",INDEX(Kalshi!$D$31:$D$485,MATCH($A111,Kalshi!$A$31:$A$485,0))),"")</f>
        <v/>
      </c>
      <c r="D111" s="18">
        <f>IF(AND(ISNUMBER(B111),ISNUMBER(C111)),B111-C111,"")</f>
        <v/>
      </c>
      <c r="E111" s="17">
        <f>IF(ISNUMBER(D111),ABS(D111),"")</f>
        <v/>
      </c>
      <c r="F111" s="100">
        <f>IFERROR(IF(INDEX(Polymarket!$C$25:$C$303,MATCH($A111,Polymarket!$A$25:$A$303,0))=0,"",INDEX(Polymarket!$C$25:$C$303,MATCH($A111,Polymarket!$A$25:$A$303,0))),"")</f>
        <v/>
      </c>
      <c r="G111" s="100">
        <f>IFERROR(IF(INDEX(Kalshi!$G$31:$G$485,MATCH($A111,Kalshi!$A$31:$A$485,0))=0,"",INDEX(Kalshi!$G$31:$G$485,MATCH($A111,Kalshi!$A$31:$A$485,0))),"")</f>
        <v/>
      </c>
      <c r="H111" s="20">
        <f>IF(AND(ISNUMBER(B111),ISNUMBER(C111)),MIN(B111,C111),"")</f>
        <v/>
      </c>
      <c r="I111" s="20">
        <f>IF(AND(ISNUMBER(F111),ISNUMBER(G111)),MIN(F111,G111),"")</f>
        <v/>
      </c>
      <c r="J111" s="17">
        <f>IF(AND(ISNUMBER(H111),ISNUMBER(I111)),H111+I111,"")</f>
        <v/>
      </c>
      <c r="K111" s="16" t="n">
        <v>0.5</v>
      </c>
      <c r="L111" s="26" t="inlineStr">
        <is>
          <t>23 Mar</t>
        </is>
      </c>
    </row>
    <row r="112">
      <c r="A112" s="41" t="n">
        <v>46105</v>
      </c>
      <c r="B112" s="101">
        <f>IFERROR(IF(INDEX(Polymarket!$B$25:$B$303,MATCH($A112,Polymarket!$A$25:$A$303,0))=0,"",INDEX(Polymarket!$B$25:$B$303,MATCH($A112,Polymarket!$A$25:$A$303,0))),"")</f>
        <v/>
      </c>
      <c r="C112" s="101">
        <f>IFERROR(IF(INDEX(Kalshi!$D$31:$D$485,MATCH($A112,Kalshi!$A$31:$A$485,0))=0,"",INDEX(Kalshi!$D$31:$D$485,MATCH($A112,Kalshi!$A$31:$A$485,0))),"")</f>
        <v/>
      </c>
      <c r="D112" s="31">
        <f>IF(AND(ISNUMBER(B112),ISNUMBER(C112)),B112-C112,"")</f>
        <v/>
      </c>
      <c r="E112" s="29">
        <f>IF(ISNUMBER(D112),ABS(D112),"")</f>
        <v/>
      </c>
      <c r="F112" s="101">
        <f>IFERROR(IF(INDEX(Polymarket!$C$25:$C$303,MATCH($A112,Polymarket!$A$25:$A$303,0))=0,"",INDEX(Polymarket!$C$25:$C$303,MATCH($A112,Polymarket!$A$25:$A$303,0))),"")</f>
        <v/>
      </c>
      <c r="G112" s="101">
        <f>IFERROR(IF(INDEX(Kalshi!$G$31:$G$485,MATCH($A112,Kalshi!$A$31:$A$485,0))=0,"",INDEX(Kalshi!$G$31:$G$485,MATCH($A112,Kalshi!$A$31:$A$485,0))),"")</f>
        <v/>
      </c>
      <c r="H112" s="30">
        <f>IF(AND(ISNUMBER(B112),ISNUMBER(C112)),MIN(B112,C112),"")</f>
        <v/>
      </c>
      <c r="I112" s="30">
        <f>IF(AND(ISNUMBER(F112),ISNUMBER(G112)),MIN(F112,G112),"")</f>
        <v/>
      </c>
      <c r="J112" s="29">
        <f>IF(AND(ISNUMBER(H112),ISNUMBER(I112)),H112+I112,"")</f>
        <v/>
      </c>
      <c r="K112" s="28" t="n">
        <v>0.5</v>
      </c>
      <c r="L112" s="38" t="inlineStr">
        <is>
          <t>24 Mar</t>
        </is>
      </c>
    </row>
    <row r="113">
      <c r="A113" s="39" t="n">
        <v>46106</v>
      </c>
      <c r="B113" s="100">
        <f>IFERROR(IF(INDEX(Polymarket!$B$25:$B$303,MATCH($A113,Polymarket!$A$25:$A$303,0))=0,"",INDEX(Polymarket!$B$25:$B$303,MATCH($A113,Polymarket!$A$25:$A$303,0))),"")</f>
        <v/>
      </c>
      <c r="C113" s="100">
        <f>IFERROR(IF(INDEX(Kalshi!$D$31:$D$485,MATCH($A113,Kalshi!$A$31:$A$485,0))=0,"",INDEX(Kalshi!$D$31:$D$485,MATCH($A113,Kalshi!$A$31:$A$485,0))),"")</f>
        <v/>
      </c>
      <c r="D113" s="18">
        <f>IF(AND(ISNUMBER(B113),ISNUMBER(C113)),B113-C113,"")</f>
        <v/>
      </c>
      <c r="E113" s="17">
        <f>IF(ISNUMBER(D113),ABS(D113),"")</f>
        <v/>
      </c>
      <c r="F113" s="100">
        <f>IFERROR(IF(INDEX(Polymarket!$C$25:$C$303,MATCH($A113,Polymarket!$A$25:$A$303,0))=0,"",INDEX(Polymarket!$C$25:$C$303,MATCH($A113,Polymarket!$A$25:$A$303,0))),"")</f>
        <v/>
      </c>
      <c r="G113" s="100">
        <f>IFERROR(IF(INDEX(Kalshi!$G$31:$G$485,MATCH($A113,Kalshi!$A$31:$A$485,0))=0,"",INDEX(Kalshi!$G$31:$G$485,MATCH($A113,Kalshi!$A$31:$A$485,0))),"")</f>
        <v/>
      </c>
      <c r="H113" s="20">
        <f>IF(AND(ISNUMBER(B113),ISNUMBER(C113)),MIN(B113,C113),"")</f>
        <v/>
      </c>
      <c r="I113" s="20">
        <f>IF(AND(ISNUMBER(F113),ISNUMBER(G113)),MIN(F113,G113),"")</f>
        <v/>
      </c>
      <c r="J113" s="17">
        <f>IF(AND(ISNUMBER(H113),ISNUMBER(I113)),H113+I113,"")</f>
        <v/>
      </c>
      <c r="K113" s="16" t="n">
        <v>0.5</v>
      </c>
      <c r="L113" s="26" t="inlineStr">
        <is>
          <t>25 Mar</t>
        </is>
      </c>
    </row>
    <row r="114">
      <c r="A114" s="41" t="n">
        <v>46107</v>
      </c>
      <c r="B114" s="101">
        <f>IFERROR(IF(INDEX(Polymarket!$B$25:$B$303,MATCH($A114,Polymarket!$A$25:$A$303,0))=0,"",INDEX(Polymarket!$B$25:$B$303,MATCH($A114,Polymarket!$A$25:$A$303,0))),"")</f>
        <v/>
      </c>
      <c r="C114" s="101">
        <f>IFERROR(IF(INDEX(Kalshi!$D$31:$D$485,MATCH($A114,Kalshi!$A$31:$A$485,0))=0,"",INDEX(Kalshi!$D$31:$D$485,MATCH($A114,Kalshi!$A$31:$A$485,0))),"")</f>
        <v/>
      </c>
      <c r="D114" s="31">
        <f>IF(AND(ISNUMBER(B114),ISNUMBER(C114)),B114-C114,"")</f>
        <v/>
      </c>
      <c r="E114" s="29">
        <f>IF(ISNUMBER(D114),ABS(D114),"")</f>
        <v/>
      </c>
      <c r="F114" s="101">
        <f>IFERROR(IF(INDEX(Polymarket!$C$25:$C$303,MATCH($A114,Polymarket!$A$25:$A$303,0))=0,"",INDEX(Polymarket!$C$25:$C$303,MATCH($A114,Polymarket!$A$25:$A$303,0))),"")</f>
        <v/>
      </c>
      <c r="G114" s="101">
        <f>IFERROR(IF(INDEX(Kalshi!$G$31:$G$485,MATCH($A114,Kalshi!$A$31:$A$485,0))=0,"",INDEX(Kalshi!$G$31:$G$485,MATCH($A114,Kalshi!$A$31:$A$485,0))),"")</f>
        <v/>
      </c>
      <c r="H114" s="30">
        <f>IF(AND(ISNUMBER(B114),ISNUMBER(C114)),MIN(B114,C114),"")</f>
        <v/>
      </c>
      <c r="I114" s="30">
        <f>IF(AND(ISNUMBER(F114),ISNUMBER(G114)),MIN(F114,G114),"")</f>
        <v/>
      </c>
      <c r="J114" s="29">
        <f>IF(AND(ISNUMBER(H114),ISNUMBER(I114)),H114+I114,"")</f>
        <v/>
      </c>
      <c r="K114" s="28" t="n">
        <v>0.5</v>
      </c>
      <c r="L114" s="38" t="inlineStr">
        <is>
          <t>26 Mar</t>
        </is>
      </c>
    </row>
    <row r="115">
      <c r="A115" s="39" t="n">
        <v>46108</v>
      </c>
      <c r="B115" s="100">
        <f>IFERROR(IF(INDEX(Polymarket!$B$25:$B$303,MATCH($A115,Polymarket!$A$25:$A$303,0))=0,"",INDEX(Polymarket!$B$25:$B$303,MATCH($A115,Polymarket!$A$25:$A$303,0))),"")</f>
        <v/>
      </c>
      <c r="C115" s="100">
        <f>IFERROR(IF(INDEX(Kalshi!$D$31:$D$485,MATCH($A115,Kalshi!$A$31:$A$485,0))=0,"",INDEX(Kalshi!$D$31:$D$485,MATCH($A115,Kalshi!$A$31:$A$485,0))),"")</f>
        <v/>
      </c>
      <c r="D115" s="18">
        <f>IF(AND(ISNUMBER(B115),ISNUMBER(C115)),B115-C115,"")</f>
        <v/>
      </c>
      <c r="E115" s="17">
        <f>IF(ISNUMBER(D115),ABS(D115),"")</f>
        <v/>
      </c>
      <c r="F115" s="100">
        <f>IFERROR(IF(INDEX(Polymarket!$C$25:$C$303,MATCH($A115,Polymarket!$A$25:$A$303,0))=0,"",INDEX(Polymarket!$C$25:$C$303,MATCH($A115,Polymarket!$A$25:$A$303,0))),"")</f>
        <v/>
      </c>
      <c r="G115" s="100">
        <f>IFERROR(IF(INDEX(Kalshi!$G$31:$G$485,MATCH($A115,Kalshi!$A$31:$A$485,0))=0,"",INDEX(Kalshi!$G$31:$G$485,MATCH($A115,Kalshi!$A$31:$A$485,0))),"")</f>
        <v/>
      </c>
      <c r="H115" s="20">
        <f>IF(AND(ISNUMBER(B115),ISNUMBER(C115)),MIN(B115,C115),"")</f>
        <v/>
      </c>
      <c r="I115" s="20">
        <f>IF(AND(ISNUMBER(F115),ISNUMBER(G115)),MIN(F115,G115),"")</f>
        <v/>
      </c>
      <c r="J115" s="17">
        <f>IF(AND(ISNUMBER(H115),ISNUMBER(I115)),H115+I115,"")</f>
        <v/>
      </c>
      <c r="K115" s="16" t="n">
        <v>0.5</v>
      </c>
      <c r="L115" s="26" t="inlineStr">
        <is>
          <t>27 Mar</t>
        </is>
      </c>
    </row>
    <row r="116">
      <c r="A116" s="41" t="n">
        <v>46109</v>
      </c>
      <c r="B116" s="101">
        <f>IFERROR(IF(INDEX(Polymarket!$B$25:$B$303,MATCH($A116,Polymarket!$A$25:$A$303,0))=0,"",INDEX(Polymarket!$B$25:$B$303,MATCH($A116,Polymarket!$A$25:$A$303,0))),"")</f>
        <v/>
      </c>
      <c r="C116" s="101">
        <f>IFERROR(IF(INDEX(Kalshi!$D$31:$D$485,MATCH($A116,Kalshi!$A$31:$A$485,0))=0,"",INDEX(Kalshi!$D$31:$D$485,MATCH($A116,Kalshi!$A$31:$A$485,0))),"")</f>
        <v/>
      </c>
      <c r="D116" s="31">
        <f>IF(AND(ISNUMBER(B116),ISNUMBER(C116)),B116-C116,"")</f>
        <v/>
      </c>
      <c r="E116" s="29">
        <f>IF(ISNUMBER(D116),ABS(D116),"")</f>
        <v/>
      </c>
      <c r="F116" s="101">
        <f>IFERROR(IF(INDEX(Polymarket!$C$25:$C$303,MATCH($A116,Polymarket!$A$25:$A$303,0))=0,"",INDEX(Polymarket!$C$25:$C$303,MATCH($A116,Polymarket!$A$25:$A$303,0))),"")</f>
        <v/>
      </c>
      <c r="G116" s="101">
        <f>IFERROR(IF(INDEX(Kalshi!$G$31:$G$485,MATCH($A116,Kalshi!$A$31:$A$485,0))=0,"",INDEX(Kalshi!$G$31:$G$485,MATCH($A116,Kalshi!$A$31:$A$485,0))),"")</f>
        <v/>
      </c>
      <c r="H116" s="30">
        <f>IF(AND(ISNUMBER(B116),ISNUMBER(C116)),MIN(B116,C116),"")</f>
        <v/>
      </c>
      <c r="I116" s="30">
        <f>IF(AND(ISNUMBER(F116),ISNUMBER(G116)),MIN(F116,G116),"")</f>
        <v/>
      </c>
      <c r="J116" s="29">
        <f>IF(AND(ISNUMBER(H116),ISNUMBER(I116)),H116+I116,"")</f>
        <v/>
      </c>
      <c r="K116" s="28" t="n">
        <v>0.5</v>
      </c>
      <c r="L116" s="38" t="inlineStr">
        <is>
          <t>28 Mar</t>
        </is>
      </c>
    </row>
    <row r="117">
      <c r="A117" s="39" t="n">
        <v>46110</v>
      </c>
      <c r="B117" s="100">
        <f>IFERROR(IF(INDEX(Polymarket!$B$25:$B$303,MATCH($A117,Polymarket!$A$25:$A$303,0))=0,"",INDEX(Polymarket!$B$25:$B$303,MATCH($A117,Polymarket!$A$25:$A$303,0))),"")</f>
        <v/>
      </c>
      <c r="C117" s="100">
        <f>IFERROR(IF(INDEX(Kalshi!$D$31:$D$485,MATCH($A117,Kalshi!$A$31:$A$485,0))=0,"",INDEX(Kalshi!$D$31:$D$485,MATCH($A117,Kalshi!$A$31:$A$485,0))),"")</f>
        <v/>
      </c>
      <c r="D117" s="18">
        <f>IF(AND(ISNUMBER(B117),ISNUMBER(C117)),B117-C117,"")</f>
        <v/>
      </c>
      <c r="E117" s="17">
        <f>IF(ISNUMBER(D117),ABS(D117),"")</f>
        <v/>
      </c>
      <c r="F117" s="100">
        <f>IFERROR(IF(INDEX(Polymarket!$C$25:$C$303,MATCH($A117,Polymarket!$A$25:$A$303,0))=0,"",INDEX(Polymarket!$C$25:$C$303,MATCH($A117,Polymarket!$A$25:$A$303,0))),"")</f>
        <v/>
      </c>
      <c r="G117" s="100">
        <f>IFERROR(IF(INDEX(Kalshi!$G$31:$G$485,MATCH($A117,Kalshi!$A$31:$A$485,0))=0,"",INDEX(Kalshi!$G$31:$G$485,MATCH($A117,Kalshi!$A$31:$A$485,0))),"")</f>
        <v/>
      </c>
      <c r="H117" s="20">
        <f>IF(AND(ISNUMBER(B117),ISNUMBER(C117)),MIN(B117,C117),"")</f>
        <v/>
      </c>
      <c r="I117" s="20">
        <f>IF(AND(ISNUMBER(F117),ISNUMBER(G117)),MIN(F117,G117),"")</f>
        <v/>
      </c>
      <c r="J117" s="17">
        <f>IF(AND(ISNUMBER(H117),ISNUMBER(I117)),H117+I117,"")</f>
        <v/>
      </c>
      <c r="K117" s="16" t="n">
        <v>0.5</v>
      </c>
      <c r="L117" s="26" t="inlineStr">
        <is>
          <t>29 Mar</t>
        </is>
      </c>
    </row>
    <row r="118">
      <c r="A118" s="41" t="n">
        <v>46121</v>
      </c>
      <c r="B118" s="101">
        <f>IFERROR(IF(INDEX(Polymarket!$B$25:$B$303,MATCH($A118,Polymarket!$A$25:$A$303,0))=0,"",INDEX(Polymarket!$B$25:$B$303,MATCH($A118,Polymarket!$A$25:$A$303,0))),"")</f>
        <v/>
      </c>
      <c r="C118" s="101">
        <f>IFERROR(IF(INDEX(Kalshi!$D$31:$D$485,MATCH($A118,Kalshi!$A$31:$A$485,0))=0,"",INDEX(Kalshi!$D$31:$D$485,MATCH($A118,Kalshi!$A$31:$A$485,0))),"")</f>
        <v/>
      </c>
      <c r="D118" s="31">
        <f>IF(AND(ISNUMBER(B118),ISNUMBER(C118)),B118-C118,"")</f>
        <v/>
      </c>
      <c r="E118" s="29">
        <f>IF(ISNUMBER(D118),ABS(D118),"")</f>
        <v/>
      </c>
      <c r="F118" s="101">
        <f>IFERROR(IF(INDEX(Polymarket!$C$25:$C$303,MATCH($A118,Polymarket!$A$25:$A$303,0))=0,"",INDEX(Polymarket!$C$25:$C$303,MATCH($A118,Polymarket!$A$25:$A$303,0))),"")</f>
        <v/>
      </c>
      <c r="G118" s="101">
        <f>IFERROR(IF(INDEX(Kalshi!$G$31:$G$485,MATCH($A118,Kalshi!$A$31:$A$485,0))=0,"",INDEX(Kalshi!$G$31:$G$485,MATCH($A118,Kalshi!$A$31:$A$485,0))),"")</f>
        <v/>
      </c>
      <c r="H118" s="30">
        <f>IF(AND(ISNUMBER(B118),ISNUMBER(C118)),MIN(B118,C118),"")</f>
        <v/>
      </c>
      <c r="I118" s="30">
        <f>IF(AND(ISNUMBER(F118),ISNUMBER(G118)),MIN(F118,G118),"")</f>
        <v/>
      </c>
      <c r="J118" s="29">
        <f>IF(AND(ISNUMBER(H118),ISNUMBER(I118)),H118+I118,"")</f>
        <v/>
      </c>
      <c r="K118" s="28" t="n">
        <v>0.5</v>
      </c>
      <c r="L118" s="38" t="inlineStr">
        <is>
          <t>09 Apr</t>
        </is>
      </c>
    </row>
    <row r="119">
      <c r="A119" s="39" t="n">
        <v>46130</v>
      </c>
      <c r="B119" s="100">
        <f>IFERROR(IF(INDEX(Polymarket!$B$25:$B$303,MATCH($A119,Polymarket!$A$25:$A$303,0))=0,"",INDEX(Polymarket!$B$25:$B$303,MATCH($A119,Polymarket!$A$25:$A$303,0))),"")</f>
        <v/>
      </c>
      <c r="C119" s="100">
        <f>IFERROR(IF(INDEX(Kalshi!$D$31:$D$485,MATCH($A119,Kalshi!$A$31:$A$485,0))=0,"",INDEX(Kalshi!$D$31:$D$485,MATCH($A119,Kalshi!$A$31:$A$485,0))),"")</f>
        <v/>
      </c>
      <c r="D119" s="18">
        <f>IF(AND(ISNUMBER(B119),ISNUMBER(C119)),B119-C119,"")</f>
        <v/>
      </c>
      <c r="E119" s="17">
        <f>IF(ISNUMBER(D119),ABS(D119),"")</f>
        <v/>
      </c>
      <c r="F119" s="100">
        <f>IFERROR(IF(INDEX(Polymarket!$C$25:$C$303,MATCH($A119,Polymarket!$A$25:$A$303,0))=0,"",INDEX(Polymarket!$C$25:$C$303,MATCH($A119,Polymarket!$A$25:$A$303,0))),"")</f>
        <v/>
      </c>
      <c r="G119" s="100">
        <f>IFERROR(IF(INDEX(Kalshi!$G$31:$G$485,MATCH($A119,Kalshi!$A$31:$A$485,0))=0,"",INDEX(Kalshi!$G$31:$G$485,MATCH($A119,Kalshi!$A$31:$A$485,0))),"")</f>
        <v/>
      </c>
      <c r="H119" s="20">
        <f>IF(AND(ISNUMBER(B119),ISNUMBER(C119)),MIN(B119,C119),"")</f>
        <v/>
      </c>
      <c r="I119" s="20">
        <f>IF(AND(ISNUMBER(F119),ISNUMBER(G119)),MIN(F119,G119),"")</f>
        <v/>
      </c>
      <c r="J119" s="17">
        <f>IF(AND(ISNUMBER(H119),ISNUMBER(I119)),H119+I119,"")</f>
        <v/>
      </c>
      <c r="K119" s="16" t="n">
        <v>0.5</v>
      </c>
      <c r="L119" s="26" t="inlineStr">
        <is>
          <t>18 Apr</t>
        </is>
      </c>
    </row>
    <row r="120">
      <c r="A120" s="41" t="n">
        <v>46134</v>
      </c>
      <c r="B120" s="101">
        <f>IFERROR(IF(INDEX(Polymarket!$B$25:$B$303,MATCH($A120,Polymarket!$A$25:$A$303,0))=0,"",INDEX(Polymarket!$B$25:$B$303,MATCH($A120,Polymarket!$A$25:$A$303,0))),"")</f>
        <v/>
      </c>
      <c r="C120" s="101">
        <f>IFERROR(IF(INDEX(Kalshi!$D$31:$D$485,MATCH($A120,Kalshi!$A$31:$A$485,0))=0,"",INDEX(Kalshi!$D$31:$D$485,MATCH($A120,Kalshi!$A$31:$A$485,0))),"")</f>
        <v/>
      </c>
      <c r="D120" s="31">
        <f>IF(AND(ISNUMBER(B120),ISNUMBER(C120)),B120-C120,"")</f>
        <v/>
      </c>
      <c r="E120" s="29">
        <f>IF(ISNUMBER(D120),ABS(D120),"")</f>
        <v/>
      </c>
      <c r="F120" s="101">
        <f>IFERROR(IF(INDEX(Polymarket!$C$25:$C$303,MATCH($A120,Polymarket!$A$25:$A$303,0))=0,"",INDEX(Polymarket!$C$25:$C$303,MATCH($A120,Polymarket!$A$25:$A$303,0))),"")</f>
        <v/>
      </c>
      <c r="G120" s="101">
        <f>IFERROR(IF(INDEX(Kalshi!$G$31:$G$485,MATCH($A120,Kalshi!$A$31:$A$485,0))=0,"",INDEX(Kalshi!$G$31:$G$485,MATCH($A120,Kalshi!$A$31:$A$485,0))),"")</f>
        <v/>
      </c>
      <c r="H120" s="30">
        <f>IF(AND(ISNUMBER(B120),ISNUMBER(C120)),MIN(B120,C120),"")</f>
        <v/>
      </c>
      <c r="I120" s="30">
        <f>IF(AND(ISNUMBER(F120),ISNUMBER(G120)),MIN(F120,G120),"")</f>
        <v/>
      </c>
      <c r="J120" s="29">
        <f>IF(AND(ISNUMBER(H120),ISNUMBER(I120)),H120+I120,"")</f>
        <v/>
      </c>
      <c r="K120" s="28" t="n">
        <v>0.5</v>
      </c>
      <c r="L120" s="38" t="inlineStr">
        <is>
          <t>22 Apr</t>
        </is>
      </c>
    </row>
    <row r="121">
      <c r="A121" s="39" t="n">
        <v>46135</v>
      </c>
      <c r="B121" s="100">
        <f>IFERROR(IF(INDEX(Polymarket!$B$25:$B$303,MATCH($A121,Polymarket!$A$25:$A$303,0))=0,"",INDEX(Polymarket!$B$25:$B$303,MATCH($A121,Polymarket!$A$25:$A$303,0))),"")</f>
        <v/>
      </c>
      <c r="C121" s="100">
        <f>IFERROR(IF(INDEX(Kalshi!$D$31:$D$485,MATCH($A121,Kalshi!$A$31:$A$485,0))=0,"",INDEX(Kalshi!$D$31:$D$485,MATCH($A121,Kalshi!$A$31:$A$485,0))),"")</f>
        <v/>
      </c>
      <c r="D121" s="18">
        <f>IF(AND(ISNUMBER(B121),ISNUMBER(C121)),B121-C121,"")</f>
        <v/>
      </c>
      <c r="E121" s="17">
        <f>IF(ISNUMBER(D121),ABS(D121),"")</f>
        <v/>
      </c>
      <c r="F121" s="100">
        <f>IFERROR(IF(INDEX(Polymarket!$C$25:$C$303,MATCH($A121,Polymarket!$A$25:$A$303,0))=0,"",INDEX(Polymarket!$C$25:$C$303,MATCH($A121,Polymarket!$A$25:$A$303,0))),"")</f>
        <v/>
      </c>
      <c r="G121" s="100">
        <f>IFERROR(IF(INDEX(Kalshi!$G$31:$G$485,MATCH($A121,Kalshi!$A$31:$A$485,0))=0,"",INDEX(Kalshi!$G$31:$G$485,MATCH($A121,Kalshi!$A$31:$A$485,0))),"")</f>
        <v/>
      </c>
      <c r="H121" s="20">
        <f>IF(AND(ISNUMBER(B121),ISNUMBER(C121)),MIN(B121,C121),"")</f>
        <v/>
      </c>
      <c r="I121" s="20">
        <f>IF(AND(ISNUMBER(F121),ISNUMBER(G121)),MIN(F121,G121),"")</f>
        <v/>
      </c>
      <c r="J121" s="17">
        <f>IF(AND(ISNUMBER(H121),ISNUMBER(I121)),H121+I121,"")</f>
        <v/>
      </c>
      <c r="K121" s="16" t="n">
        <v>0.5</v>
      </c>
      <c r="L121" s="26" t="inlineStr">
        <is>
          <t>23 Apr</t>
        </is>
      </c>
    </row>
    <row r="122">
      <c r="A122" s="41" t="n">
        <v>46136</v>
      </c>
      <c r="B122" s="101">
        <f>IFERROR(IF(INDEX(Polymarket!$B$25:$B$303,MATCH($A122,Polymarket!$A$25:$A$303,0))=0,"",INDEX(Polymarket!$B$25:$B$303,MATCH($A122,Polymarket!$A$25:$A$303,0))),"")</f>
        <v/>
      </c>
      <c r="C122" s="101">
        <f>IFERROR(IF(INDEX(Kalshi!$D$31:$D$485,MATCH($A122,Kalshi!$A$31:$A$485,0))=0,"",INDEX(Kalshi!$D$31:$D$485,MATCH($A122,Kalshi!$A$31:$A$485,0))),"")</f>
        <v/>
      </c>
      <c r="D122" s="31">
        <f>IF(AND(ISNUMBER(B122),ISNUMBER(C122)),B122-C122,"")</f>
        <v/>
      </c>
      <c r="E122" s="29">
        <f>IF(ISNUMBER(D122),ABS(D122),"")</f>
        <v/>
      </c>
      <c r="F122" s="101">
        <f>IFERROR(IF(INDEX(Polymarket!$C$25:$C$303,MATCH($A122,Polymarket!$A$25:$A$303,0))=0,"",INDEX(Polymarket!$C$25:$C$303,MATCH($A122,Polymarket!$A$25:$A$303,0))),"")</f>
        <v/>
      </c>
      <c r="G122" s="101">
        <f>IFERROR(IF(INDEX(Kalshi!$G$31:$G$485,MATCH($A122,Kalshi!$A$31:$A$485,0))=0,"",INDEX(Kalshi!$G$31:$G$485,MATCH($A122,Kalshi!$A$31:$A$485,0))),"")</f>
        <v/>
      </c>
      <c r="H122" s="30">
        <f>IF(AND(ISNUMBER(B122),ISNUMBER(C122)),MIN(B122,C122),"")</f>
        <v/>
      </c>
      <c r="I122" s="30">
        <f>IF(AND(ISNUMBER(F122),ISNUMBER(G122)),MIN(F122,G122),"")</f>
        <v/>
      </c>
      <c r="J122" s="29">
        <f>IF(AND(ISNUMBER(H122),ISNUMBER(I122)),H122+I122,"")</f>
        <v/>
      </c>
      <c r="K122" s="28" t="n">
        <v>0.5</v>
      </c>
      <c r="L122" s="38" t="inlineStr">
        <is>
          <t>24 Apr</t>
        </is>
      </c>
    </row>
    <row r="123">
      <c r="A123" s="39" t="n">
        <v>46137</v>
      </c>
      <c r="B123" s="100">
        <f>IFERROR(IF(INDEX(Polymarket!$B$25:$B$303,MATCH($A123,Polymarket!$A$25:$A$303,0))=0,"",INDEX(Polymarket!$B$25:$B$303,MATCH($A123,Polymarket!$A$25:$A$303,0))),"")</f>
        <v/>
      </c>
      <c r="C123" s="100">
        <f>IFERROR(IF(INDEX(Kalshi!$D$31:$D$485,MATCH($A123,Kalshi!$A$31:$A$485,0))=0,"",INDEX(Kalshi!$D$31:$D$485,MATCH($A123,Kalshi!$A$31:$A$485,0))),"")</f>
        <v/>
      </c>
      <c r="D123" s="18">
        <f>IF(AND(ISNUMBER(B123),ISNUMBER(C123)),B123-C123,"")</f>
        <v/>
      </c>
      <c r="E123" s="17">
        <f>IF(ISNUMBER(D123),ABS(D123),"")</f>
        <v/>
      </c>
      <c r="F123" s="100">
        <f>IFERROR(IF(INDEX(Polymarket!$C$25:$C$303,MATCH($A123,Polymarket!$A$25:$A$303,0))=0,"",INDEX(Polymarket!$C$25:$C$303,MATCH($A123,Polymarket!$A$25:$A$303,0))),"")</f>
        <v/>
      </c>
      <c r="G123" s="100">
        <f>IFERROR(IF(INDEX(Kalshi!$G$31:$G$485,MATCH($A123,Kalshi!$A$31:$A$485,0))=0,"",INDEX(Kalshi!$G$31:$G$485,MATCH($A123,Kalshi!$A$31:$A$485,0))),"")</f>
        <v/>
      </c>
      <c r="H123" s="20">
        <f>IF(AND(ISNUMBER(B123),ISNUMBER(C123)),MIN(B123,C123),"")</f>
        <v/>
      </c>
      <c r="I123" s="20">
        <f>IF(AND(ISNUMBER(F123),ISNUMBER(G123)),MIN(F123,G123),"")</f>
        <v/>
      </c>
      <c r="J123" s="17">
        <f>IF(AND(ISNUMBER(H123),ISNUMBER(I123)),H123+I123,"")</f>
        <v/>
      </c>
      <c r="K123" s="16" t="n">
        <v>0.5</v>
      </c>
      <c r="L123" s="26" t="inlineStr">
        <is>
          <t>25 Apr</t>
        </is>
      </c>
    </row>
    <row r="124">
      <c r="A124" s="41" t="n">
        <v>46138</v>
      </c>
      <c r="B124" s="101">
        <f>IFERROR(IF(INDEX(Polymarket!$B$25:$B$303,MATCH($A124,Polymarket!$A$25:$A$303,0))=0,"",INDEX(Polymarket!$B$25:$B$303,MATCH($A124,Polymarket!$A$25:$A$303,0))),"")</f>
        <v/>
      </c>
      <c r="C124" s="101">
        <f>IFERROR(IF(INDEX(Kalshi!$D$31:$D$485,MATCH($A124,Kalshi!$A$31:$A$485,0))=0,"",INDEX(Kalshi!$D$31:$D$485,MATCH($A124,Kalshi!$A$31:$A$485,0))),"")</f>
        <v/>
      </c>
      <c r="D124" s="31">
        <f>IF(AND(ISNUMBER(B124),ISNUMBER(C124)),B124-C124,"")</f>
        <v/>
      </c>
      <c r="E124" s="29">
        <f>IF(ISNUMBER(D124),ABS(D124),"")</f>
        <v/>
      </c>
      <c r="F124" s="101">
        <f>IFERROR(IF(INDEX(Polymarket!$C$25:$C$303,MATCH($A124,Polymarket!$A$25:$A$303,0))=0,"",INDEX(Polymarket!$C$25:$C$303,MATCH($A124,Polymarket!$A$25:$A$303,0))),"")</f>
        <v/>
      </c>
      <c r="G124" s="101">
        <f>IFERROR(IF(INDEX(Kalshi!$G$31:$G$485,MATCH($A124,Kalshi!$A$31:$A$485,0))=0,"",INDEX(Kalshi!$G$31:$G$485,MATCH($A124,Kalshi!$A$31:$A$485,0))),"")</f>
        <v/>
      </c>
      <c r="H124" s="30">
        <f>IF(AND(ISNUMBER(B124),ISNUMBER(C124)),MIN(B124,C124),"")</f>
        <v/>
      </c>
      <c r="I124" s="30">
        <f>IF(AND(ISNUMBER(F124),ISNUMBER(G124)),MIN(F124,G124),"")</f>
        <v/>
      </c>
      <c r="J124" s="29">
        <f>IF(AND(ISNUMBER(H124),ISNUMBER(I124)),H124+I124,"")</f>
        <v/>
      </c>
      <c r="K124" s="28" t="n">
        <v>0.5</v>
      </c>
      <c r="L124" s="38" t="inlineStr">
        <is>
          <t>26 Apr</t>
        </is>
      </c>
    </row>
    <row r="125">
      <c r="A125" s="39" t="n">
        <v>46139</v>
      </c>
      <c r="B125" s="100">
        <f>IFERROR(IF(INDEX(Polymarket!$B$25:$B$303,MATCH($A125,Polymarket!$A$25:$A$303,0))=0,"",INDEX(Polymarket!$B$25:$B$303,MATCH($A125,Polymarket!$A$25:$A$303,0))),"")</f>
        <v/>
      </c>
      <c r="C125" s="100">
        <f>IFERROR(IF(INDEX(Kalshi!$D$31:$D$485,MATCH($A125,Kalshi!$A$31:$A$485,0))=0,"",INDEX(Kalshi!$D$31:$D$485,MATCH($A125,Kalshi!$A$31:$A$485,0))),"")</f>
        <v/>
      </c>
      <c r="D125" s="18">
        <f>IF(AND(ISNUMBER(B125),ISNUMBER(C125)),B125-C125,"")</f>
        <v/>
      </c>
      <c r="E125" s="17">
        <f>IF(ISNUMBER(D125),ABS(D125),"")</f>
        <v/>
      </c>
      <c r="F125" s="100">
        <f>IFERROR(IF(INDEX(Polymarket!$C$25:$C$303,MATCH($A125,Polymarket!$A$25:$A$303,0))=0,"",INDEX(Polymarket!$C$25:$C$303,MATCH($A125,Polymarket!$A$25:$A$303,0))),"")</f>
        <v/>
      </c>
      <c r="G125" s="100">
        <f>IFERROR(IF(INDEX(Kalshi!$G$31:$G$485,MATCH($A125,Kalshi!$A$31:$A$485,0))=0,"",INDEX(Kalshi!$G$31:$G$485,MATCH($A125,Kalshi!$A$31:$A$485,0))),"")</f>
        <v/>
      </c>
      <c r="H125" s="20">
        <f>IF(AND(ISNUMBER(B125),ISNUMBER(C125)),MIN(B125,C125),"")</f>
        <v/>
      </c>
      <c r="I125" s="20">
        <f>IF(AND(ISNUMBER(F125),ISNUMBER(G125)),MIN(F125,G125),"")</f>
        <v/>
      </c>
      <c r="J125" s="17">
        <f>IF(AND(ISNUMBER(H125),ISNUMBER(I125)),H125+I125,"")</f>
        <v/>
      </c>
      <c r="K125" s="16" t="n">
        <v>0.5</v>
      </c>
      <c r="L125" s="26" t="inlineStr">
        <is>
          <t>27 Apr</t>
        </is>
      </c>
    </row>
    <row r="126">
      <c r="A126" s="41" t="n">
        <v>46140</v>
      </c>
      <c r="B126" s="101">
        <f>IFERROR(IF(INDEX(Polymarket!$B$25:$B$303,MATCH($A126,Polymarket!$A$25:$A$303,0))=0,"",INDEX(Polymarket!$B$25:$B$303,MATCH($A126,Polymarket!$A$25:$A$303,0))),"")</f>
        <v/>
      </c>
      <c r="C126" s="101">
        <f>IFERROR(IF(INDEX(Kalshi!$D$31:$D$485,MATCH($A126,Kalshi!$A$31:$A$485,0))=0,"",INDEX(Kalshi!$D$31:$D$485,MATCH($A126,Kalshi!$A$31:$A$485,0))),"")</f>
        <v/>
      </c>
      <c r="D126" s="31">
        <f>IF(AND(ISNUMBER(B126),ISNUMBER(C126)),B126-C126,"")</f>
        <v/>
      </c>
      <c r="E126" s="29">
        <f>IF(ISNUMBER(D126),ABS(D126),"")</f>
        <v/>
      </c>
      <c r="F126" s="101">
        <f>IFERROR(IF(INDEX(Polymarket!$C$25:$C$303,MATCH($A126,Polymarket!$A$25:$A$303,0))=0,"",INDEX(Polymarket!$C$25:$C$303,MATCH($A126,Polymarket!$A$25:$A$303,0))),"")</f>
        <v/>
      </c>
      <c r="G126" s="101">
        <f>IFERROR(IF(INDEX(Kalshi!$G$31:$G$485,MATCH($A126,Kalshi!$A$31:$A$485,0))=0,"",INDEX(Kalshi!$G$31:$G$485,MATCH($A126,Kalshi!$A$31:$A$485,0))),"")</f>
        <v/>
      </c>
      <c r="H126" s="30">
        <f>IF(AND(ISNUMBER(B126),ISNUMBER(C126)),MIN(B126,C126),"")</f>
        <v/>
      </c>
      <c r="I126" s="30">
        <f>IF(AND(ISNUMBER(F126),ISNUMBER(G126)),MIN(F126,G126),"")</f>
        <v/>
      </c>
      <c r="J126" s="29">
        <f>IF(AND(ISNUMBER(H126),ISNUMBER(I126)),H126+I126,"")</f>
        <v/>
      </c>
      <c r="K126" s="28" t="n">
        <v>0.5</v>
      </c>
      <c r="L126" s="38" t="inlineStr">
        <is>
          <t>28 Apr</t>
        </is>
      </c>
    </row>
    <row r="127">
      <c r="A127" s="39" t="n">
        <v>46141</v>
      </c>
      <c r="B127" s="100">
        <f>IFERROR(IF(INDEX(Polymarket!$B$25:$B$303,MATCH($A127,Polymarket!$A$25:$A$303,0))=0,"",INDEX(Polymarket!$B$25:$B$303,MATCH($A127,Polymarket!$A$25:$A$303,0))),"")</f>
        <v/>
      </c>
      <c r="C127" s="100">
        <f>IFERROR(IF(INDEX(Kalshi!$D$31:$D$485,MATCH($A127,Kalshi!$A$31:$A$485,0))=0,"",INDEX(Kalshi!$D$31:$D$485,MATCH($A127,Kalshi!$A$31:$A$485,0))),"")</f>
        <v/>
      </c>
      <c r="D127" s="18">
        <f>IF(AND(ISNUMBER(B127),ISNUMBER(C127)),B127-C127,"")</f>
        <v/>
      </c>
      <c r="E127" s="17">
        <f>IF(ISNUMBER(D127),ABS(D127),"")</f>
        <v/>
      </c>
      <c r="F127" s="100">
        <f>IFERROR(IF(INDEX(Polymarket!$C$25:$C$303,MATCH($A127,Polymarket!$A$25:$A$303,0))=0,"",INDEX(Polymarket!$C$25:$C$303,MATCH($A127,Polymarket!$A$25:$A$303,0))),"")</f>
        <v/>
      </c>
      <c r="G127" s="100">
        <f>IFERROR(IF(INDEX(Kalshi!$G$31:$G$485,MATCH($A127,Kalshi!$A$31:$A$485,0))=0,"",INDEX(Kalshi!$G$31:$G$485,MATCH($A127,Kalshi!$A$31:$A$485,0))),"")</f>
        <v/>
      </c>
      <c r="H127" s="20">
        <f>IF(AND(ISNUMBER(B127),ISNUMBER(C127)),MIN(B127,C127),"")</f>
        <v/>
      </c>
      <c r="I127" s="20">
        <f>IF(AND(ISNUMBER(F127),ISNUMBER(G127)),MIN(F127,G127),"")</f>
        <v/>
      </c>
      <c r="J127" s="17">
        <f>IF(AND(ISNUMBER(H127),ISNUMBER(I127)),H127+I127,"")</f>
        <v/>
      </c>
      <c r="K127" s="16" t="n">
        <v>0.5</v>
      </c>
      <c r="L127" s="26" t="inlineStr">
        <is>
          <t>29 Apr</t>
        </is>
      </c>
    </row>
    <row r="128">
      <c r="A128" s="41" t="n">
        <v>46142</v>
      </c>
      <c r="B128" s="101">
        <f>IFERROR(IF(INDEX(Polymarket!$B$25:$B$303,MATCH($A128,Polymarket!$A$25:$A$303,0))=0,"",INDEX(Polymarket!$B$25:$B$303,MATCH($A128,Polymarket!$A$25:$A$303,0))),"")</f>
        <v/>
      </c>
      <c r="C128" s="101">
        <f>IFERROR(IF(INDEX(Kalshi!$D$31:$D$485,MATCH($A128,Kalshi!$A$31:$A$485,0))=0,"",INDEX(Kalshi!$D$31:$D$485,MATCH($A128,Kalshi!$A$31:$A$485,0))),"")</f>
        <v/>
      </c>
      <c r="D128" s="31">
        <f>IF(AND(ISNUMBER(B128),ISNUMBER(C128)),B128-C128,"")</f>
        <v/>
      </c>
      <c r="E128" s="29">
        <f>IF(ISNUMBER(D128),ABS(D128),"")</f>
        <v/>
      </c>
      <c r="F128" s="101">
        <f>IFERROR(IF(INDEX(Polymarket!$C$25:$C$303,MATCH($A128,Polymarket!$A$25:$A$303,0))=0,"",INDEX(Polymarket!$C$25:$C$303,MATCH($A128,Polymarket!$A$25:$A$303,0))),"")</f>
        <v/>
      </c>
      <c r="G128" s="101">
        <f>IFERROR(IF(INDEX(Kalshi!$G$31:$G$485,MATCH($A128,Kalshi!$A$31:$A$485,0))=0,"",INDEX(Kalshi!$G$31:$G$485,MATCH($A128,Kalshi!$A$31:$A$485,0))),"")</f>
        <v/>
      </c>
      <c r="H128" s="30">
        <f>IF(AND(ISNUMBER(B128),ISNUMBER(C128)),MIN(B128,C128),"")</f>
        <v/>
      </c>
      <c r="I128" s="30">
        <f>IF(AND(ISNUMBER(F128),ISNUMBER(G128)),MIN(F128,G128),"")</f>
        <v/>
      </c>
      <c r="J128" s="29">
        <f>IF(AND(ISNUMBER(H128),ISNUMBER(I128)),H128+I128,"")</f>
        <v/>
      </c>
      <c r="K128" s="28" t="n">
        <v>0.5</v>
      </c>
      <c r="L128" s="38" t="inlineStr">
        <is>
          <t>30 Apr</t>
        </is>
      </c>
    </row>
    <row r="129">
      <c r="A129" s="39" t="n">
        <v>46143</v>
      </c>
      <c r="B129" s="100">
        <f>IFERROR(IF(INDEX(Polymarket!$B$25:$B$303,MATCH($A129,Polymarket!$A$25:$A$303,0))=0,"",INDEX(Polymarket!$B$25:$B$303,MATCH($A129,Polymarket!$A$25:$A$303,0))),"")</f>
        <v/>
      </c>
      <c r="C129" s="100">
        <f>IFERROR(IF(INDEX(Kalshi!$D$31:$D$485,MATCH($A129,Kalshi!$A$31:$A$485,0))=0,"",INDEX(Kalshi!$D$31:$D$485,MATCH($A129,Kalshi!$A$31:$A$485,0))),"")</f>
        <v/>
      </c>
      <c r="D129" s="18">
        <f>IF(AND(ISNUMBER(B129),ISNUMBER(C129)),B129-C129,"")</f>
        <v/>
      </c>
      <c r="E129" s="17">
        <f>IF(ISNUMBER(D129),ABS(D129),"")</f>
        <v/>
      </c>
      <c r="F129" s="100">
        <f>IFERROR(IF(INDEX(Polymarket!$C$25:$C$303,MATCH($A129,Polymarket!$A$25:$A$303,0))=0,"",INDEX(Polymarket!$C$25:$C$303,MATCH($A129,Polymarket!$A$25:$A$303,0))),"")</f>
        <v/>
      </c>
      <c r="G129" s="100">
        <f>IFERROR(IF(INDEX(Kalshi!$G$31:$G$485,MATCH($A129,Kalshi!$A$31:$A$485,0))=0,"",INDEX(Kalshi!$G$31:$G$485,MATCH($A129,Kalshi!$A$31:$A$485,0))),"")</f>
        <v/>
      </c>
      <c r="H129" s="20">
        <f>IF(AND(ISNUMBER(B129),ISNUMBER(C129)),MIN(B129,C129),"")</f>
        <v/>
      </c>
      <c r="I129" s="20">
        <f>IF(AND(ISNUMBER(F129),ISNUMBER(G129)),MIN(F129,G129),"")</f>
        <v/>
      </c>
      <c r="J129" s="17">
        <f>IF(AND(ISNUMBER(H129),ISNUMBER(I129)),H129+I129,"")</f>
        <v/>
      </c>
      <c r="K129" s="16" t="n">
        <v>0.5</v>
      </c>
      <c r="L129" s="26" t="inlineStr">
        <is>
          <t>01 May</t>
        </is>
      </c>
    </row>
    <row r="130">
      <c r="A130" s="41" t="n">
        <v>46144</v>
      </c>
      <c r="B130" s="101">
        <f>IFERROR(IF(INDEX(Polymarket!$B$25:$B$303,MATCH($A130,Polymarket!$A$25:$A$303,0))=0,"",INDEX(Polymarket!$B$25:$B$303,MATCH($A130,Polymarket!$A$25:$A$303,0))),"")</f>
        <v/>
      </c>
      <c r="C130" s="101">
        <f>IFERROR(IF(INDEX(Kalshi!$D$31:$D$485,MATCH($A130,Kalshi!$A$31:$A$485,0))=0,"",INDEX(Kalshi!$D$31:$D$485,MATCH($A130,Kalshi!$A$31:$A$485,0))),"")</f>
        <v/>
      </c>
      <c r="D130" s="31">
        <f>IF(AND(ISNUMBER(B130),ISNUMBER(C130)),B130-C130,"")</f>
        <v/>
      </c>
      <c r="E130" s="29">
        <f>IF(ISNUMBER(D130),ABS(D130),"")</f>
        <v/>
      </c>
      <c r="F130" s="101">
        <f>IFERROR(IF(INDEX(Polymarket!$C$25:$C$303,MATCH($A130,Polymarket!$A$25:$A$303,0))=0,"",INDEX(Polymarket!$C$25:$C$303,MATCH($A130,Polymarket!$A$25:$A$303,0))),"")</f>
        <v/>
      </c>
      <c r="G130" s="101">
        <f>IFERROR(IF(INDEX(Kalshi!$G$31:$G$485,MATCH($A130,Kalshi!$A$31:$A$485,0))=0,"",INDEX(Kalshi!$G$31:$G$485,MATCH($A130,Kalshi!$A$31:$A$485,0))),"")</f>
        <v/>
      </c>
      <c r="H130" s="30">
        <f>IF(AND(ISNUMBER(B130),ISNUMBER(C130)),MIN(B130,C130),"")</f>
        <v/>
      </c>
      <c r="I130" s="30">
        <f>IF(AND(ISNUMBER(F130),ISNUMBER(G130)),MIN(F130,G130),"")</f>
        <v/>
      </c>
      <c r="J130" s="29">
        <f>IF(AND(ISNUMBER(H130),ISNUMBER(I130)),H130+I130,"")</f>
        <v/>
      </c>
      <c r="K130" s="28" t="n">
        <v>0.5</v>
      </c>
      <c r="L130" s="38" t="inlineStr">
        <is>
          <t>02 May</t>
        </is>
      </c>
    </row>
    <row r="131">
      <c r="A131" s="39" t="n">
        <v>46145</v>
      </c>
      <c r="B131" s="100">
        <f>IFERROR(IF(INDEX(Polymarket!$B$25:$B$303,MATCH($A131,Polymarket!$A$25:$A$303,0))=0,"",INDEX(Polymarket!$B$25:$B$303,MATCH($A131,Polymarket!$A$25:$A$303,0))),"")</f>
        <v/>
      </c>
      <c r="C131" s="100">
        <f>IFERROR(IF(INDEX(Kalshi!$D$31:$D$485,MATCH($A131,Kalshi!$A$31:$A$485,0))=0,"",INDEX(Kalshi!$D$31:$D$485,MATCH($A131,Kalshi!$A$31:$A$485,0))),"")</f>
        <v/>
      </c>
      <c r="D131" s="18">
        <f>IF(AND(ISNUMBER(B131),ISNUMBER(C131)),B131-C131,"")</f>
        <v/>
      </c>
      <c r="E131" s="17">
        <f>IF(ISNUMBER(D131),ABS(D131),"")</f>
        <v/>
      </c>
      <c r="F131" s="100">
        <f>IFERROR(IF(INDEX(Polymarket!$C$25:$C$303,MATCH($A131,Polymarket!$A$25:$A$303,0))=0,"",INDEX(Polymarket!$C$25:$C$303,MATCH($A131,Polymarket!$A$25:$A$303,0))),"")</f>
        <v/>
      </c>
      <c r="G131" s="100">
        <f>IFERROR(IF(INDEX(Kalshi!$G$31:$G$485,MATCH($A131,Kalshi!$A$31:$A$485,0))=0,"",INDEX(Kalshi!$G$31:$G$485,MATCH($A131,Kalshi!$A$31:$A$485,0))),"")</f>
        <v/>
      </c>
      <c r="H131" s="20">
        <f>IF(AND(ISNUMBER(B131),ISNUMBER(C131)),MIN(B131,C131),"")</f>
        <v/>
      </c>
      <c r="I131" s="20">
        <f>IF(AND(ISNUMBER(F131),ISNUMBER(G131)),MIN(F131,G131),"")</f>
        <v/>
      </c>
      <c r="J131" s="17">
        <f>IF(AND(ISNUMBER(H131),ISNUMBER(I131)),H131+I131,"")</f>
        <v/>
      </c>
      <c r="K131" s="16" t="n">
        <v>0.5</v>
      </c>
      <c r="L131" s="26" t="inlineStr">
        <is>
          <t>03 May</t>
        </is>
      </c>
    </row>
    <row r="132">
      <c r="A132" s="41" t="n">
        <v>46146</v>
      </c>
      <c r="B132" s="101">
        <f>IFERROR(IF(INDEX(Polymarket!$B$25:$B$303,MATCH($A132,Polymarket!$A$25:$A$303,0))=0,"",INDEX(Polymarket!$B$25:$B$303,MATCH($A132,Polymarket!$A$25:$A$303,0))),"")</f>
        <v/>
      </c>
      <c r="C132" s="101">
        <f>IFERROR(IF(INDEX(Kalshi!$D$31:$D$485,MATCH($A132,Kalshi!$A$31:$A$485,0))=0,"",INDEX(Kalshi!$D$31:$D$485,MATCH($A132,Kalshi!$A$31:$A$485,0))),"")</f>
        <v/>
      </c>
      <c r="D132" s="31">
        <f>IF(AND(ISNUMBER(B132),ISNUMBER(C132)),B132-C132,"")</f>
        <v/>
      </c>
      <c r="E132" s="29">
        <f>IF(ISNUMBER(D132),ABS(D132),"")</f>
        <v/>
      </c>
      <c r="F132" s="101">
        <f>IFERROR(IF(INDEX(Polymarket!$C$25:$C$303,MATCH($A132,Polymarket!$A$25:$A$303,0))=0,"",INDEX(Polymarket!$C$25:$C$303,MATCH($A132,Polymarket!$A$25:$A$303,0))),"")</f>
        <v/>
      </c>
      <c r="G132" s="101">
        <f>IFERROR(IF(INDEX(Kalshi!$G$31:$G$485,MATCH($A132,Kalshi!$A$31:$A$485,0))=0,"",INDEX(Kalshi!$G$31:$G$485,MATCH($A132,Kalshi!$A$31:$A$485,0))),"")</f>
        <v/>
      </c>
      <c r="H132" s="30">
        <f>IF(AND(ISNUMBER(B132),ISNUMBER(C132)),MIN(B132,C132),"")</f>
        <v/>
      </c>
      <c r="I132" s="30">
        <f>IF(AND(ISNUMBER(F132),ISNUMBER(G132)),MIN(F132,G132),"")</f>
        <v/>
      </c>
      <c r="J132" s="29">
        <f>IF(AND(ISNUMBER(H132),ISNUMBER(I132)),H132+I132,"")</f>
        <v/>
      </c>
      <c r="K132" s="28" t="n">
        <v>0.5</v>
      </c>
      <c r="L132" s="38" t="inlineStr">
        <is>
          <t>04 May</t>
        </is>
      </c>
    </row>
    <row r="133">
      <c r="A133" s="39" t="n">
        <v>46147</v>
      </c>
      <c r="B133" s="100">
        <f>IFERROR(IF(INDEX(Polymarket!$B$25:$B$303,MATCH($A133,Polymarket!$A$25:$A$303,0))=0,"",INDEX(Polymarket!$B$25:$B$303,MATCH($A133,Polymarket!$A$25:$A$303,0))),"")</f>
        <v/>
      </c>
      <c r="C133" s="100">
        <f>IFERROR(IF(INDEX(Kalshi!$D$31:$D$485,MATCH($A133,Kalshi!$A$31:$A$485,0))=0,"",INDEX(Kalshi!$D$31:$D$485,MATCH($A133,Kalshi!$A$31:$A$485,0))),"")</f>
        <v/>
      </c>
      <c r="D133" s="18">
        <f>IF(AND(ISNUMBER(B133),ISNUMBER(C133)),B133-C133,"")</f>
        <v/>
      </c>
      <c r="E133" s="17">
        <f>IF(ISNUMBER(D133),ABS(D133),"")</f>
        <v/>
      </c>
      <c r="F133" s="100">
        <f>IFERROR(IF(INDEX(Polymarket!$C$25:$C$303,MATCH($A133,Polymarket!$A$25:$A$303,0))=0,"",INDEX(Polymarket!$C$25:$C$303,MATCH($A133,Polymarket!$A$25:$A$303,0))),"")</f>
        <v/>
      </c>
      <c r="G133" s="100">
        <f>IFERROR(IF(INDEX(Kalshi!$G$31:$G$485,MATCH($A133,Kalshi!$A$31:$A$485,0))=0,"",INDEX(Kalshi!$G$31:$G$485,MATCH($A133,Kalshi!$A$31:$A$485,0))),"")</f>
        <v/>
      </c>
      <c r="H133" s="20">
        <f>IF(AND(ISNUMBER(B133),ISNUMBER(C133)),MIN(B133,C133),"")</f>
        <v/>
      </c>
      <c r="I133" s="20">
        <f>IF(AND(ISNUMBER(F133),ISNUMBER(G133)),MIN(F133,G133),"")</f>
        <v/>
      </c>
      <c r="J133" s="17">
        <f>IF(AND(ISNUMBER(H133),ISNUMBER(I133)),H133+I133,"")</f>
        <v/>
      </c>
      <c r="K133" s="16" t="n">
        <v>0.5</v>
      </c>
      <c r="L133" s="26" t="inlineStr">
        <is>
          <t>05 May</t>
        </is>
      </c>
    </row>
    <row r="134">
      <c r="A134" s="41" t="n">
        <v>46148</v>
      </c>
      <c r="B134" s="101">
        <f>IFERROR(IF(INDEX(Polymarket!$B$25:$B$303,MATCH($A134,Polymarket!$A$25:$A$303,0))=0,"",INDEX(Polymarket!$B$25:$B$303,MATCH($A134,Polymarket!$A$25:$A$303,0))),"")</f>
        <v/>
      </c>
      <c r="C134" s="101">
        <f>IFERROR(IF(INDEX(Kalshi!$D$31:$D$485,MATCH($A134,Kalshi!$A$31:$A$485,0))=0,"",INDEX(Kalshi!$D$31:$D$485,MATCH($A134,Kalshi!$A$31:$A$485,0))),"")</f>
        <v/>
      </c>
      <c r="D134" s="31">
        <f>IF(AND(ISNUMBER(B134),ISNUMBER(C134)),B134-C134,"")</f>
        <v/>
      </c>
      <c r="E134" s="29">
        <f>IF(ISNUMBER(D134),ABS(D134),"")</f>
        <v/>
      </c>
      <c r="F134" s="101">
        <f>IFERROR(IF(INDEX(Polymarket!$C$25:$C$303,MATCH($A134,Polymarket!$A$25:$A$303,0))=0,"",INDEX(Polymarket!$C$25:$C$303,MATCH($A134,Polymarket!$A$25:$A$303,0))),"")</f>
        <v/>
      </c>
      <c r="G134" s="101">
        <f>IFERROR(IF(INDEX(Kalshi!$G$31:$G$485,MATCH($A134,Kalshi!$A$31:$A$485,0))=0,"",INDEX(Kalshi!$G$31:$G$485,MATCH($A134,Kalshi!$A$31:$A$485,0))),"")</f>
        <v/>
      </c>
      <c r="H134" s="30">
        <f>IF(AND(ISNUMBER(B134),ISNUMBER(C134)),MIN(B134,C134),"")</f>
        <v/>
      </c>
      <c r="I134" s="30">
        <f>IF(AND(ISNUMBER(F134),ISNUMBER(G134)),MIN(F134,G134),"")</f>
        <v/>
      </c>
      <c r="J134" s="29">
        <f>IF(AND(ISNUMBER(H134),ISNUMBER(I134)),H134+I134,"")</f>
        <v/>
      </c>
      <c r="K134" s="28" t="n">
        <v>0.5</v>
      </c>
      <c r="L134" s="38" t="inlineStr">
        <is>
          <t>06 May</t>
        </is>
      </c>
    </row>
    <row r="135">
      <c r="A135" s="39" t="n">
        <v>46149</v>
      </c>
      <c r="B135" s="100">
        <f>IFERROR(IF(INDEX(Polymarket!$B$25:$B$303,MATCH($A135,Polymarket!$A$25:$A$303,0))=0,"",INDEX(Polymarket!$B$25:$B$303,MATCH($A135,Polymarket!$A$25:$A$303,0))),"")</f>
        <v/>
      </c>
      <c r="C135" s="100">
        <f>IFERROR(IF(INDEX(Kalshi!$D$31:$D$485,MATCH($A135,Kalshi!$A$31:$A$485,0))=0,"",INDEX(Kalshi!$D$31:$D$485,MATCH($A135,Kalshi!$A$31:$A$485,0))),"")</f>
        <v/>
      </c>
      <c r="D135" s="18">
        <f>IF(AND(ISNUMBER(B135),ISNUMBER(C135)),B135-C135,"")</f>
        <v/>
      </c>
      <c r="E135" s="17">
        <f>IF(ISNUMBER(D135),ABS(D135),"")</f>
        <v/>
      </c>
      <c r="F135" s="100">
        <f>IFERROR(IF(INDEX(Polymarket!$C$25:$C$303,MATCH($A135,Polymarket!$A$25:$A$303,0))=0,"",INDEX(Polymarket!$C$25:$C$303,MATCH($A135,Polymarket!$A$25:$A$303,0))),"")</f>
        <v/>
      </c>
      <c r="G135" s="100">
        <f>IFERROR(IF(INDEX(Kalshi!$G$31:$G$485,MATCH($A135,Kalshi!$A$31:$A$485,0))=0,"",INDEX(Kalshi!$G$31:$G$485,MATCH($A135,Kalshi!$A$31:$A$485,0))),"")</f>
        <v/>
      </c>
      <c r="H135" s="20">
        <f>IF(AND(ISNUMBER(B135),ISNUMBER(C135)),MIN(B135,C135),"")</f>
        <v/>
      </c>
      <c r="I135" s="20">
        <f>IF(AND(ISNUMBER(F135),ISNUMBER(G135)),MIN(F135,G135),"")</f>
        <v/>
      </c>
      <c r="J135" s="17">
        <f>IF(AND(ISNUMBER(H135),ISNUMBER(I135)),H135+I135,"")</f>
        <v/>
      </c>
      <c r="K135" s="16" t="n">
        <v>0.5</v>
      </c>
      <c r="L135" s="26" t="inlineStr">
        <is>
          <t>07 May</t>
        </is>
      </c>
    </row>
    <row r="136">
      <c r="A136" s="41" t="n">
        <v>46150</v>
      </c>
      <c r="B136" s="101">
        <f>IFERROR(IF(INDEX(Polymarket!$B$25:$B$303,MATCH($A136,Polymarket!$A$25:$A$303,0))=0,"",INDEX(Polymarket!$B$25:$B$303,MATCH($A136,Polymarket!$A$25:$A$303,0))),"")</f>
        <v/>
      </c>
      <c r="C136" s="101">
        <f>IFERROR(IF(INDEX(Kalshi!$D$31:$D$485,MATCH($A136,Kalshi!$A$31:$A$485,0))=0,"",INDEX(Kalshi!$D$31:$D$485,MATCH($A136,Kalshi!$A$31:$A$485,0))),"")</f>
        <v/>
      </c>
      <c r="D136" s="31">
        <f>IF(AND(ISNUMBER(B136),ISNUMBER(C136)),B136-C136,"")</f>
        <v/>
      </c>
      <c r="E136" s="29">
        <f>IF(ISNUMBER(D136),ABS(D136),"")</f>
        <v/>
      </c>
      <c r="F136" s="101">
        <f>IFERROR(IF(INDEX(Polymarket!$C$25:$C$303,MATCH($A136,Polymarket!$A$25:$A$303,0))=0,"",INDEX(Polymarket!$C$25:$C$303,MATCH($A136,Polymarket!$A$25:$A$303,0))),"")</f>
        <v/>
      </c>
      <c r="G136" s="101">
        <f>IFERROR(IF(INDEX(Kalshi!$G$31:$G$485,MATCH($A136,Kalshi!$A$31:$A$485,0))=0,"",INDEX(Kalshi!$G$31:$G$485,MATCH($A136,Kalshi!$A$31:$A$485,0))),"")</f>
        <v/>
      </c>
      <c r="H136" s="30">
        <f>IF(AND(ISNUMBER(B136),ISNUMBER(C136)),MIN(B136,C136),"")</f>
        <v/>
      </c>
      <c r="I136" s="30">
        <f>IF(AND(ISNUMBER(F136),ISNUMBER(G136)),MIN(F136,G136),"")</f>
        <v/>
      </c>
      <c r="J136" s="29">
        <f>IF(AND(ISNUMBER(H136),ISNUMBER(I136)),H136+I136,"")</f>
        <v/>
      </c>
      <c r="K136" s="28" t="n">
        <v>0.5</v>
      </c>
      <c r="L136" s="38" t="inlineStr">
        <is>
          <t>08 May</t>
        </is>
      </c>
    </row>
    <row r="137">
      <c r="A137" s="39" t="n">
        <v>46151</v>
      </c>
      <c r="B137" s="100">
        <f>IFERROR(IF(INDEX(Polymarket!$B$25:$B$303,MATCH($A137,Polymarket!$A$25:$A$303,0))=0,"",INDEX(Polymarket!$B$25:$B$303,MATCH($A137,Polymarket!$A$25:$A$303,0))),"")</f>
        <v/>
      </c>
      <c r="C137" s="100">
        <f>IFERROR(IF(INDEX(Kalshi!$D$31:$D$485,MATCH($A137,Kalshi!$A$31:$A$485,0))=0,"",INDEX(Kalshi!$D$31:$D$485,MATCH($A137,Kalshi!$A$31:$A$485,0))),"")</f>
        <v/>
      </c>
      <c r="D137" s="18">
        <f>IF(AND(ISNUMBER(B137),ISNUMBER(C137)),B137-C137,"")</f>
        <v/>
      </c>
      <c r="E137" s="17">
        <f>IF(ISNUMBER(D137),ABS(D137),"")</f>
        <v/>
      </c>
      <c r="F137" s="100">
        <f>IFERROR(IF(INDEX(Polymarket!$C$25:$C$303,MATCH($A137,Polymarket!$A$25:$A$303,0))=0,"",INDEX(Polymarket!$C$25:$C$303,MATCH($A137,Polymarket!$A$25:$A$303,0))),"")</f>
        <v/>
      </c>
      <c r="G137" s="100">
        <f>IFERROR(IF(INDEX(Kalshi!$G$31:$G$485,MATCH($A137,Kalshi!$A$31:$A$485,0))=0,"",INDEX(Kalshi!$G$31:$G$485,MATCH($A137,Kalshi!$A$31:$A$485,0))),"")</f>
        <v/>
      </c>
      <c r="H137" s="20">
        <f>IF(AND(ISNUMBER(B137),ISNUMBER(C137)),MIN(B137,C137),"")</f>
        <v/>
      </c>
      <c r="I137" s="20">
        <f>IF(AND(ISNUMBER(F137),ISNUMBER(G137)),MIN(F137,G137),"")</f>
        <v/>
      </c>
      <c r="J137" s="17">
        <f>IF(AND(ISNUMBER(H137),ISNUMBER(I137)),H137+I137,"")</f>
        <v/>
      </c>
      <c r="K137" s="16" t="n">
        <v>0.5</v>
      </c>
      <c r="L137" s="26" t="inlineStr">
        <is>
          <t>09 May</t>
        </is>
      </c>
    </row>
    <row r="138">
      <c r="A138" s="41" t="n">
        <v>46152</v>
      </c>
      <c r="B138" s="101">
        <f>IFERROR(IF(INDEX(Polymarket!$B$25:$B$303,MATCH($A138,Polymarket!$A$25:$A$303,0))=0,"",INDEX(Polymarket!$B$25:$B$303,MATCH($A138,Polymarket!$A$25:$A$303,0))),"")</f>
        <v/>
      </c>
      <c r="C138" s="101">
        <f>IFERROR(IF(INDEX(Kalshi!$D$31:$D$485,MATCH($A138,Kalshi!$A$31:$A$485,0))=0,"",INDEX(Kalshi!$D$31:$D$485,MATCH($A138,Kalshi!$A$31:$A$485,0))),"")</f>
        <v/>
      </c>
      <c r="D138" s="31">
        <f>IF(AND(ISNUMBER(B138),ISNUMBER(C138)),B138-C138,"")</f>
        <v/>
      </c>
      <c r="E138" s="29">
        <f>IF(ISNUMBER(D138),ABS(D138),"")</f>
        <v/>
      </c>
      <c r="F138" s="101">
        <f>IFERROR(IF(INDEX(Polymarket!$C$25:$C$303,MATCH($A138,Polymarket!$A$25:$A$303,0))=0,"",INDEX(Polymarket!$C$25:$C$303,MATCH($A138,Polymarket!$A$25:$A$303,0))),"")</f>
        <v/>
      </c>
      <c r="G138" s="101">
        <f>IFERROR(IF(INDEX(Kalshi!$G$31:$G$485,MATCH($A138,Kalshi!$A$31:$A$485,0))=0,"",INDEX(Kalshi!$G$31:$G$485,MATCH($A138,Kalshi!$A$31:$A$485,0))),"")</f>
        <v/>
      </c>
      <c r="H138" s="30">
        <f>IF(AND(ISNUMBER(B138),ISNUMBER(C138)),MIN(B138,C138),"")</f>
        <v/>
      </c>
      <c r="I138" s="30">
        <f>IF(AND(ISNUMBER(F138),ISNUMBER(G138)),MIN(F138,G138),"")</f>
        <v/>
      </c>
      <c r="J138" s="29">
        <f>IF(AND(ISNUMBER(H138),ISNUMBER(I138)),H138+I138,"")</f>
        <v/>
      </c>
      <c r="K138" s="28" t="n">
        <v>0.5</v>
      </c>
      <c r="L138" s="38" t="inlineStr">
        <is>
          <t>10 May</t>
        </is>
      </c>
    </row>
    <row r="139">
      <c r="A139" s="39" t="n">
        <v>46153</v>
      </c>
      <c r="B139" s="100">
        <f>IFERROR(IF(INDEX(Polymarket!$B$25:$B$303,MATCH($A139,Polymarket!$A$25:$A$303,0))=0,"",INDEX(Polymarket!$B$25:$B$303,MATCH($A139,Polymarket!$A$25:$A$303,0))),"")</f>
        <v/>
      </c>
      <c r="C139" s="100">
        <f>IFERROR(IF(INDEX(Kalshi!$D$31:$D$485,MATCH($A139,Kalshi!$A$31:$A$485,0))=0,"",INDEX(Kalshi!$D$31:$D$485,MATCH($A139,Kalshi!$A$31:$A$485,0))),"")</f>
        <v/>
      </c>
      <c r="D139" s="18">
        <f>IF(AND(ISNUMBER(B139),ISNUMBER(C139)),B139-C139,"")</f>
        <v/>
      </c>
      <c r="E139" s="17">
        <f>IF(ISNUMBER(D139),ABS(D139),"")</f>
        <v/>
      </c>
      <c r="F139" s="100">
        <f>IFERROR(IF(INDEX(Polymarket!$C$25:$C$303,MATCH($A139,Polymarket!$A$25:$A$303,0))=0,"",INDEX(Polymarket!$C$25:$C$303,MATCH($A139,Polymarket!$A$25:$A$303,0))),"")</f>
        <v/>
      </c>
      <c r="G139" s="100">
        <f>IFERROR(IF(INDEX(Kalshi!$G$31:$G$485,MATCH($A139,Kalshi!$A$31:$A$485,0))=0,"",INDEX(Kalshi!$G$31:$G$485,MATCH($A139,Kalshi!$A$31:$A$485,0))),"")</f>
        <v/>
      </c>
      <c r="H139" s="20">
        <f>IF(AND(ISNUMBER(B139),ISNUMBER(C139)),MIN(B139,C139),"")</f>
        <v/>
      </c>
      <c r="I139" s="20">
        <f>IF(AND(ISNUMBER(F139),ISNUMBER(G139)),MIN(F139,G139),"")</f>
        <v/>
      </c>
      <c r="J139" s="17">
        <f>IF(AND(ISNUMBER(H139),ISNUMBER(I139)),H139+I139,"")</f>
        <v/>
      </c>
      <c r="K139" s="16" t="n">
        <v>0.5</v>
      </c>
      <c r="L139" s="26" t="inlineStr">
        <is>
          <t>11 May</t>
        </is>
      </c>
    </row>
    <row r="140">
      <c r="A140" s="41" t="n">
        <v>46154</v>
      </c>
      <c r="B140" s="101">
        <f>IFERROR(IF(INDEX(Polymarket!$B$25:$B$303,MATCH($A140,Polymarket!$A$25:$A$303,0))=0,"",INDEX(Polymarket!$B$25:$B$303,MATCH($A140,Polymarket!$A$25:$A$303,0))),"")</f>
        <v/>
      </c>
      <c r="C140" s="101">
        <f>IFERROR(IF(INDEX(Kalshi!$D$31:$D$485,MATCH($A140,Kalshi!$A$31:$A$485,0))=0,"",INDEX(Kalshi!$D$31:$D$485,MATCH($A140,Kalshi!$A$31:$A$485,0))),"")</f>
        <v/>
      </c>
      <c r="D140" s="31">
        <f>IF(AND(ISNUMBER(B140),ISNUMBER(C140)),B140-C140,"")</f>
        <v/>
      </c>
      <c r="E140" s="29">
        <f>IF(ISNUMBER(D140),ABS(D140),"")</f>
        <v/>
      </c>
      <c r="F140" s="101">
        <f>IFERROR(IF(INDEX(Polymarket!$C$25:$C$303,MATCH($A140,Polymarket!$A$25:$A$303,0))=0,"",INDEX(Polymarket!$C$25:$C$303,MATCH($A140,Polymarket!$A$25:$A$303,0))),"")</f>
        <v/>
      </c>
      <c r="G140" s="101">
        <f>IFERROR(IF(INDEX(Kalshi!$G$31:$G$485,MATCH($A140,Kalshi!$A$31:$A$485,0))=0,"",INDEX(Kalshi!$G$31:$G$485,MATCH($A140,Kalshi!$A$31:$A$485,0))),"")</f>
        <v/>
      </c>
      <c r="H140" s="30">
        <f>IF(AND(ISNUMBER(B140),ISNUMBER(C140)),MIN(B140,C140),"")</f>
        <v/>
      </c>
      <c r="I140" s="30">
        <f>IF(AND(ISNUMBER(F140),ISNUMBER(G140)),MIN(F140,G140),"")</f>
        <v/>
      </c>
      <c r="J140" s="29">
        <f>IF(AND(ISNUMBER(H140),ISNUMBER(I140)),H140+I140,"")</f>
        <v/>
      </c>
      <c r="K140" s="28" t="n">
        <v>0.5</v>
      </c>
      <c r="L140" s="38" t="inlineStr">
        <is>
          <t>12 May</t>
        </is>
      </c>
    </row>
    <row r="141">
      <c r="A141" s="39" t="n">
        <v>46155</v>
      </c>
      <c r="B141" s="100">
        <f>IFERROR(IF(INDEX(Polymarket!$B$25:$B$303,MATCH($A141,Polymarket!$A$25:$A$303,0))=0,"",INDEX(Polymarket!$B$25:$B$303,MATCH($A141,Polymarket!$A$25:$A$303,0))),"")</f>
        <v/>
      </c>
      <c r="C141" s="100">
        <f>IFERROR(IF(INDEX(Kalshi!$D$31:$D$485,MATCH($A141,Kalshi!$A$31:$A$485,0))=0,"",INDEX(Kalshi!$D$31:$D$485,MATCH($A141,Kalshi!$A$31:$A$485,0))),"")</f>
        <v/>
      </c>
      <c r="D141" s="18">
        <f>IF(AND(ISNUMBER(B141),ISNUMBER(C141)),B141-C141,"")</f>
        <v/>
      </c>
      <c r="E141" s="17">
        <f>IF(ISNUMBER(D141),ABS(D141),"")</f>
        <v/>
      </c>
      <c r="F141" s="100">
        <f>IFERROR(IF(INDEX(Polymarket!$C$25:$C$303,MATCH($A141,Polymarket!$A$25:$A$303,0))=0,"",INDEX(Polymarket!$C$25:$C$303,MATCH($A141,Polymarket!$A$25:$A$303,0))),"")</f>
        <v/>
      </c>
      <c r="G141" s="100">
        <f>IFERROR(IF(INDEX(Kalshi!$G$31:$G$485,MATCH($A141,Kalshi!$A$31:$A$485,0))=0,"",INDEX(Kalshi!$G$31:$G$485,MATCH($A141,Kalshi!$A$31:$A$485,0))),"")</f>
        <v/>
      </c>
      <c r="H141" s="20">
        <f>IF(AND(ISNUMBER(B141),ISNUMBER(C141)),MIN(B141,C141),"")</f>
        <v/>
      </c>
      <c r="I141" s="20">
        <f>IF(AND(ISNUMBER(F141),ISNUMBER(G141)),MIN(F141,G141),"")</f>
        <v/>
      </c>
      <c r="J141" s="17">
        <f>IF(AND(ISNUMBER(H141),ISNUMBER(I141)),H141+I141,"")</f>
        <v/>
      </c>
      <c r="K141" s="16" t="n">
        <v>0.5</v>
      </c>
      <c r="L141" s="26" t="inlineStr">
        <is>
          <t>13 May</t>
        </is>
      </c>
    </row>
    <row r="142">
      <c r="A142" s="41" t="n">
        <v>46156</v>
      </c>
      <c r="B142" s="101">
        <f>IFERROR(IF(INDEX(Polymarket!$B$25:$B$303,MATCH($A142,Polymarket!$A$25:$A$303,0))=0,"",INDEX(Polymarket!$B$25:$B$303,MATCH($A142,Polymarket!$A$25:$A$303,0))),"")</f>
        <v/>
      </c>
      <c r="C142" s="101">
        <f>IFERROR(IF(INDEX(Kalshi!$D$31:$D$485,MATCH($A142,Kalshi!$A$31:$A$485,0))=0,"",INDEX(Kalshi!$D$31:$D$485,MATCH($A142,Kalshi!$A$31:$A$485,0))),"")</f>
        <v/>
      </c>
      <c r="D142" s="31">
        <f>IF(AND(ISNUMBER(B142),ISNUMBER(C142)),B142-C142,"")</f>
        <v/>
      </c>
      <c r="E142" s="29">
        <f>IF(ISNUMBER(D142),ABS(D142),"")</f>
        <v/>
      </c>
      <c r="F142" s="101">
        <f>IFERROR(IF(INDEX(Polymarket!$C$25:$C$303,MATCH($A142,Polymarket!$A$25:$A$303,0))=0,"",INDEX(Polymarket!$C$25:$C$303,MATCH($A142,Polymarket!$A$25:$A$303,0))),"")</f>
        <v/>
      </c>
      <c r="G142" s="101">
        <f>IFERROR(IF(INDEX(Kalshi!$G$31:$G$485,MATCH($A142,Kalshi!$A$31:$A$485,0))=0,"",INDEX(Kalshi!$G$31:$G$485,MATCH($A142,Kalshi!$A$31:$A$485,0))),"")</f>
        <v/>
      </c>
      <c r="H142" s="30">
        <f>IF(AND(ISNUMBER(B142),ISNUMBER(C142)),MIN(B142,C142),"")</f>
        <v/>
      </c>
      <c r="I142" s="30">
        <f>IF(AND(ISNUMBER(F142),ISNUMBER(G142)),MIN(F142,G142),"")</f>
        <v/>
      </c>
      <c r="J142" s="29">
        <f>IF(AND(ISNUMBER(H142),ISNUMBER(I142)),H142+I142,"")</f>
        <v/>
      </c>
      <c r="K142" s="28" t="n">
        <v>0.5</v>
      </c>
      <c r="L142" s="38" t="inlineStr">
        <is>
          <t>14 May</t>
        </is>
      </c>
    </row>
    <row r="143">
      <c r="A143" s="39" t="n">
        <v>46157</v>
      </c>
      <c r="B143" s="100">
        <f>IFERROR(IF(INDEX(Polymarket!$B$25:$B$303,MATCH($A143,Polymarket!$A$25:$A$303,0))=0,"",INDEX(Polymarket!$B$25:$B$303,MATCH($A143,Polymarket!$A$25:$A$303,0))),"")</f>
        <v/>
      </c>
      <c r="C143" s="100">
        <f>IFERROR(IF(INDEX(Kalshi!$D$31:$D$485,MATCH($A143,Kalshi!$A$31:$A$485,0))=0,"",INDEX(Kalshi!$D$31:$D$485,MATCH($A143,Kalshi!$A$31:$A$485,0))),"")</f>
        <v/>
      </c>
      <c r="D143" s="18">
        <f>IF(AND(ISNUMBER(B143),ISNUMBER(C143)),B143-C143,"")</f>
        <v/>
      </c>
      <c r="E143" s="17">
        <f>IF(ISNUMBER(D143),ABS(D143),"")</f>
        <v/>
      </c>
      <c r="F143" s="100">
        <f>IFERROR(IF(INDEX(Polymarket!$C$25:$C$303,MATCH($A143,Polymarket!$A$25:$A$303,0))=0,"",INDEX(Polymarket!$C$25:$C$303,MATCH($A143,Polymarket!$A$25:$A$303,0))),"")</f>
        <v/>
      </c>
      <c r="G143" s="100">
        <f>IFERROR(IF(INDEX(Kalshi!$G$31:$G$485,MATCH($A143,Kalshi!$A$31:$A$485,0))=0,"",INDEX(Kalshi!$G$31:$G$485,MATCH($A143,Kalshi!$A$31:$A$485,0))),"")</f>
        <v/>
      </c>
      <c r="H143" s="20">
        <f>IF(AND(ISNUMBER(B143),ISNUMBER(C143)),MIN(B143,C143),"")</f>
        <v/>
      </c>
      <c r="I143" s="20">
        <f>IF(AND(ISNUMBER(F143),ISNUMBER(G143)),MIN(F143,G143),"")</f>
        <v/>
      </c>
      <c r="J143" s="17">
        <f>IF(AND(ISNUMBER(H143),ISNUMBER(I143)),H143+I143,"")</f>
        <v/>
      </c>
      <c r="K143" s="16" t="n">
        <v>0.5</v>
      </c>
      <c r="L143" s="26" t="inlineStr">
        <is>
          <t>15 May</t>
        </is>
      </c>
    </row>
    <row r="144">
      <c r="A144" s="41" t="n">
        <v>46158</v>
      </c>
      <c r="B144" s="101">
        <f>IFERROR(IF(INDEX(Polymarket!$B$25:$B$303,MATCH($A144,Polymarket!$A$25:$A$303,0))=0,"",INDEX(Polymarket!$B$25:$B$303,MATCH($A144,Polymarket!$A$25:$A$303,0))),"")</f>
        <v/>
      </c>
      <c r="C144" s="101">
        <f>IFERROR(IF(INDEX(Kalshi!$D$31:$D$485,MATCH($A144,Kalshi!$A$31:$A$485,0))=0,"",INDEX(Kalshi!$D$31:$D$485,MATCH($A144,Kalshi!$A$31:$A$485,0))),"")</f>
        <v/>
      </c>
      <c r="D144" s="31">
        <f>IF(AND(ISNUMBER(B144),ISNUMBER(C144)),B144-C144,"")</f>
        <v/>
      </c>
      <c r="E144" s="29">
        <f>IF(ISNUMBER(D144),ABS(D144),"")</f>
        <v/>
      </c>
      <c r="F144" s="101">
        <f>IFERROR(IF(INDEX(Polymarket!$C$25:$C$303,MATCH($A144,Polymarket!$A$25:$A$303,0))=0,"",INDEX(Polymarket!$C$25:$C$303,MATCH($A144,Polymarket!$A$25:$A$303,0))),"")</f>
        <v/>
      </c>
      <c r="G144" s="101">
        <f>IFERROR(IF(INDEX(Kalshi!$G$31:$G$485,MATCH($A144,Kalshi!$A$31:$A$485,0))=0,"",INDEX(Kalshi!$G$31:$G$485,MATCH($A144,Kalshi!$A$31:$A$485,0))),"")</f>
        <v/>
      </c>
      <c r="H144" s="30">
        <f>IF(AND(ISNUMBER(B144),ISNUMBER(C144)),MIN(B144,C144),"")</f>
        <v/>
      </c>
      <c r="I144" s="30">
        <f>IF(AND(ISNUMBER(F144),ISNUMBER(G144)),MIN(F144,G144),"")</f>
        <v/>
      </c>
      <c r="J144" s="29">
        <f>IF(AND(ISNUMBER(H144),ISNUMBER(I144)),H144+I144,"")</f>
        <v/>
      </c>
      <c r="K144" s="28" t="n">
        <v>0.5</v>
      </c>
      <c r="L144" s="38" t="inlineStr">
        <is>
          <t>16 May</t>
        </is>
      </c>
    </row>
    <row r="145">
      <c r="A145" s="39" t="n">
        <v>46159</v>
      </c>
      <c r="B145" s="100">
        <f>IFERROR(IF(INDEX(Polymarket!$B$25:$B$303,MATCH($A145,Polymarket!$A$25:$A$303,0))=0,"",INDEX(Polymarket!$B$25:$B$303,MATCH($A145,Polymarket!$A$25:$A$303,0))),"")</f>
        <v/>
      </c>
      <c r="C145" s="100">
        <f>IFERROR(IF(INDEX(Kalshi!$D$31:$D$485,MATCH($A145,Kalshi!$A$31:$A$485,0))=0,"",INDEX(Kalshi!$D$31:$D$485,MATCH($A145,Kalshi!$A$31:$A$485,0))),"")</f>
        <v/>
      </c>
      <c r="D145" s="18">
        <f>IF(AND(ISNUMBER(B145),ISNUMBER(C145)),B145-C145,"")</f>
        <v/>
      </c>
      <c r="E145" s="17">
        <f>IF(ISNUMBER(D145),ABS(D145),"")</f>
        <v/>
      </c>
      <c r="F145" s="100">
        <f>IFERROR(IF(INDEX(Polymarket!$C$25:$C$303,MATCH($A145,Polymarket!$A$25:$A$303,0))=0,"",INDEX(Polymarket!$C$25:$C$303,MATCH($A145,Polymarket!$A$25:$A$303,0))),"")</f>
        <v/>
      </c>
      <c r="G145" s="100">
        <f>IFERROR(IF(INDEX(Kalshi!$G$31:$G$485,MATCH($A145,Kalshi!$A$31:$A$485,0))=0,"",INDEX(Kalshi!$G$31:$G$485,MATCH($A145,Kalshi!$A$31:$A$485,0))),"")</f>
        <v/>
      </c>
      <c r="H145" s="20">
        <f>IF(AND(ISNUMBER(B145),ISNUMBER(C145)),MIN(B145,C145),"")</f>
        <v/>
      </c>
      <c r="I145" s="20">
        <f>IF(AND(ISNUMBER(F145),ISNUMBER(G145)),MIN(F145,G145),"")</f>
        <v/>
      </c>
      <c r="J145" s="17">
        <f>IF(AND(ISNUMBER(H145),ISNUMBER(I145)),H145+I145,"")</f>
        <v/>
      </c>
      <c r="K145" s="16" t="n">
        <v>0.5</v>
      </c>
      <c r="L145" s="26" t="inlineStr">
        <is>
          <t>17 May</t>
        </is>
      </c>
    </row>
    <row r="146">
      <c r="A146" s="41" t="n">
        <v>46160</v>
      </c>
      <c r="B146" s="101">
        <f>IFERROR(IF(INDEX(Polymarket!$B$25:$B$303,MATCH($A146,Polymarket!$A$25:$A$303,0))=0,"",INDEX(Polymarket!$B$25:$B$303,MATCH($A146,Polymarket!$A$25:$A$303,0))),"")</f>
        <v/>
      </c>
      <c r="C146" s="101">
        <f>IFERROR(IF(INDEX(Kalshi!$D$31:$D$485,MATCH($A146,Kalshi!$A$31:$A$485,0))=0,"",INDEX(Kalshi!$D$31:$D$485,MATCH($A146,Kalshi!$A$31:$A$485,0))),"")</f>
        <v/>
      </c>
      <c r="D146" s="31">
        <f>IF(AND(ISNUMBER(B146),ISNUMBER(C146)),B146-C146,"")</f>
        <v/>
      </c>
      <c r="E146" s="29">
        <f>IF(ISNUMBER(D146),ABS(D146),"")</f>
        <v/>
      </c>
      <c r="F146" s="101">
        <f>IFERROR(IF(INDEX(Polymarket!$C$25:$C$303,MATCH($A146,Polymarket!$A$25:$A$303,0))=0,"",INDEX(Polymarket!$C$25:$C$303,MATCH($A146,Polymarket!$A$25:$A$303,0))),"")</f>
        <v/>
      </c>
      <c r="G146" s="101">
        <f>IFERROR(IF(INDEX(Kalshi!$G$31:$G$485,MATCH($A146,Kalshi!$A$31:$A$485,0))=0,"",INDEX(Kalshi!$G$31:$G$485,MATCH($A146,Kalshi!$A$31:$A$485,0))),"")</f>
        <v/>
      </c>
      <c r="H146" s="30">
        <f>IF(AND(ISNUMBER(B146),ISNUMBER(C146)),MIN(B146,C146),"")</f>
        <v/>
      </c>
      <c r="I146" s="30">
        <f>IF(AND(ISNUMBER(F146),ISNUMBER(G146)),MIN(F146,G146),"")</f>
        <v/>
      </c>
      <c r="J146" s="29">
        <f>IF(AND(ISNUMBER(H146),ISNUMBER(I146)),H146+I146,"")</f>
        <v/>
      </c>
      <c r="K146" s="28" t="n">
        <v>0.5</v>
      </c>
      <c r="L146" s="38" t="inlineStr">
        <is>
          <t>18 May</t>
        </is>
      </c>
    </row>
    <row r="147">
      <c r="A147" s="39" t="n">
        <v>46161</v>
      </c>
      <c r="B147" s="100">
        <f>IFERROR(IF(INDEX(Polymarket!$B$25:$B$303,MATCH($A147,Polymarket!$A$25:$A$303,0))=0,"",INDEX(Polymarket!$B$25:$B$303,MATCH($A147,Polymarket!$A$25:$A$303,0))),"")</f>
        <v/>
      </c>
      <c r="C147" s="100">
        <f>IFERROR(IF(INDEX(Kalshi!$D$31:$D$485,MATCH($A147,Kalshi!$A$31:$A$485,0))=0,"",INDEX(Kalshi!$D$31:$D$485,MATCH($A147,Kalshi!$A$31:$A$485,0))),"")</f>
        <v/>
      </c>
      <c r="D147" s="18">
        <f>IF(AND(ISNUMBER(B147),ISNUMBER(C147)),B147-C147,"")</f>
        <v/>
      </c>
      <c r="E147" s="17">
        <f>IF(ISNUMBER(D147),ABS(D147),"")</f>
        <v/>
      </c>
      <c r="F147" s="100">
        <f>IFERROR(IF(INDEX(Polymarket!$C$25:$C$303,MATCH($A147,Polymarket!$A$25:$A$303,0))=0,"",INDEX(Polymarket!$C$25:$C$303,MATCH($A147,Polymarket!$A$25:$A$303,0))),"")</f>
        <v/>
      </c>
      <c r="G147" s="100">
        <f>IFERROR(IF(INDEX(Kalshi!$G$31:$G$485,MATCH($A147,Kalshi!$A$31:$A$485,0))=0,"",INDEX(Kalshi!$G$31:$G$485,MATCH($A147,Kalshi!$A$31:$A$485,0))),"")</f>
        <v/>
      </c>
      <c r="H147" s="20">
        <f>IF(AND(ISNUMBER(B147),ISNUMBER(C147)),MIN(B147,C147),"")</f>
        <v/>
      </c>
      <c r="I147" s="20">
        <f>IF(AND(ISNUMBER(F147),ISNUMBER(G147)),MIN(F147,G147),"")</f>
        <v/>
      </c>
      <c r="J147" s="17">
        <f>IF(AND(ISNUMBER(H147),ISNUMBER(I147)),H147+I147,"")</f>
        <v/>
      </c>
      <c r="K147" s="16" t="n">
        <v>0.5</v>
      </c>
      <c r="L147" s="26" t="inlineStr">
        <is>
          <t>19 May</t>
        </is>
      </c>
    </row>
    <row r="148">
      <c r="A148" s="41" t="n">
        <v>46162</v>
      </c>
      <c r="B148" s="101">
        <f>IFERROR(IF(INDEX(Polymarket!$B$25:$B$303,MATCH($A148,Polymarket!$A$25:$A$303,0))=0,"",INDEX(Polymarket!$B$25:$B$303,MATCH($A148,Polymarket!$A$25:$A$303,0))),"")</f>
        <v/>
      </c>
      <c r="C148" s="101">
        <f>IFERROR(IF(INDEX(Kalshi!$D$31:$D$485,MATCH($A148,Kalshi!$A$31:$A$485,0))=0,"",INDEX(Kalshi!$D$31:$D$485,MATCH($A148,Kalshi!$A$31:$A$485,0))),"")</f>
        <v/>
      </c>
      <c r="D148" s="31">
        <f>IF(AND(ISNUMBER(B148),ISNUMBER(C148)),B148-C148,"")</f>
        <v/>
      </c>
      <c r="E148" s="29">
        <f>IF(ISNUMBER(D148),ABS(D148),"")</f>
        <v/>
      </c>
      <c r="F148" s="101">
        <f>IFERROR(IF(INDEX(Polymarket!$C$25:$C$303,MATCH($A148,Polymarket!$A$25:$A$303,0))=0,"",INDEX(Polymarket!$C$25:$C$303,MATCH($A148,Polymarket!$A$25:$A$303,0))),"")</f>
        <v/>
      </c>
      <c r="G148" s="101">
        <f>IFERROR(IF(INDEX(Kalshi!$G$31:$G$485,MATCH($A148,Kalshi!$A$31:$A$485,0))=0,"",INDEX(Kalshi!$G$31:$G$485,MATCH($A148,Kalshi!$A$31:$A$485,0))),"")</f>
        <v/>
      </c>
      <c r="H148" s="30">
        <f>IF(AND(ISNUMBER(B148),ISNUMBER(C148)),MIN(B148,C148),"")</f>
        <v/>
      </c>
      <c r="I148" s="30">
        <f>IF(AND(ISNUMBER(F148),ISNUMBER(G148)),MIN(F148,G148),"")</f>
        <v/>
      </c>
      <c r="J148" s="29">
        <f>IF(AND(ISNUMBER(H148),ISNUMBER(I148)),H148+I148,"")</f>
        <v/>
      </c>
      <c r="K148" s="28" t="n">
        <v>0.5</v>
      </c>
      <c r="L148" s="38" t="inlineStr">
        <is>
          <t>20 May</t>
        </is>
      </c>
    </row>
    <row r="149">
      <c r="A149" s="39" t="n">
        <v>46163</v>
      </c>
      <c r="B149" s="100">
        <f>IFERROR(IF(INDEX(Polymarket!$B$25:$B$303,MATCH($A149,Polymarket!$A$25:$A$303,0))=0,"",INDEX(Polymarket!$B$25:$B$303,MATCH($A149,Polymarket!$A$25:$A$303,0))),"")</f>
        <v/>
      </c>
      <c r="C149" s="100">
        <f>IFERROR(IF(INDEX(Kalshi!$D$31:$D$485,MATCH($A149,Kalshi!$A$31:$A$485,0))=0,"",INDEX(Kalshi!$D$31:$D$485,MATCH($A149,Kalshi!$A$31:$A$485,0))),"")</f>
        <v/>
      </c>
      <c r="D149" s="18">
        <f>IF(AND(ISNUMBER(B149),ISNUMBER(C149)),B149-C149,"")</f>
        <v/>
      </c>
      <c r="E149" s="17">
        <f>IF(ISNUMBER(D149),ABS(D149),"")</f>
        <v/>
      </c>
      <c r="F149" s="100">
        <f>IFERROR(IF(INDEX(Polymarket!$C$25:$C$303,MATCH($A149,Polymarket!$A$25:$A$303,0))=0,"",INDEX(Polymarket!$C$25:$C$303,MATCH($A149,Polymarket!$A$25:$A$303,0))),"")</f>
        <v/>
      </c>
      <c r="G149" s="100">
        <f>IFERROR(IF(INDEX(Kalshi!$G$31:$G$485,MATCH($A149,Kalshi!$A$31:$A$485,0))=0,"",INDEX(Kalshi!$G$31:$G$485,MATCH($A149,Kalshi!$A$31:$A$485,0))),"")</f>
        <v/>
      </c>
      <c r="H149" s="20">
        <f>IF(AND(ISNUMBER(B149),ISNUMBER(C149)),MIN(B149,C149),"")</f>
        <v/>
      </c>
      <c r="I149" s="20">
        <f>IF(AND(ISNUMBER(F149),ISNUMBER(G149)),MIN(F149,G149),"")</f>
        <v/>
      </c>
      <c r="J149" s="17">
        <f>IF(AND(ISNUMBER(H149),ISNUMBER(I149)),H149+I149,"")</f>
        <v/>
      </c>
      <c r="K149" s="16" t="n">
        <v>0.5</v>
      </c>
      <c r="L149" s="26" t="inlineStr">
        <is>
          <t>21 May</t>
        </is>
      </c>
    </row>
    <row r="150">
      <c r="A150" s="41" t="n">
        <v>46164</v>
      </c>
      <c r="B150" s="101">
        <f>IFERROR(IF(INDEX(Polymarket!$B$25:$B$303,MATCH($A150,Polymarket!$A$25:$A$303,0))=0,"",INDEX(Polymarket!$B$25:$B$303,MATCH($A150,Polymarket!$A$25:$A$303,0))),"")</f>
        <v/>
      </c>
      <c r="C150" s="101">
        <f>IFERROR(IF(INDEX(Kalshi!$D$31:$D$485,MATCH($A150,Kalshi!$A$31:$A$485,0))=0,"",INDEX(Kalshi!$D$31:$D$485,MATCH($A150,Kalshi!$A$31:$A$485,0))),"")</f>
        <v/>
      </c>
      <c r="D150" s="31">
        <f>IF(AND(ISNUMBER(B150),ISNUMBER(C150)),B150-C150,"")</f>
        <v/>
      </c>
      <c r="E150" s="29">
        <f>IF(ISNUMBER(D150),ABS(D150),"")</f>
        <v/>
      </c>
      <c r="F150" s="101">
        <f>IFERROR(IF(INDEX(Polymarket!$C$25:$C$303,MATCH($A150,Polymarket!$A$25:$A$303,0))=0,"",INDEX(Polymarket!$C$25:$C$303,MATCH($A150,Polymarket!$A$25:$A$303,0))),"")</f>
        <v/>
      </c>
      <c r="G150" s="101">
        <f>IFERROR(IF(INDEX(Kalshi!$G$31:$G$485,MATCH($A150,Kalshi!$A$31:$A$485,0))=0,"",INDEX(Kalshi!$G$31:$G$485,MATCH($A150,Kalshi!$A$31:$A$485,0))),"")</f>
        <v/>
      </c>
      <c r="H150" s="30">
        <f>IF(AND(ISNUMBER(B150),ISNUMBER(C150)),MIN(B150,C150),"")</f>
        <v/>
      </c>
      <c r="I150" s="30">
        <f>IF(AND(ISNUMBER(F150),ISNUMBER(G150)),MIN(F150,G150),"")</f>
        <v/>
      </c>
      <c r="J150" s="29">
        <f>IF(AND(ISNUMBER(H150),ISNUMBER(I150)),H150+I150,"")</f>
        <v/>
      </c>
      <c r="K150" s="28" t="n">
        <v>0.5</v>
      </c>
      <c r="L150" s="38" t="inlineStr">
        <is>
          <t>22 May</t>
        </is>
      </c>
    </row>
    <row r="151">
      <c r="A151" s="39" t="n">
        <v>46165</v>
      </c>
      <c r="B151" s="100">
        <f>IFERROR(IF(INDEX(Polymarket!$B$25:$B$303,MATCH($A151,Polymarket!$A$25:$A$303,0))=0,"",INDEX(Polymarket!$B$25:$B$303,MATCH($A151,Polymarket!$A$25:$A$303,0))),"")</f>
        <v/>
      </c>
      <c r="C151" s="100">
        <f>IFERROR(IF(INDEX(Kalshi!$D$31:$D$485,MATCH($A151,Kalshi!$A$31:$A$485,0))=0,"",INDEX(Kalshi!$D$31:$D$485,MATCH($A151,Kalshi!$A$31:$A$485,0))),"")</f>
        <v/>
      </c>
      <c r="D151" s="18">
        <f>IF(AND(ISNUMBER(B151),ISNUMBER(C151)),B151-C151,"")</f>
        <v/>
      </c>
      <c r="E151" s="17">
        <f>IF(ISNUMBER(D151),ABS(D151),"")</f>
        <v/>
      </c>
      <c r="F151" s="100">
        <f>IFERROR(IF(INDEX(Polymarket!$C$25:$C$303,MATCH($A151,Polymarket!$A$25:$A$303,0))=0,"",INDEX(Polymarket!$C$25:$C$303,MATCH($A151,Polymarket!$A$25:$A$303,0))),"")</f>
        <v/>
      </c>
      <c r="G151" s="100">
        <f>IFERROR(IF(INDEX(Kalshi!$G$31:$G$485,MATCH($A151,Kalshi!$A$31:$A$485,0))=0,"",INDEX(Kalshi!$G$31:$G$485,MATCH($A151,Kalshi!$A$31:$A$485,0))),"")</f>
        <v/>
      </c>
      <c r="H151" s="20">
        <f>IF(AND(ISNUMBER(B151),ISNUMBER(C151)),MIN(B151,C151),"")</f>
        <v/>
      </c>
      <c r="I151" s="20">
        <f>IF(AND(ISNUMBER(F151),ISNUMBER(G151)),MIN(F151,G151),"")</f>
        <v/>
      </c>
      <c r="J151" s="17">
        <f>IF(AND(ISNUMBER(H151),ISNUMBER(I151)),H151+I151,"")</f>
        <v/>
      </c>
      <c r="K151" s="16" t="n">
        <v>0.5</v>
      </c>
      <c r="L151" s="26" t="inlineStr">
        <is>
          <t>23 May</t>
        </is>
      </c>
    </row>
    <row r="152">
      <c r="A152" s="41" t="n">
        <v>46166</v>
      </c>
      <c r="B152" s="101">
        <f>IFERROR(IF(INDEX(Polymarket!$B$25:$B$303,MATCH($A152,Polymarket!$A$25:$A$303,0))=0,"",INDEX(Polymarket!$B$25:$B$303,MATCH($A152,Polymarket!$A$25:$A$303,0))),"")</f>
        <v/>
      </c>
      <c r="C152" s="101">
        <f>IFERROR(IF(INDEX(Kalshi!$D$31:$D$485,MATCH($A152,Kalshi!$A$31:$A$485,0))=0,"",INDEX(Kalshi!$D$31:$D$485,MATCH($A152,Kalshi!$A$31:$A$485,0))),"")</f>
        <v/>
      </c>
      <c r="D152" s="31">
        <f>IF(AND(ISNUMBER(B152),ISNUMBER(C152)),B152-C152,"")</f>
        <v/>
      </c>
      <c r="E152" s="29">
        <f>IF(ISNUMBER(D152),ABS(D152),"")</f>
        <v/>
      </c>
      <c r="F152" s="101">
        <f>IFERROR(IF(INDEX(Polymarket!$C$25:$C$303,MATCH($A152,Polymarket!$A$25:$A$303,0))=0,"",INDEX(Polymarket!$C$25:$C$303,MATCH($A152,Polymarket!$A$25:$A$303,0))),"")</f>
        <v/>
      </c>
      <c r="G152" s="101">
        <f>IFERROR(IF(INDEX(Kalshi!$G$31:$G$485,MATCH($A152,Kalshi!$A$31:$A$485,0))=0,"",INDEX(Kalshi!$G$31:$G$485,MATCH($A152,Kalshi!$A$31:$A$485,0))),"")</f>
        <v/>
      </c>
      <c r="H152" s="30">
        <f>IF(AND(ISNUMBER(B152),ISNUMBER(C152)),MIN(B152,C152),"")</f>
        <v/>
      </c>
      <c r="I152" s="30">
        <f>IF(AND(ISNUMBER(F152),ISNUMBER(G152)),MIN(F152,G152),"")</f>
        <v/>
      </c>
      <c r="J152" s="29">
        <f>IF(AND(ISNUMBER(H152),ISNUMBER(I152)),H152+I152,"")</f>
        <v/>
      </c>
      <c r="K152" s="28" t="n">
        <v>0.5</v>
      </c>
      <c r="L152" s="38" t="inlineStr">
        <is>
          <t>24 May</t>
        </is>
      </c>
    </row>
    <row r="153">
      <c r="A153" s="39" t="n">
        <v>46167</v>
      </c>
      <c r="B153" s="100">
        <f>IFERROR(IF(INDEX(Polymarket!$B$25:$B$303,MATCH($A153,Polymarket!$A$25:$A$303,0))=0,"",INDEX(Polymarket!$B$25:$B$303,MATCH($A153,Polymarket!$A$25:$A$303,0))),"")</f>
        <v/>
      </c>
      <c r="C153" s="100">
        <f>IFERROR(IF(INDEX(Kalshi!$D$31:$D$485,MATCH($A153,Kalshi!$A$31:$A$485,0))=0,"",INDEX(Kalshi!$D$31:$D$485,MATCH($A153,Kalshi!$A$31:$A$485,0))),"")</f>
        <v/>
      </c>
      <c r="D153" s="18">
        <f>IF(AND(ISNUMBER(B153),ISNUMBER(C153)),B153-C153,"")</f>
        <v/>
      </c>
      <c r="E153" s="17">
        <f>IF(ISNUMBER(D153),ABS(D153),"")</f>
        <v/>
      </c>
      <c r="F153" s="100">
        <f>IFERROR(IF(INDEX(Polymarket!$C$25:$C$303,MATCH($A153,Polymarket!$A$25:$A$303,0))=0,"",INDEX(Polymarket!$C$25:$C$303,MATCH($A153,Polymarket!$A$25:$A$303,0))),"")</f>
        <v/>
      </c>
      <c r="G153" s="100">
        <f>IFERROR(IF(INDEX(Kalshi!$G$31:$G$485,MATCH($A153,Kalshi!$A$31:$A$485,0))=0,"",INDEX(Kalshi!$G$31:$G$485,MATCH($A153,Kalshi!$A$31:$A$485,0))),"")</f>
        <v/>
      </c>
      <c r="H153" s="20">
        <f>IF(AND(ISNUMBER(B153),ISNUMBER(C153)),MIN(B153,C153),"")</f>
        <v/>
      </c>
      <c r="I153" s="20">
        <f>IF(AND(ISNUMBER(F153),ISNUMBER(G153)),MIN(F153,G153),"")</f>
        <v/>
      </c>
      <c r="J153" s="17">
        <f>IF(AND(ISNUMBER(H153),ISNUMBER(I153)),H153+I153,"")</f>
        <v/>
      </c>
      <c r="K153" s="16" t="n">
        <v>0.5</v>
      </c>
      <c r="L153" s="26" t="inlineStr">
        <is>
          <t>25 May</t>
        </is>
      </c>
    </row>
    <row r="154">
      <c r="A154" s="41" t="n">
        <v>46168</v>
      </c>
      <c r="B154" s="101">
        <f>IFERROR(IF(INDEX(Polymarket!$B$25:$B$303,MATCH($A154,Polymarket!$A$25:$A$303,0))=0,"",INDEX(Polymarket!$B$25:$B$303,MATCH($A154,Polymarket!$A$25:$A$303,0))),"")</f>
        <v/>
      </c>
      <c r="C154" s="101">
        <f>IFERROR(IF(INDEX(Kalshi!$D$31:$D$485,MATCH($A154,Kalshi!$A$31:$A$485,0))=0,"",INDEX(Kalshi!$D$31:$D$485,MATCH($A154,Kalshi!$A$31:$A$485,0))),"")</f>
        <v/>
      </c>
      <c r="D154" s="31">
        <f>IF(AND(ISNUMBER(B154),ISNUMBER(C154)),B154-C154,"")</f>
        <v/>
      </c>
      <c r="E154" s="29">
        <f>IF(ISNUMBER(D154),ABS(D154),"")</f>
        <v/>
      </c>
      <c r="F154" s="101">
        <f>IFERROR(IF(INDEX(Polymarket!$C$25:$C$303,MATCH($A154,Polymarket!$A$25:$A$303,0))=0,"",INDEX(Polymarket!$C$25:$C$303,MATCH($A154,Polymarket!$A$25:$A$303,0))),"")</f>
        <v/>
      </c>
      <c r="G154" s="101">
        <f>IFERROR(IF(INDEX(Kalshi!$G$31:$G$485,MATCH($A154,Kalshi!$A$31:$A$485,0))=0,"",INDEX(Kalshi!$G$31:$G$485,MATCH($A154,Kalshi!$A$31:$A$485,0))),"")</f>
        <v/>
      </c>
      <c r="H154" s="30">
        <f>IF(AND(ISNUMBER(B154),ISNUMBER(C154)),MIN(B154,C154),"")</f>
        <v/>
      </c>
      <c r="I154" s="30">
        <f>IF(AND(ISNUMBER(F154),ISNUMBER(G154)),MIN(F154,G154),"")</f>
        <v/>
      </c>
      <c r="J154" s="29">
        <f>IF(AND(ISNUMBER(H154),ISNUMBER(I154)),H154+I154,"")</f>
        <v/>
      </c>
      <c r="K154" s="28" t="n">
        <v>0.5</v>
      </c>
      <c r="L154" s="38" t="inlineStr">
        <is>
          <t>26 May</t>
        </is>
      </c>
    </row>
    <row r="155">
      <c r="A155" s="39" t="n">
        <v>46169</v>
      </c>
      <c r="B155" s="100">
        <f>IFERROR(IF(INDEX(Polymarket!$B$25:$B$303,MATCH($A155,Polymarket!$A$25:$A$303,0))=0,"",INDEX(Polymarket!$B$25:$B$303,MATCH($A155,Polymarket!$A$25:$A$303,0))),"")</f>
        <v/>
      </c>
      <c r="C155" s="100">
        <f>IFERROR(IF(INDEX(Kalshi!$D$31:$D$485,MATCH($A155,Kalshi!$A$31:$A$485,0))=0,"",INDEX(Kalshi!$D$31:$D$485,MATCH($A155,Kalshi!$A$31:$A$485,0))),"")</f>
        <v/>
      </c>
      <c r="D155" s="18">
        <f>IF(AND(ISNUMBER(B155),ISNUMBER(C155)),B155-C155,"")</f>
        <v/>
      </c>
      <c r="E155" s="17">
        <f>IF(ISNUMBER(D155),ABS(D155),"")</f>
        <v/>
      </c>
      <c r="F155" s="100">
        <f>IFERROR(IF(INDEX(Polymarket!$C$25:$C$303,MATCH($A155,Polymarket!$A$25:$A$303,0))=0,"",INDEX(Polymarket!$C$25:$C$303,MATCH($A155,Polymarket!$A$25:$A$303,0))),"")</f>
        <v/>
      </c>
      <c r="G155" s="100">
        <f>IFERROR(IF(INDEX(Kalshi!$G$31:$G$485,MATCH($A155,Kalshi!$A$31:$A$485,0))=0,"",INDEX(Kalshi!$G$31:$G$485,MATCH($A155,Kalshi!$A$31:$A$485,0))),"")</f>
        <v/>
      </c>
      <c r="H155" s="20">
        <f>IF(AND(ISNUMBER(B155),ISNUMBER(C155)),MIN(B155,C155),"")</f>
        <v/>
      </c>
      <c r="I155" s="20">
        <f>IF(AND(ISNUMBER(F155),ISNUMBER(G155)),MIN(F155,G155),"")</f>
        <v/>
      </c>
      <c r="J155" s="17">
        <f>IF(AND(ISNUMBER(H155),ISNUMBER(I155)),H155+I155,"")</f>
        <v/>
      </c>
      <c r="K155" s="16" t="n">
        <v>0.5</v>
      </c>
      <c r="L155" s="26" t="inlineStr">
        <is>
          <t>27 May</t>
        </is>
      </c>
    </row>
    <row r="156">
      <c r="A156" s="41" t="n">
        <v>46170</v>
      </c>
      <c r="B156" s="101">
        <f>IFERROR(IF(INDEX(Polymarket!$B$25:$B$303,MATCH($A156,Polymarket!$A$25:$A$303,0))=0,"",INDEX(Polymarket!$B$25:$B$303,MATCH($A156,Polymarket!$A$25:$A$303,0))),"")</f>
        <v/>
      </c>
      <c r="C156" s="101">
        <f>IFERROR(IF(INDEX(Kalshi!$D$31:$D$485,MATCH($A156,Kalshi!$A$31:$A$485,0))=0,"",INDEX(Kalshi!$D$31:$D$485,MATCH($A156,Kalshi!$A$31:$A$485,0))),"")</f>
        <v/>
      </c>
      <c r="D156" s="31">
        <f>IF(AND(ISNUMBER(B156),ISNUMBER(C156)),B156-C156,"")</f>
        <v/>
      </c>
      <c r="E156" s="29">
        <f>IF(ISNUMBER(D156),ABS(D156),"")</f>
        <v/>
      </c>
      <c r="F156" s="101">
        <f>IFERROR(IF(INDEX(Polymarket!$C$25:$C$303,MATCH($A156,Polymarket!$A$25:$A$303,0))=0,"",INDEX(Polymarket!$C$25:$C$303,MATCH($A156,Polymarket!$A$25:$A$303,0))),"")</f>
        <v/>
      </c>
      <c r="G156" s="101">
        <f>IFERROR(IF(INDEX(Kalshi!$G$31:$G$485,MATCH($A156,Kalshi!$A$31:$A$485,0))=0,"",INDEX(Kalshi!$G$31:$G$485,MATCH($A156,Kalshi!$A$31:$A$485,0))),"")</f>
        <v/>
      </c>
      <c r="H156" s="30">
        <f>IF(AND(ISNUMBER(B156),ISNUMBER(C156)),MIN(B156,C156),"")</f>
        <v/>
      </c>
      <c r="I156" s="30">
        <f>IF(AND(ISNUMBER(F156),ISNUMBER(G156)),MIN(F156,G156),"")</f>
        <v/>
      </c>
      <c r="J156" s="29">
        <f>IF(AND(ISNUMBER(H156),ISNUMBER(I156)),H156+I156,"")</f>
        <v/>
      </c>
      <c r="K156" s="28" t="n">
        <v>0.5</v>
      </c>
      <c r="L156" s="38" t="inlineStr">
        <is>
          <t>28 May</t>
        </is>
      </c>
    </row>
    <row r="157">
      <c r="A157" s="39" t="n">
        <v>46171</v>
      </c>
      <c r="B157" s="100">
        <f>IFERROR(IF(INDEX(Polymarket!$B$25:$B$303,MATCH($A157,Polymarket!$A$25:$A$303,0))=0,"",INDEX(Polymarket!$B$25:$B$303,MATCH($A157,Polymarket!$A$25:$A$303,0))),"")</f>
        <v/>
      </c>
      <c r="C157" s="100">
        <f>IFERROR(IF(INDEX(Kalshi!$D$31:$D$485,MATCH($A157,Kalshi!$A$31:$A$485,0))=0,"",INDEX(Kalshi!$D$31:$D$485,MATCH($A157,Kalshi!$A$31:$A$485,0))),"")</f>
        <v/>
      </c>
      <c r="D157" s="18">
        <f>IF(AND(ISNUMBER(B157),ISNUMBER(C157)),B157-C157,"")</f>
        <v/>
      </c>
      <c r="E157" s="17">
        <f>IF(ISNUMBER(D157),ABS(D157),"")</f>
        <v/>
      </c>
      <c r="F157" s="100">
        <f>IFERROR(IF(INDEX(Polymarket!$C$25:$C$303,MATCH($A157,Polymarket!$A$25:$A$303,0))=0,"",INDEX(Polymarket!$C$25:$C$303,MATCH($A157,Polymarket!$A$25:$A$303,0))),"")</f>
        <v/>
      </c>
      <c r="G157" s="100">
        <f>IFERROR(IF(INDEX(Kalshi!$G$31:$G$485,MATCH($A157,Kalshi!$A$31:$A$485,0))=0,"",INDEX(Kalshi!$G$31:$G$485,MATCH($A157,Kalshi!$A$31:$A$485,0))),"")</f>
        <v/>
      </c>
      <c r="H157" s="20">
        <f>IF(AND(ISNUMBER(B157),ISNUMBER(C157)),MIN(B157,C157),"")</f>
        <v/>
      </c>
      <c r="I157" s="20">
        <f>IF(AND(ISNUMBER(F157),ISNUMBER(G157)),MIN(F157,G157),"")</f>
        <v/>
      </c>
      <c r="J157" s="17">
        <f>IF(AND(ISNUMBER(H157),ISNUMBER(I157)),H157+I157,"")</f>
        <v/>
      </c>
      <c r="K157" s="16" t="n">
        <v>0.5</v>
      </c>
      <c r="L157" s="26" t="inlineStr">
        <is>
          <t>29 May</t>
        </is>
      </c>
    </row>
    <row r="158">
      <c r="A158" s="41" t="n">
        <v>46172</v>
      </c>
      <c r="B158" s="101">
        <f>IFERROR(IF(INDEX(Polymarket!$B$25:$B$303,MATCH($A158,Polymarket!$A$25:$A$303,0))=0,"",INDEX(Polymarket!$B$25:$B$303,MATCH($A158,Polymarket!$A$25:$A$303,0))),"")</f>
        <v/>
      </c>
      <c r="C158" s="101">
        <f>IFERROR(IF(INDEX(Kalshi!$D$31:$D$485,MATCH($A158,Kalshi!$A$31:$A$485,0))=0,"",INDEX(Kalshi!$D$31:$D$485,MATCH($A158,Kalshi!$A$31:$A$485,0))),"")</f>
        <v/>
      </c>
      <c r="D158" s="31">
        <f>IF(AND(ISNUMBER(B158),ISNUMBER(C158)),B158-C158,"")</f>
        <v/>
      </c>
      <c r="E158" s="29">
        <f>IF(ISNUMBER(D158),ABS(D158),"")</f>
        <v/>
      </c>
      <c r="F158" s="101">
        <f>IFERROR(IF(INDEX(Polymarket!$C$25:$C$303,MATCH($A158,Polymarket!$A$25:$A$303,0))=0,"",INDEX(Polymarket!$C$25:$C$303,MATCH($A158,Polymarket!$A$25:$A$303,0))),"")</f>
        <v/>
      </c>
      <c r="G158" s="101">
        <f>IFERROR(IF(INDEX(Kalshi!$G$31:$G$485,MATCH($A158,Kalshi!$A$31:$A$485,0))=0,"",INDEX(Kalshi!$G$31:$G$485,MATCH($A158,Kalshi!$A$31:$A$485,0))),"")</f>
        <v/>
      </c>
      <c r="H158" s="30">
        <f>IF(AND(ISNUMBER(B158),ISNUMBER(C158)),MIN(B158,C158),"")</f>
        <v/>
      </c>
      <c r="I158" s="30">
        <f>IF(AND(ISNUMBER(F158),ISNUMBER(G158)),MIN(F158,G158),"")</f>
        <v/>
      </c>
      <c r="J158" s="29">
        <f>IF(AND(ISNUMBER(H158),ISNUMBER(I158)),H158+I158,"")</f>
        <v/>
      </c>
      <c r="K158" s="28" t="n">
        <v>0.5</v>
      </c>
      <c r="L158" s="38" t="inlineStr">
        <is>
          <t>30 May</t>
        </is>
      </c>
    </row>
    <row r="159">
      <c r="A159" s="39" t="n">
        <v>46173</v>
      </c>
      <c r="B159" s="100">
        <f>IFERROR(IF(INDEX(Polymarket!$B$25:$B$303,MATCH($A159,Polymarket!$A$25:$A$303,0))=0,"",INDEX(Polymarket!$B$25:$B$303,MATCH($A159,Polymarket!$A$25:$A$303,0))),"")</f>
        <v/>
      </c>
      <c r="C159" s="100">
        <f>IFERROR(IF(INDEX(Kalshi!$D$31:$D$485,MATCH($A159,Kalshi!$A$31:$A$485,0))=0,"",INDEX(Kalshi!$D$31:$D$485,MATCH($A159,Kalshi!$A$31:$A$485,0))),"")</f>
        <v/>
      </c>
      <c r="D159" s="18">
        <f>IF(AND(ISNUMBER(B159),ISNUMBER(C159)),B159-C159,"")</f>
        <v/>
      </c>
      <c r="E159" s="17">
        <f>IF(ISNUMBER(D159),ABS(D159),"")</f>
        <v/>
      </c>
      <c r="F159" s="100">
        <f>IFERROR(IF(INDEX(Polymarket!$C$25:$C$303,MATCH($A159,Polymarket!$A$25:$A$303,0))=0,"",INDEX(Polymarket!$C$25:$C$303,MATCH($A159,Polymarket!$A$25:$A$303,0))),"")</f>
        <v/>
      </c>
      <c r="G159" s="100">
        <f>IFERROR(IF(INDEX(Kalshi!$G$31:$G$485,MATCH($A159,Kalshi!$A$31:$A$485,0))=0,"",INDEX(Kalshi!$G$31:$G$485,MATCH($A159,Kalshi!$A$31:$A$485,0))),"")</f>
        <v/>
      </c>
      <c r="H159" s="20">
        <f>IF(AND(ISNUMBER(B159),ISNUMBER(C159)),MIN(B159,C159),"")</f>
        <v/>
      </c>
      <c r="I159" s="20">
        <f>IF(AND(ISNUMBER(F159),ISNUMBER(G159)),MIN(F159,G159),"")</f>
        <v/>
      </c>
      <c r="J159" s="17">
        <f>IF(AND(ISNUMBER(H159),ISNUMBER(I159)),H159+I159,"")</f>
        <v/>
      </c>
      <c r="K159" s="16" t="n">
        <v>0.5</v>
      </c>
      <c r="L159" s="26" t="inlineStr">
        <is>
          <t>31 May</t>
        </is>
      </c>
    </row>
    <row r="160">
      <c r="A160" s="41" t="n">
        <v>46174</v>
      </c>
      <c r="B160" s="101">
        <f>IFERROR(IF(INDEX(Polymarket!$B$25:$B$303,MATCH($A160,Polymarket!$A$25:$A$303,0))=0,"",INDEX(Polymarket!$B$25:$B$303,MATCH($A160,Polymarket!$A$25:$A$303,0))),"")</f>
        <v/>
      </c>
      <c r="C160" s="101">
        <f>IFERROR(IF(INDEX(Kalshi!$D$31:$D$485,MATCH($A160,Kalshi!$A$31:$A$485,0))=0,"",INDEX(Kalshi!$D$31:$D$485,MATCH($A160,Kalshi!$A$31:$A$485,0))),"")</f>
        <v/>
      </c>
      <c r="D160" s="31">
        <f>IF(AND(ISNUMBER(B160),ISNUMBER(C160)),B160-C160,"")</f>
        <v/>
      </c>
      <c r="E160" s="29">
        <f>IF(ISNUMBER(D160),ABS(D160),"")</f>
        <v/>
      </c>
      <c r="F160" s="101">
        <f>IFERROR(IF(INDEX(Polymarket!$C$25:$C$303,MATCH($A160,Polymarket!$A$25:$A$303,0))=0,"",INDEX(Polymarket!$C$25:$C$303,MATCH($A160,Polymarket!$A$25:$A$303,0))),"")</f>
        <v/>
      </c>
      <c r="G160" s="101">
        <f>IFERROR(IF(INDEX(Kalshi!$G$31:$G$485,MATCH($A160,Kalshi!$A$31:$A$485,0))=0,"",INDEX(Kalshi!$G$31:$G$485,MATCH($A160,Kalshi!$A$31:$A$485,0))),"")</f>
        <v/>
      </c>
      <c r="H160" s="30">
        <f>IF(AND(ISNUMBER(B160),ISNUMBER(C160)),MIN(B160,C160),"")</f>
        <v/>
      </c>
      <c r="I160" s="30">
        <f>IF(AND(ISNUMBER(F160),ISNUMBER(G160)),MIN(F160,G160),"")</f>
        <v/>
      </c>
      <c r="J160" s="29">
        <f>IF(AND(ISNUMBER(H160),ISNUMBER(I160)),H160+I160,"")</f>
        <v/>
      </c>
      <c r="K160" s="28" t="n">
        <v>0.5</v>
      </c>
      <c r="L160" s="38" t="inlineStr">
        <is>
          <t>01 Jun</t>
        </is>
      </c>
    </row>
    <row r="161">
      <c r="A161" s="39" t="n">
        <v>46175</v>
      </c>
      <c r="B161" s="100">
        <f>IFERROR(IF(INDEX(Polymarket!$B$25:$B$303,MATCH($A161,Polymarket!$A$25:$A$303,0))=0,"",INDEX(Polymarket!$B$25:$B$303,MATCH($A161,Polymarket!$A$25:$A$303,0))),"")</f>
        <v/>
      </c>
      <c r="C161" s="100">
        <f>IFERROR(IF(INDEX(Kalshi!$D$31:$D$485,MATCH($A161,Kalshi!$A$31:$A$485,0))=0,"",INDEX(Kalshi!$D$31:$D$485,MATCH($A161,Kalshi!$A$31:$A$485,0))),"")</f>
        <v/>
      </c>
      <c r="D161" s="18">
        <f>IF(AND(ISNUMBER(B161),ISNUMBER(C161)),B161-C161,"")</f>
        <v/>
      </c>
      <c r="E161" s="17">
        <f>IF(ISNUMBER(D161),ABS(D161),"")</f>
        <v/>
      </c>
      <c r="F161" s="100">
        <f>IFERROR(IF(INDEX(Polymarket!$C$25:$C$303,MATCH($A161,Polymarket!$A$25:$A$303,0))=0,"",INDEX(Polymarket!$C$25:$C$303,MATCH($A161,Polymarket!$A$25:$A$303,0))),"")</f>
        <v/>
      </c>
      <c r="G161" s="100">
        <f>IFERROR(IF(INDEX(Kalshi!$G$31:$G$485,MATCH($A161,Kalshi!$A$31:$A$485,0))=0,"",INDEX(Kalshi!$G$31:$G$485,MATCH($A161,Kalshi!$A$31:$A$485,0))),"")</f>
        <v/>
      </c>
      <c r="H161" s="20">
        <f>IF(AND(ISNUMBER(B161),ISNUMBER(C161)),MIN(B161,C161),"")</f>
        <v/>
      </c>
      <c r="I161" s="20">
        <f>IF(AND(ISNUMBER(F161),ISNUMBER(G161)),MIN(F161,G161),"")</f>
        <v/>
      </c>
      <c r="J161" s="17">
        <f>IF(AND(ISNUMBER(H161),ISNUMBER(I161)),H161+I161,"")</f>
        <v/>
      </c>
      <c r="K161" s="16" t="n">
        <v>0.5</v>
      </c>
      <c r="L161" s="26" t="inlineStr">
        <is>
          <t>02 Jun</t>
        </is>
      </c>
    </row>
    <row r="162">
      <c r="A162" s="41" t="n">
        <v>46176</v>
      </c>
      <c r="B162" s="101">
        <f>IFERROR(IF(INDEX(Polymarket!$B$25:$B$303,MATCH($A162,Polymarket!$A$25:$A$303,0))=0,"",INDEX(Polymarket!$B$25:$B$303,MATCH($A162,Polymarket!$A$25:$A$303,0))),"")</f>
        <v/>
      </c>
      <c r="C162" s="101">
        <f>IFERROR(IF(INDEX(Kalshi!$D$31:$D$485,MATCH($A162,Kalshi!$A$31:$A$485,0))=0,"",INDEX(Kalshi!$D$31:$D$485,MATCH($A162,Kalshi!$A$31:$A$485,0))),"")</f>
        <v/>
      </c>
      <c r="D162" s="31">
        <f>IF(AND(ISNUMBER(B162),ISNUMBER(C162)),B162-C162,"")</f>
        <v/>
      </c>
      <c r="E162" s="29">
        <f>IF(ISNUMBER(D162),ABS(D162),"")</f>
        <v/>
      </c>
      <c r="F162" s="101">
        <f>IFERROR(IF(INDEX(Polymarket!$C$25:$C$303,MATCH($A162,Polymarket!$A$25:$A$303,0))=0,"",INDEX(Polymarket!$C$25:$C$303,MATCH($A162,Polymarket!$A$25:$A$303,0))),"")</f>
        <v/>
      </c>
      <c r="G162" s="101">
        <f>IFERROR(IF(INDEX(Kalshi!$G$31:$G$485,MATCH($A162,Kalshi!$A$31:$A$485,0))=0,"",INDEX(Kalshi!$G$31:$G$485,MATCH($A162,Kalshi!$A$31:$A$485,0))),"")</f>
        <v/>
      </c>
      <c r="H162" s="30">
        <f>IF(AND(ISNUMBER(B162),ISNUMBER(C162)),MIN(B162,C162),"")</f>
        <v/>
      </c>
      <c r="I162" s="30">
        <f>IF(AND(ISNUMBER(F162),ISNUMBER(G162)),MIN(F162,G162),"")</f>
        <v/>
      </c>
      <c r="J162" s="29">
        <f>IF(AND(ISNUMBER(H162),ISNUMBER(I162)),H162+I162,"")</f>
        <v/>
      </c>
      <c r="K162" s="28" t="n">
        <v>0.5</v>
      </c>
      <c r="L162" s="38" t="inlineStr">
        <is>
          <t>03 Jun</t>
        </is>
      </c>
    </row>
    <row r="163">
      <c r="A163" s="39" t="n">
        <v>46177</v>
      </c>
      <c r="B163" s="100">
        <f>IFERROR(IF(INDEX(Polymarket!$B$25:$B$303,MATCH($A163,Polymarket!$A$25:$A$303,0))=0,"",INDEX(Polymarket!$B$25:$B$303,MATCH($A163,Polymarket!$A$25:$A$303,0))),"")</f>
        <v/>
      </c>
      <c r="C163" s="100">
        <f>IFERROR(IF(INDEX(Kalshi!$D$31:$D$485,MATCH($A163,Kalshi!$A$31:$A$485,0))=0,"",INDEX(Kalshi!$D$31:$D$485,MATCH($A163,Kalshi!$A$31:$A$485,0))),"")</f>
        <v/>
      </c>
      <c r="D163" s="18">
        <f>IF(AND(ISNUMBER(B163),ISNUMBER(C163)),B163-C163,"")</f>
        <v/>
      </c>
      <c r="E163" s="17">
        <f>IF(ISNUMBER(D163),ABS(D163),"")</f>
        <v/>
      </c>
      <c r="F163" s="100">
        <f>IFERROR(IF(INDEX(Polymarket!$C$25:$C$303,MATCH($A163,Polymarket!$A$25:$A$303,0))=0,"",INDEX(Polymarket!$C$25:$C$303,MATCH($A163,Polymarket!$A$25:$A$303,0))),"")</f>
        <v/>
      </c>
      <c r="G163" s="100">
        <f>IFERROR(IF(INDEX(Kalshi!$G$31:$G$485,MATCH($A163,Kalshi!$A$31:$A$485,0))=0,"",INDEX(Kalshi!$G$31:$G$485,MATCH($A163,Kalshi!$A$31:$A$485,0))),"")</f>
        <v/>
      </c>
      <c r="H163" s="20">
        <f>IF(AND(ISNUMBER(B163),ISNUMBER(C163)),MIN(B163,C163),"")</f>
        <v/>
      </c>
      <c r="I163" s="20">
        <f>IF(AND(ISNUMBER(F163),ISNUMBER(G163)),MIN(F163,G163),"")</f>
        <v/>
      </c>
      <c r="J163" s="17">
        <f>IF(AND(ISNUMBER(H163),ISNUMBER(I163)),H163+I163,"")</f>
        <v/>
      </c>
      <c r="K163" s="16" t="n">
        <v>0.5</v>
      </c>
      <c r="L163" s="26" t="inlineStr">
        <is>
          <t>04 Jun</t>
        </is>
      </c>
    </row>
    <row r="164">
      <c r="A164" s="41" t="n">
        <v>46178</v>
      </c>
      <c r="B164" s="101">
        <f>IFERROR(IF(INDEX(Polymarket!$B$25:$B$303,MATCH($A164,Polymarket!$A$25:$A$303,0))=0,"",INDEX(Polymarket!$B$25:$B$303,MATCH($A164,Polymarket!$A$25:$A$303,0))),"")</f>
        <v/>
      </c>
      <c r="C164" s="101">
        <f>IFERROR(IF(INDEX(Kalshi!$D$31:$D$485,MATCH($A164,Kalshi!$A$31:$A$485,0))=0,"",INDEX(Kalshi!$D$31:$D$485,MATCH($A164,Kalshi!$A$31:$A$485,0))),"")</f>
        <v/>
      </c>
      <c r="D164" s="31">
        <f>IF(AND(ISNUMBER(B164),ISNUMBER(C164)),B164-C164,"")</f>
        <v/>
      </c>
      <c r="E164" s="29">
        <f>IF(ISNUMBER(D164),ABS(D164),"")</f>
        <v/>
      </c>
      <c r="F164" s="101">
        <f>IFERROR(IF(INDEX(Polymarket!$C$25:$C$303,MATCH($A164,Polymarket!$A$25:$A$303,0))=0,"",INDEX(Polymarket!$C$25:$C$303,MATCH($A164,Polymarket!$A$25:$A$303,0))),"")</f>
        <v/>
      </c>
      <c r="G164" s="101">
        <f>IFERROR(IF(INDEX(Kalshi!$G$31:$G$485,MATCH($A164,Kalshi!$A$31:$A$485,0))=0,"",INDEX(Kalshi!$G$31:$G$485,MATCH($A164,Kalshi!$A$31:$A$485,0))),"")</f>
        <v/>
      </c>
      <c r="H164" s="30">
        <f>IF(AND(ISNUMBER(B164),ISNUMBER(C164)),MIN(B164,C164),"")</f>
        <v/>
      </c>
      <c r="I164" s="30">
        <f>IF(AND(ISNUMBER(F164),ISNUMBER(G164)),MIN(F164,G164),"")</f>
        <v/>
      </c>
      <c r="J164" s="29">
        <f>IF(AND(ISNUMBER(H164),ISNUMBER(I164)),H164+I164,"")</f>
        <v/>
      </c>
      <c r="K164" s="28" t="n">
        <v>0.5</v>
      </c>
      <c r="L164" s="38" t="inlineStr">
        <is>
          <t>05 Jun</t>
        </is>
      </c>
    </row>
    <row r="165">
      <c r="A165" s="39" t="n">
        <v>46179</v>
      </c>
      <c r="B165" s="100">
        <f>IFERROR(IF(INDEX(Polymarket!$B$25:$B$303,MATCH($A165,Polymarket!$A$25:$A$303,0))=0,"",INDEX(Polymarket!$B$25:$B$303,MATCH($A165,Polymarket!$A$25:$A$303,0))),"")</f>
        <v/>
      </c>
      <c r="C165" s="100">
        <f>IFERROR(IF(INDEX(Kalshi!$D$31:$D$485,MATCH($A165,Kalshi!$A$31:$A$485,0))=0,"",INDEX(Kalshi!$D$31:$D$485,MATCH($A165,Kalshi!$A$31:$A$485,0))),"")</f>
        <v/>
      </c>
      <c r="D165" s="18">
        <f>IF(AND(ISNUMBER(B165),ISNUMBER(C165)),B165-C165,"")</f>
        <v/>
      </c>
      <c r="E165" s="17">
        <f>IF(ISNUMBER(D165),ABS(D165),"")</f>
        <v/>
      </c>
      <c r="F165" s="100">
        <f>IFERROR(IF(INDEX(Polymarket!$C$25:$C$303,MATCH($A165,Polymarket!$A$25:$A$303,0))=0,"",INDEX(Polymarket!$C$25:$C$303,MATCH($A165,Polymarket!$A$25:$A$303,0))),"")</f>
        <v/>
      </c>
      <c r="G165" s="100">
        <f>IFERROR(IF(INDEX(Kalshi!$G$31:$G$485,MATCH($A165,Kalshi!$A$31:$A$485,0))=0,"",INDEX(Kalshi!$G$31:$G$485,MATCH($A165,Kalshi!$A$31:$A$485,0))),"")</f>
        <v/>
      </c>
      <c r="H165" s="20">
        <f>IF(AND(ISNUMBER(B165),ISNUMBER(C165)),MIN(B165,C165),"")</f>
        <v/>
      </c>
      <c r="I165" s="20">
        <f>IF(AND(ISNUMBER(F165),ISNUMBER(G165)),MIN(F165,G165),"")</f>
        <v/>
      </c>
      <c r="J165" s="17">
        <f>IF(AND(ISNUMBER(H165),ISNUMBER(I165)),H165+I165,"")</f>
        <v/>
      </c>
      <c r="K165" s="16" t="n">
        <v>0.5</v>
      </c>
      <c r="L165" s="26" t="inlineStr">
        <is>
          <t>06 Jun</t>
        </is>
      </c>
    </row>
    <row r="166">
      <c r="A166" s="41" t="n">
        <v>46180</v>
      </c>
      <c r="B166" s="101">
        <f>IFERROR(IF(INDEX(Polymarket!$B$25:$B$303,MATCH($A166,Polymarket!$A$25:$A$303,0))=0,"",INDEX(Polymarket!$B$25:$B$303,MATCH($A166,Polymarket!$A$25:$A$303,0))),"")</f>
        <v/>
      </c>
      <c r="C166" s="101">
        <f>IFERROR(IF(INDEX(Kalshi!$D$31:$D$485,MATCH($A166,Kalshi!$A$31:$A$485,0))=0,"",INDEX(Kalshi!$D$31:$D$485,MATCH($A166,Kalshi!$A$31:$A$485,0))),"")</f>
        <v/>
      </c>
      <c r="D166" s="31">
        <f>IF(AND(ISNUMBER(B166),ISNUMBER(C166)),B166-C166,"")</f>
        <v/>
      </c>
      <c r="E166" s="29">
        <f>IF(ISNUMBER(D166),ABS(D166),"")</f>
        <v/>
      </c>
      <c r="F166" s="101">
        <f>IFERROR(IF(INDEX(Polymarket!$C$25:$C$303,MATCH($A166,Polymarket!$A$25:$A$303,0))=0,"",INDEX(Polymarket!$C$25:$C$303,MATCH($A166,Polymarket!$A$25:$A$303,0))),"")</f>
        <v/>
      </c>
      <c r="G166" s="101">
        <f>IFERROR(IF(INDEX(Kalshi!$G$31:$G$485,MATCH($A166,Kalshi!$A$31:$A$485,0))=0,"",INDEX(Kalshi!$G$31:$G$485,MATCH($A166,Kalshi!$A$31:$A$485,0))),"")</f>
        <v/>
      </c>
      <c r="H166" s="30">
        <f>IF(AND(ISNUMBER(B166),ISNUMBER(C166)),MIN(B166,C166),"")</f>
        <v/>
      </c>
      <c r="I166" s="30">
        <f>IF(AND(ISNUMBER(F166),ISNUMBER(G166)),MIN(F166,G166),"")</f>
        <v/>
      </c>
      <c r="J166" s="29">
        <f>IF(AND(ISNUMBER(H166),ISNUMBER(I166)),H166+I166,"")</f>
        <v/>
      </c>
      <c r="K166" s="28" t="n">
        <v>0.5</v>
      </c>
      <c r="L166" s="38" t="inlineStr">
        <is>
          <t>07 Jun</t>
        </is>
      </c>
    </row>
    <row r="167">
      <c r="A167" s="39" t="n">
        <v>46181</v>
      </c>
      <c r="B167" s="100">
        <f>IFERROR(IF(INDEX(Polymarket!$B$25:$B$303,MATCH($A167,Polymarket!$A$25:$A$303,0))=0,"",INDEX(Polymarket!$B$25:$B$303,MATCH($A167,Polymarket!$A$25:$A$303,0))),"")</f>
        <v/>
      </c>
      <c r="C167" s="100">
        <f>IFERROR(IF(INDEX(Kalshi!$D$31:$D$485,MATCH($A167,Kalshi!$A$31:$A$485,0))=0,"",INDEX(Kalshi!$D$31:$D$485,MATCH($A167,Kalshi!$A$31:$A$485,0))),"")</f>
        <v/>
      </c>
      <c r="D167" s="18">
        <f>IF(AND(ISNUMBER(B167),ISNUMBER(C167)),B167-C167,"")</f>
        <v/>
      </c>
      <c r="E167" s="17">
        <f>IF(ISNUMBER(D167),ABS(D167),"")</f>
        <v/>
      </c>
      <c r="F167" s="100">
        <f>IFERROR(IF(INDEX(Polymarket!$C$25:$C$303,MATCH($A167,Polymarket!$A$25:$A$303,0))=0,"",INDEX(Polymarket!$C$25:$C$303,MATCH($A167,Polymarket!$A$25:$A$303,0))),"")</f>
        <v/>
      </c>
      <c r="G167" s="100">
        <f>IFERROR(IF(INDEX(Kalshi!$G$31:$G$485,MATCH($A167,Kalshi!$A$31:$A$485,0))=0,"",INDEX(Kalshi!$G$31:$G$485,MATCH($A167,Kalshi!$A$31:$A$485,0))),"")</f>
        <v/>
      </c>
      <c r="H167" s="20">
        <f>IF(AND(ISNUMBER(B167),ISNUMBER(C167)),MIN(B167,C167),"")</f>
        <v/>
      </c>
      <c r="I167" s="20">
        <f>IF(AND(ISNUMBER(F167),ISNUMBER(G167)),MIN(F167,G167),"")</f>
        <v/>
      </c>
      <c r="J167" s="17">
        <f>IF(AND(ISNUMBER(H167),ISNUMBER(I167)),H167+I167,"")</f>
        <v/>
      </c>
      <c r="K167" s="16" t="n">
        <v>0.5</v>
      </c>
      <c r="L167" s="26" t="inlineStr">
        <is>
          <t>08 Jun</t>
        </is>
      </c>
    </row>
    <row r="168">
      <c r="A168" s="41" t="n">
        <v>46182</v>
      </c>
      <c r="B168" s="101">
        <f>IFERROR(IF(INDEX(Polymarket!$B$25:$B$303,MATCH($A168,Polymarket!$A$25:$A$303,0))=0,"",INDEX(Polymarket!$B$25:$B$303,MATCH($A168,Polymarket!$A$25:$A$303,0))),"")</f>
        <v/>
      </c>
      <c r="C168" s="101">
        <f>IFERROR(IF(INDEX(Kalshi!$D$31:$D$485,MATCH($A168,Kalshi!$A$31:$A$485,0))=0,"",INDEX(Kalshi!$D$31:$D$485,MATCH($A168,Kalshi!$A$31:$A$485,0))),"")</f>
        <v/>
      </c>
      <c r="D168" s="31">
        <f>IF(AND(ISNUMBER(B168),ISNUMBER(C168)),B168-C168,"")</f>
        <v/>
      </c>
      <c r="E168" s="29">
        <f>IF(ISNUMBER(D168),ABS(D168),"")</f>
        <v/>
      </c>
      <c r="F168" s="101">
        <f>IFERROR(IF(INDEX(Polymarket!$C$25:$C$303,MATCH($A168,Polymarket!$A$25:$A$303,0))=0,"",INDEX(Polymarket!$C$25:$C$303,MATCH($A168,Polymarket!$A$25:$A$303,0))),"")</f>
        <v/>
      </c>
      <c r="G168" s="101">
        <f>IFERROR(IF(INDEX(Kalshi!$G$31:$G$485,MATCH($A168,Kalshi!$A$31:$A$485,0))=0,"",INDEX(Kalshi!$G$31:$G$485,MATCH($A168,Kalshi!$A$31:$A$485,0))),"")</f>
        <v/>
      </c>
      <c r="H168" s="30">
        <f>IF(AND(ISNUMBER(B168),ISNUMBER(C168)),MIN(B168,C168),"")</f>
        <v/>
      </c>
      <c r="I168" s="30">
        <f>IF(AND(ISNUMBER(F168),ISNUMBER(G168)),MIN(F168,G168),"")</f>
        <v/>
      </c>
      <c r="J168" s="29">
        <f>IF(AND(ISNUMBER(H168),ISNUMBER(I168)),H168+I168,"")</f>
        <v/>
      </c>
      <c r="K168" s="28" t="n">
        <v>0.5</v>
      </c>
      <c r="L168" s="38" t="inlineStr">
        <is>
          <t>09 Jun</t>
        </is>
      </c>
    </row>
    <row r="169">
      <c r="A169" s="39" t="n">
        <v>46183</v>
      </c>
      <c r="B169" s="100">
        <f>IFERROR(IF(INDEX(Polymarket!$B$25:$B$303,MATCH($A169,Polymarket!$A$25:$A$303,0))=0,"",INDEX(Polymarket!$B$25:$B$303,MATCH($A169,Polymarket!$A$25:$A$303,0))),"")</f>
        <v/>
      </c>
      <c r="C169" s="100">
        <f>IFERROR(IF(INDEX(Kalshi!$D$31:$D$485,MATCH($A169,Kalshi!$A$31:$A$485,0))=0,"",INDEX(Kalshi!$D$31:$D$485,MATCH($A169,Kalshi!$A$31:$A$485,0))),"")</f>
        <v/>
      </c>
      <c r="D169" s="18">
        <f>IF(AND(ISNUMBER(B169),ISNUMBER(C169)),B169-C169,"")</f>
        <v/>
      </c>
      <c r="E169" s="17">
        <f>IF(ISNUMBER(D169),ABS(D169),"")</f>
        <v/>
      </c>
      <c r="F169" s="100">
        <f>IFERROR(IF(INDEX(Polymarket!$C$25:$C$303,MATCH($A169,Polymarket!$A$25:$A$303,0))=0,"",INDEX(Polymarket!$C$25:$C$303,MATCH($A169,Polymarket!$A$25:$A$303,0))),"")</f>
        <v/>
      </c>
      <c r="G169" s="100">
        <f>IFERROR(IF(INDEX(Kalshi!$G$31:$G$485,MATCH($A169,Kalshi!$A$31:$A$485,0))=0,"",INDEX(Kalshi!$G$31:$G$485,MATCH($A169,Kalshi!$A$31:$A$485,0))),"")</f>
        <v/>
      </c>
      <c r="H169" s="20">
        <f>IF(AND(ISNUMBER(B169),ISNUMBER(C169)),MIN(B169,C169),"")</f>
        <v/>
      </c>
      <c r="I169" s="20">
        <f>IF(AND(ISNUMBER(F169),ISNUMBER(G169)),MIN(F169,G169),"")</f>
        <v/>
      </c>
      <c r="J169" s="17">
        <f>IF(AND(ISNUMBER(H169),ISNUMBER(I169)),H169+I169,"")</f>
        <v/>
      </c>
      <c r="K169" s="16" t="n">
        <v>0.5</v>
      </c>
      <c r="L169" s="26" t="inlineStr">
        <is>
          <t>10 Jun</t>
        </is>
      </c>
    </row>
    <row r="170">
      <c r="A170" s="41" t="n">
        <v>46184</v>
      </c>
      <c r="B170" s="101">
        <f>IFERROR(IF(INDEX(Polymarket!$B$25:$B$303,MATCH($A170,Polymarket!$A$25:$A$303,0))=0,"",INDEX(Polymarket!$B$25:$B$303,MATCH($A170,Polymarket!$A$25:$A$303,0))),"")</f>
        <v/>
      </c>
      <c r="C170" s="101">
        <f>IFERROR(IF(INDEX(Kalshi!$D$31:$D$485,MATCH($A170,Kalshi!$A$31:$A$485,0))=0,"",INDEX(Kalshi!$D$31:$D$485,MATCH($A170,Kalshi!$A$31:$A$485,0))),"")</f>
        <v/>
      </c>
      <c r="D170" s="31">
        <f>IF(AND(ISNUMBER(B170),ISNUMBER(C170)),B170-C170,"")</f>
        <v/>
      </c>
      <c r="E170" s="29">
        <f>IF(ISNUMBER(D170),ABS(D170),"")</f>
        <v/>
      </c>
      <c r="F170" s="101">
        <f>IFERROR(IF(INDEX(Polymarket!$C$25:$C$303,MATCH($A170,Polymarket!$A$25:$A$303,0))=0,"",INDEX(Polymarket!$C$25:$C$303,MATCH($A170,Polymarket!$A$25:$A$303,0))),"")</f>
        <v/>
      </c>
      <c r="G170" s="101">
        <f>IFERROR(IF(INDEX(Kalshi!$G$31:$G$485,MATCH($A170,Kalshi!$A$31:$A$485,0))=0,"",INDEX(Kalshi!$G$31:$G$485,MATCH($A170,Kalshi!$A$31:$A$485,0))),"")</f>
        <v/>
      </c>
      <c r="H170" s="30">
        <f>IF(AND(ISNUMBER(B170),ISNUMBER(C170)),MIN(B170,C170),"")</f>
        <v/>
      </c>
      <c r="I170" s="30">
        <f>IF(AND(ISNUMBER(F170),ISNUMBER(G170)),MIN(F170,G170),"")</f>
        <v/>
      </c>
      <c r="J170" s="29">
        <f>IF(AND(ISNUMBER(H170),ISNUMBER(I170)),H170+I170,"")</f>
        <v/>
      </c>
      <c r="K170" s="28" t="n">
        <v>0.5</v>
      </c>
      <c r="L170" s="38" t="inlineStr">
        <is>
          <t>11 Jun</t>
        </is>
      </c>
    </row>
    <row r="171">
      <c r="A171" s="39" t="n">
        <v>46185</v>
      </c>
      <c r="B171" s="100">
        <f>IFERROR(IF(INDEX(Polymarket!$B$25:$B$303,MATCH($A171,Polymarket!$A$25:$A$303,0))=0,"",INDEX(Polymarket!$B$25:$B$303,MATCH($A171,Polymarket!$A$25:$A$303,0))),"")</f>
        <v/>
      </c>
      <c r="C171" s="100">
        <f>IFERROR(IF(INDEX(Kalshi!$D$31:$D$485,MATCH($A171,Kalshi!$A$31:$A$485,0))=0,"",INDEX(Kalshi!$D$31:$D$485,MATCH($A171,Kalshi!$A$31:$A$485,0))),"")</f>
        <v/>
      </c>
      <c r="D171" s="18">
        <f>IF(AND(ISNUMBER(B171),ISNUMBER(C171)),B171-C171,"")</f>
        <v/>
      </c>
      <c r="E171" s="17">
        <f>IF(ISNUMBER(D171),ABS(D171),"")</f>
        <v/>
      </c>
      <c r="F171" s="100">
        <f>IFERROR(IF(INDEX(Polymarket!$C$25:$C$303,MATCH($A171,Polymarket!$A$25:$A$303,0))=0,"",INDEX(Polymarket!$C$25:$C$303,MATCH($A171,Polymarket!$A$25:$A$303,0))),"")</f>
        <v/>
      </c>
      <c r="G171" s="100">
        <f>IFERROR(IF(INDEX(Kalshi!$G$31:$G$485,MATCH($A171,Kalshi!$A$31:$A$485,0))=0,"",INDEX(Kalshi!$G$31:$G$485,MATCH($A171,Kalshi!$A$31:$A$485,0))),"")</f>
        <v/>
      </c>
      <c r="H171" s="20">
        <f>IF(AND(ISNUMBER(B171),ISNUMBER(C171)),MIN(B171,C171),"")</f>
        <v/>
      </c>
      <c r="I171" s="20">
        <f>IF(AND(ISNUMBER(F171),ISNUMBER(G171)),MIN(F171,G171),"")</f>
        <v/>
      </c>
      <c r="J171" s="17">
        <f>IF(AND(ISNUMBER(H171),ISNUMBER(I171)),H171+I171,"")</f>
        <v/>
      </c>
      <c r="K171" s="16" t="n">
        <v>0.5</v>
      </c>
      <c r="L171" s="26" t="inlineStr">
        <is>
          <t>12 Jun</t>
        </is>
      </c>
    </row>
    <row r="172">
      <c r="A172" s="41" t="n">
        <v>46186</v>
      </c>
      <c r="B172" s="101">
        <f>IFERROR(IF(INDEX(Polymarket!$B$25:$B$303,MATCH($A172,Polymarket!$A$25:$A$303,0))=0,"",INDEX(Polymarket!$B$25:$B$303,MATCH($A172,Polymarket!$A$25:$A$303,0))),"")</f>
        <v/>
      </c>
      <c r="C172" s="101">
        <f>IFERROR(IF(INDEX(Kalshi!$D$31:$D$485,MATCH($A172,Kalshi!$A$31:$A$485,0))=0,"",INDEX(Kalshi!$D$31:$D$485,MATCH($A172,Kalshi!$A$31:$A$485,0))),"")</f>
        <v/>
      </c>
      <c r="D172" s="31">
        <f>IF(AND(ISNUMBER(B172),ISNUMBER(C172)),B172-C172,"")</f>
        <v/>
      </c>
      <c r="E172" s="29">
        <f>IF(ISNUMBER(D172),ABS(D172),"")</f>
        <v/>
      </c>
      <c r="F172" s="101">
        <f>IFERROR(IF(INDEX(Polymarket!$C$25:$C$303,MATCH($A172,Polymarket!$A$25:$A$303,0))=0,"",INDEX(Polymarket!$C$25:$C$303,MATCH($A172,Polymarket!$A$25:$A$303,0))),"")</f>
        <v/>
      </c>
      <c r="G172" s="101">
        <f>IFERROR(IF(INDEX(Kalshi!$G$31:$G$485,MATCH($A172,Kalshi!$A$31:$A$485,0))=0,"",INDEX(Kalshi!$G$31:$G$485,MATCH($A172,Kalshi!$A$31:$A$485,0))),"")</f>
        <v/>
      </c>
      <c r="H172" s="30">
        <f>IF(AND(ISNUMBER(B172),ISNUMBER(C172)),MIN(B172,C172),"")</f>
        <v/>
      </c>
      <c r="I172" s="30">
        <f>IF(AND(ISNUMBER(F172),ISNUMBER(G172)),MIN(F172,G172),"")</f>
        <v/>
      </c>
      <c r="J172" s="29">
        <f>IF(AND(ISNUMBER(H172),ISNUMBER(I172)),H172+I172,"")</f>
        <v/>
      </c>
      <c r="K172" s="28" t="n">
        <v>0.5</v>
      </c>
      <c r="L172" s="38" t="inlineStr">
        <is>
          <t>13 Jun</t>
        </is>
      </c>
    </row>
    <row r="173">
      <c r="A173" s="39" t="n">
        <v>46187</v>
      </c>
      <c r="B173" s="100">
        <f>IFERROR(IF(INDEX(Polymarket!$B$25:$B$303,MATCH($A173,Polymarket!$A$25:$A$303,0))=0,"",INDEX(Polymarket!$B$25:$B$303,MATCH($A173,Polymarket!$A$25:$A$303,0))),"")</f>
        <v/>
      </c>
      <c r="C173" s="100">
        <f>IFERROR(IF(INDEX(Kalshi!$D$31:$D$485,MATCH($A173,Kalshi!$A$31:$A$485,0))=0,"",INDEX(Kalshi!$D$31:$D$485,MATCH($A173,Kalshi!$A$31:$A$485,0))),"")</f>
        <v/>
      </c>
      <c r="D173" s="18">
        <f>IF(AND(ISNUMBER(B173),ISNUMBER(C173)),B173-C173,"")</f>
        <v/>
      </c>
      <c r="E173" s="17">
        <f>IF(ISNUMBER(D173),ABS(D173),"")</f>
        <v/>
      </c>
      <c r="F173" s="100">
        <f>IFERROR(IF(INDEX(Polymarket!$C$25:$C$303,MATCH($A173,Polymarket!$A$25:$A$303,0))=0,"",INDEX(Polymarket!$C$25:$C$303,MATCH($A173,Polymarket!$A$25:$A$303,0))),"")</f>
        <v/>
      </c>
      <c r="G173" s="100">
        <f>IFERROR(IF(INDEX(Kalshi!$G$31:$G$485,MATCH($A173,Kalshi!$A$31:$A$485,0))=0,"",INDEX(Kalshi!$G$31:$G$485,MATCH($A173,Kalshi!$A$31:$A$485,0))),"")</f>
        <v/>
      </c>
      <c r="H173" s="20">
        <f>IF(AND(ISNUMBER(B173),ISNUMBER(C173)),MIN(B173,C173),"")</f>
        <v/>
      </c>
      <c r="I173" s="20">
        <f>IF(AND(ISNUMBER(F173),ISNUMBER(G173)),MIN(F173,G173),"")</f>
        <v/>
      </c>
      <c r="J173" s="17">
        <f>IF(AND(ISNUMBER(H173),ISNUMBER(I173)),H173+I173,"")</f>
        <v/>
      </c>
      <c r="K173" s="16" t="n">
        <v>0.5</v>
      </c>
      <c r="L173" s="26" t="inlineStr">
        <is>
          <t>14 Jun</t>
        </is>
      </c>
    </row>
    <row r="174">
      <c r="A174" s="41" t="n">
        <v>46188</v>
      </c>
      <c r="B174" s="101">
        <f>IFERROR(IF(INDEX(Polymarket!$B$25:$B$303,MATCH($A174,Polymarket!$A$25:$A$303,0))=0,"",INDEX(Polymarket!$B$25:$B$303,MATCH($A174,Polymarket!$A$25:$A$303,0))),"")</f>
        <v/>
      </c>
      <c r="C174" s="101">
        <f>IFERROR(IF(INDEX(Kalshi!$D$31:$D$485,MATCH($A174,Kalshi!$A$31:$A$485,0))=0,"",INDEX(Kalshi!$D$31:$D$485,MATCH($A174,Kalshi!$A$31:$A$485,0))),"")</f>
        <v/>
      </c>
      <c r="D174" s="31">
        <f>IF(AND(ISNUMBER(B174),ISNUMBER(C174)),B174-C174,"")</f>
        <v/>
      </c>
      <c r="E174" s="29">
        <f>IF(ISNUMBER(D174),ABS(D174),"")</f>
        <v/>
      </c>
      <c r="F174" s="101">
        <f>IFERROR(IF(INDEX(Polymarket!$C$25:$C$303,MATCH($A174,Polymarket!$A$25:$A$303,0))=0,"",INDEX(Polymarket!$C$25:$C$303,MATCH($A174,Polymarket!$A$25:$A$303,0))),"")</f>
        <v/>
      </c>
      <c r="G174" s="101">
        <f>IFERROR(IF(INDEX(Kalshi!$G$31:$G$485,MATCH($A174,Kalshi!$A$31:$A$485,0))=0,"",INDEX(Kalshi!$G$31:$G$485,MATCH($A174,Kalshi!$A$31:$A$485,0))),"")</f>
        <v/>
      </c>
      <c r="H174" s="30">
        <f>IF(AND(ISNUMBER(B174),ISNUMBER(C174)),MIN(B174,C174),"")</f>
        <v/>
      </c>
      <c r="I174" s="30">
        <f>IF(AND(ISNUMBER(F174),ISNUMBER(G174)),MIN(F174,G174),"")</f>
        <v/>
      </c>
      <c r="J174" s="29">
        <f>IF(AND(ISNUMBER(H174),ISNUMBER(I174)),H174+I174,"")</f>
        <v/>
      </c>
      <c r="K174" s="28" t="n">
        <v>0.5</v>
      </c>
      <c r="L174" s="38" t="inlineStr">
        <is>
          <t>15 Jun</t>
        </is>
      </c>
    </row>
    <row r="175">
      <c r="A175" s="39" t="n">
        <v>46189</v>
      </c>
      <c r="B175" s="100">
        <f>IFERROR(IF(INDEX(Polymarket!$B$25:$B$303,MATCH($A175,Polymarket!$A$25:$A$303,0))=0,"",INDEX(Polymarket!$B$25:$B$303,MATCH($A175,Polymarket!$A$25:$A$303,0))),"")</f>
        <v/>
      </c>
      <c r="C175" s="100">
        <f>IFERROR(IF(INDEX(Kalshi!$D$31:$D$485,MATCH($A175,Kalshi!$A$31:$A$485,0))=0,"",INDEX(Kalshi!$D$31:$D$485,MATCH($A175,Kalshi!$A$31:$A$485,0))),"")</f>
        <v/>
      </c>
      <c r="D175" s="18">
        <f>IF(AND(ISNUMBER(B175),ISNUMBER(C175)),B175-C175,"")</f>
        <v/>
      </c>
      <c r="E175" s="17">
        <f>IF(ISNUMBER(D175),ABS(D175),"")</f>
        <v/>
      </c>
      <c r="F175" s="100">
        <f>IFERROR(IF(INDEX(Polymarket!$C$25:$C$303,MATCH($A175,Polymarket!$A$25:$A$303,0))=0,"",INDEX(Polymarket!$C$25:$C$303,MATCH($A175,Polymarket!$A$25:$A$303,0))),"")</f>
        <v/>
      </c>
      <c r="G175" s="100">
        <f>IFERROR(IF(INDEX(Kalshi!$G$31:$G$485,MATCH($A175,Kalshi!$A$31:$A$485,0))=0,"",INDEX(Kalshi!$G$31:$G$485,MATCH($A175,Kalshi!$A$31:$A$485,0))),"")</f>
        <v/>
      </c>
      <c r="H175" s="20">
        <f>IF(AND(ISNUMBER(B175),ISNUMBER(C175)),MIN(B175,C175),"")</f>
        <v/>
      </c>
      <c r="I175" s="20">
        <f>IF(AND(ISNUMBER(F175),ISNUMBER(G175)),MIN(F175,G175),"")</f>
        <v/>
      </c>
      <c r="J175" s="17">
        <f>IF(AND(ISNUMBER(H175),ISNUMBER(I175)),H175+I175,"")</f>
        <v/>
      </c>
      <c r="K175" s="16" t="n">
        <v>0.5</v>
      </c>
      <c r="L175" s="26" t="inlineStr">
        <is>
          <t>16 Jun</t>
        </is>
      </c>
    </row>
    <row r="176">
      <c r="A176" s="41" t="n">
        <v>46190</v>
      </c>
      <c r="B176" s="101">
        <f>IFERROR(IF(INDEX(Polymarket!$B$25:$B$303,MATCH($A176,Polymarket!$A$25:$A$303,0))=0,"",INDEX(Polymarket!$B$25:$B$303,MATCH($A176,Polymarket!$A$25:$A$303,0))),"")</f>
        <v/>
      </c>
      <c r="C176" s="101">
        <f>IFERROR(IF(INDEX(Kalshi!$D$31:$D$485,MATCH($A176,Kalshi!$A$31:$A$485,0))=0,"",INDEX(Kalshi!$D$31:$D$485,MATCH($A176,Kalshi!$A$31:$A$485,0))),"")</f>
        <v/>
      </c>
      <c r="D176" s="31">
        <f>IF(AND(ISNUMBER(B176),ISNUMBER(C176)),B176-C176,"")</f>
        <v/>
      </c>
      <c r="E176" s="29">
        <f>IF(ISNUMBER(D176),ABS(D176),"")</f>
        <v/>
      </c>
      <c r="F176" s="101">
        <f>IFERROR(IF(INDEX(Polymarket!$C$25:$C$303,MATCH($A176,Polymarket!$A$25:$A$303,0))=0,"",INDEX(Polymarket!$C$25:$C$303,MATCH($A176,Polymarket!$A$25:$A$303,0))),"")</f>
        <v/>
      </c>
      <c r="G176" s="101">
        <f>IFERROR(IF(INDEX(Kalshi!$G$31:$G$485,MATCH($A176,Kalshi!$A$31:$A$485,0))=0,"",INDEX(Kalshi!$G$31:$G$485,MATCH($A176,Kalshi!$A$31:$A$485,0))),"")</f>
        <v/>
      </c>
      <c r="H176" s="30">
        <f>IF(AND(ISNUMBER(B176),ISNUMBER(C176)),MIN(B176,C176),"")</f>
        <v/>
      </c>
      <c r="I176" s="30">
        <f>IF(AND(ISNUMBER(F176),ISNUMBER(G176)),MIN(F176,G176),"")</f>
        <v/>
      </c>
      <c r="J176" s="29">
        <f>IF(AND(ISNUMBER(H176),ISNUMBER(I176)),H176+I176,"")</f>
        <v/>
      </c>
      <c r="K176" s="28" t="n">
        <v>0.5</v>
      </c>
      <c r="L176" s="38" t="inlineStr">
        <is>
          <t>17 Jun</t>
        </is>
      </c>
    </row>
    <row r="177">
      <c r="A177" s="39" t="n">
        <v>46191</v>
      </c>
      <c r="B177" s="100">
        <f>IFERROR(IF(INDEX(Polymarket!$B$25:$B$303,MATCH($A177,Polymarket!$A$25:$A$303,0))=0,"",INDEX(Polymarket!$B$25:$B$303,MATCH($A177,Polymarket!$A$25:$A$303,0))),"")</f>
        <v/>
      </c>
      <c r="C177" s="100">
        <f>IFERROR(IF(INDEX(Kalshi!$D$31:$D$485,MATCH($A177,Kalshi!$A$31:$A$485,0))=0,"",INDEX(Kalshi!$D$31:$D$485,MATCH($A177,Kalshi!$A$31:$A$485,0))),"")</f>
        <v/>
      </c>
      <c r="D177" s="18">
        <f>IF(AND(ISNUMBER(B177),ISNUMBER(C177)),B177-C177,"")</f>
        <v/>
      </c>
      <c r="E177" s="17">
        <f>IF(ISNUMBER(D177),ABS(D177),"")</f>
        <v/>
      </c>
      <c r="F177" s="100">
        <f>IFERROR(IF(INDEX(Polymarket!$C$25:$C$303,MATCH($A177,Polymarket!$A$25:$A$303,0))=0,"",INDEX(Polymarket!$C$25:$C$303,MATCH($A177,Polymarket!$A$25:$A$303,0))),"")</f>
        <v/>
      </c>
      <c r="G177" s="100">
        <f>IFERROR(IF(INDEX(Kalshi!$G$31:$G$485,MATCH($A177,Kalshi!$A$31:$A$485,0))=0,"",INDEX(Kalshi!$G$31:$G$485,MATCH($A177,Kalshi!$A$31:$A$485,0))),"")</f>
        <v/>
      </c>
      <c r="H177" s="20">
        <f>IF(AND(ISNUMBER(B177),ISNUMBER(C177)),MIN(B177,C177),"")</f>
        <v/>
      </c>
      <c r="I177" s="20">
        <f>IF(AND(ISNUMBER(F177),ISNUMBER(G177)),MIN(F177,G177),"")</f>
        <v/>
      </c>
      <c r="J177" s="17">
        <f>IF(AND(ISNUMBER(H177),ISNUMBER(I177)),H177+I177,"")</f>
        <v/>
      </c>
      <c r="K177" s="16" t="n">
        <v>0.5</v>
      </c>
      <c r="L177" s="26" t="inlineStr">
        <is>
          <t>18 Jun</t>
        </is>
      </c>
    </row>
    <row r="178">
      <c r="A178" s="41" t="n">
        <v>46192</v>
      </c>
      <c r="B178" s="101">
        <f>IFERROR(IF(INDEX(Polymarket!$B$25:$B$303,MATCH($A178,Polymarket!$A$25:$A$303,0))=0,"",INDEX(Polymarket!$B$25:$B$303,MATCH($A178,Polymarket!$A$25:$A$303,0))),"")</f>
        <v/>
      </c>
      <c r="C178" s="101">
        <f>IFERROR(IF(INDEX(Kalshi!$D$31:$D$485,MATCH($A178,Kalshi!$A$31:$A$485,0))=0,"",INDEX(Kalshi!$D$31:$D$485,MATCH($A178,Kalshi!$A$31:$A$485,0))),"")</f>
        <v/>
      </c>
      <c r="D178" s="31">
        <f>IF(AND(ISNUMBER(B178),ISNUMBER(C178)),B178-C178,"")</f>
        <v/>
      </c>
      <c r="E178" s="29">
        <f>IF(ISNUMBER(D178),ABS(D178),"")</f>
        <v/>
      </c>
      <c r="F178" s="101">
        <f>IFERROR(IF(INDEX(Polymarket!$C$25:$C$303,MATCH($A178,Polymarket!$A$25:$A$303,0))=0,"",INDEX(Polymarket!$C$25:$C$303,MATCH($A178,Polymarket!$A$25:$A$303,0))),"")</f>
        <v/>
      </c>
      <c r="G178" s="101">
        <f>IFERROR(IF(INDEX(Kalshi!$G$31:$G$485,MATCH($A178,Kalshi!$A$31:$A$485,0))=0,"",INDEX(Kalshi!$G$31:$G$485,MATCH($A178,Kalshi!$A$31:$A$485,0))),"")</f>
        <v/>
      </c>
      <c r="H178" s="30">
        <f>IF(AND(ISNUMBER(B178),ISNUMBER(C178)),MIN(B178,C178),"")</f>
        <v/>
      </c>
      <c r="I178" s="30">
        <f>IF(AND(ISNUMBER(F178),ISNUMBER(G178)),MIN(F178,G178),"")</f>
        <v/>
      </c>
      <c r="J178" s="29">
        <f>IF(AND(ISNUMBER(H178),ISNUMBER(I178)),H178+I178,"")</f>
        <v/>
      </c>
      <c r="K178" s="28" t="n">
        <v>0.5</v>
      </c>
      <c r="L178" s="38" t="inlineStr">
        <is>
          <t>19 Jun</t>
        </is>
      </c>
    </row>
    <row r="179">
      <c r="A179" s="39" t="n">
        <v>46193</v>
      </c>
      <c r="B179" s="100">
        <f>IFERROR(IF(INDEX(Polymarket!$B$25:$B$303,MATCH($A179,Polymarket!$A$25:$A$303,0))=0,"",INDEX(Polymarket!$B$25:$B$303,MATCH($A179,Polymarket!$A$25:$A$303,0))),"")</f>
        <v/>
      </c>
      <c r="C179" s="100">
        <f>IFERROR(IF(INDEX(Kalshi!$D$31:$D$485,MATCH($A179,Kalshi!$A$31:$A$485,0))=0,"",INDEX(Kalshi!$D$31:$D$485,MATCH($A179,Kalshi!$A$31:$A$485,0))),"")</f>
        <v/>
      </c>
      <c r="D179" s="18">
        <f>IF(AND(ISNUMBER(B179),ISNUMBER(C179)),B179-C179,"")</f>
        <v/>
      </c>
      <c r="E179" s="17">
        <f>IF(ISNUMBER(D179),ABS(D179),"")</f>
        <v/>
      </c>
      <c r="F179" s="100">
        <f>IFERROR(IF(INDEX(Polymarket!$C$25:$C$303,MATCH($A179,Polymarket!$A$25:$A$303,0))=0,"",INDEX(Polymarket!$C$25:$C$303,MATCH($A179,Polymarket!$A$25:$A$303,0))),"")</f>
        <v/>
      </c>
      <c r="G179" s="100">
        <f>IFERROR(IF(INDEX(Kalshi!$G$31:$G$485,MATCH($A179,Kalshi!$A$31:$A$485,0))=0,"",INDEX(Kalshi!$G$31:$G$485,MATCH($A179,Kalshi!$A$31:$A$485,0))),"")</f>
        <v/>
      </c>
      <c r="H179" s="20">
        <f>IF(AND(ISNUMBER(B179),ISNUMBER(C179)),MIN(B179,C179),"")</f>
        <v/>
      </c>
      <c r="I179" s="20">
        <f>IF(AND(ISNUMBER(F179),ISNUMBER(G179)),MIN(F179,G179),"")</f>
        <v/>
      </c>
      <c r="J179" s="17">
        <f>IF(AND(ISNUMBER(H179),ISNUMBER(I179)),H179+I179,"")</f>
        <v/>
      </c>
      <c r="K179" s="16" t="n">
        <v>0.5</v>
      </c>
      <c r="L179" s="26" t="inlineStr">
        <is>
          <t>20 Jun</t>
        </is>
      </c>
    </row>
    <row r="180">
      <c r="A180" s="41" t="n">
        <v>46194</v>
      </c>
      <c r="B180" s="101">
        <f>IFERROR(IF(INDEX(Polymarket!$B$25:$B$303,MATCH($A180,Polymarket!$A$25:$A$303,0))=0,"",INDEX(Polymarket!$B$25:$B$303,MATCH($A180,Polymarket!$A$25:$A$303,0))),"")</f>
        <v/>
      </c>
      <c r="C180" s="101">
        <f>IFERROR(IF(INDEX(Kalshi!$D$31:$D$485,MATCH($A180,Kalshi!$A$31:$A$485,0))=0,"",INDEX(Kalshi!$D$31:$D$485,MATCH($A180,Kalshi!$A$31:$A$485,0))),"")</f>
        <v/>
      </c>
      <c r="D180" s="31">
        <f>IF(AND(ISNUMBER(B180),ISNUMBER(C180)),B180-C180,"")</f>
        <v/>
      </c>
      <c r="E180" s="29">
        <f>IF(ISNUMBER(D180),ABS(D180),"")</f>
        <v/>
      </c>
      <c r="F180" s="101">
        <f>IFERROR(IF(INDEX(Polymarket!$C$25:$C$303,MATCH($A180,Polymarket!$A$25:$A$303,0))=0,"",INDEX(Polymarket!$C$25:$C$303,MATCH($A180,Polymarket!$A$25:$A$303,0))),"")</f>
        <v/>
      </c>
      <c r="G180" s="101">
        <f>IFERROR(IF(INDEX(Kalshi!$G$31:$G$485,MATCH($A180,Kalshi!$A$31:$A$485,0))=0,"",INDEX(Kalshi!$G$31:$G$485,MATCH($A180,Kalshi!$A$31:$A$485,0))),"")</f>
        <v/>
      </c>
      <c r="H180" s="30">
        <f>IF(AND(ISNUMBER(B180),ISNUMBER(C180)),MIN(B180,C180),"")</f>
        <v/>
      </c>
      <c r="I180" s="30">
        <f>IF(AND(ISNUMBER(F180),ISNUMBER(G180)),MIN(F180,G180),"")</f>
        <v/>
      </c>
      <c r="J180" s="29">
        <f>IF(AND(ISNUMBER(H180),ISNUMBER(I180)),H180+I180,"")</f>
        <v/>
      </c>
      <c r="K180" s="28" t="n">
        <v>0.5</v>
      </c>
      <c r="L180" s="38" t="inlineStr">
        <is>
          <t>21 Jun</t>
        </is>
      </c>
    </row>
    <row r="181">
      <c r="A181" s="39" t="n">
        <v>46195</v>
      </c>
      <c r="B181" s="100">
        <f>IFERROR(IF(INDEX(Polymarket!$B$25:$B$303,MATCH($A181,Polymarket!$A$25:$A$303,0))=0,"",INDEX(Polymarket!$B$25:$B$303,MATCH($A181,Polymarket!$A$25:$A$303,0))),"")</f>
        <v/>
      </c>
      <c r="C181" s="100">
        <f>IFERROR(IF(INDEX(Kalshi!$D$31:$D$485,MATCH($A181,Kalshi!$A$31:$A$485,0))=0,"",INDEX(Kalshi!$D$31:$D$485,MATCH($A181,Kalshi!$A$31:$A$485,0))),"")</f>
        <v/>
      </c>
      <c r="D181" s="18">
        <f>IF(AND(ISNUMBER(B181),ISNUMBER(C181)),B181-C181,"")</f>
        <v/>
      </c>
      <c r="E181" s="17">
        <f>IF(ISNUMBER(D181),ABS(D181),"")</f>
        <v/>
      </c>
      <c r="F181" s="100">
        <f>IFERROR(IF(INDEX(Polymarket!$C$25:$C$303,MATCH($A181,Polymarket!$A$25:$A$303,0))=0,"",INDEX(Polymarket!$C$25:$C$303,MATCH($A181,Polymarket!$A$25:$A$303,0))),"")</f>
        <v/>
      </c>
      <c r="G181" s="100">
        <f>IFERROR(IF(INDEX(Kalshi!$G$31:$G$485,MATCH($A181,Kalshi!$A$31:$A$485,0))=0,"",INDEX(Kalshi!$G$31:$G$485,MATCH($A181,Kalshi!$A$31:$A$485,0))),"")</f>
        <v/>
      </c>
      <c r="H181" s="20">
        <f>IF(AND(ISNUMBER(B181),ISNUMBER(C181)),MIN(B181,C181),"")</f>
        <v/>
      </c>
      <c r="I181" s="20">
        <f>IF(AND(ISNUMBER(F181),ISNUMBER(G181)),MIN(F181,G181),"")</f>
        <v/>
      </c>
      <c r="J181" s="17">
        <f>IF(AND(ISNUMBER(H181),ISNUMBER(I181)),H181+I181,"")</f>
        <v/>
      </c>
      <c r="K181" s="16" t="n">
        <v>0.5</v>
      </c>
      <c r="L181" s="26" t="inlineStr">
        <is>
          <t>22 Jun</t>
        </is>
      </c>
    </row>
    <row r="182">
      <c r="A182" s="41" t="n">
        <v>46196</v>
      </c>
      <c r="B182" s="101">
        <f>IFERROR(IF(INDEX(Polymarket!$B$25:$B$303,MATCH($A182,Polymarket!$A$25:$A$303,0))=0,"",INDEX(Polymarket!$B$25:$B$303,MATCH($A182,Polymarket!$A$25:$A$303,0))),"")</f>
        <v/>
      </c>
      <c r="C182" s="101">
        <f>IFERROR(IF(INDEX(Kalshi!$D$31:$D$485,MATCH($A182,Kalshi!$A$31:$A$485,0))=0,"",INDEX(Kalshi!$D$31:$D$485,MATCH($A182,Kalshi!$A$31:$A$485,0))),"")</f>
        <v/>
      </c>
      <c r="D182" s="31">
        <f>IF(AND(ISNUMBER(B182),ISNUMBER(C182)),B182-C182,"")</f>
        <v/>
      </c>
      <c r="E182" s="29">
        <f>IF(ISNUMBER(D182),ABS(D182),"")</f>
        <v/>
      </c>
      <c r="F182" s="101">
        <f>IFERROR(IF(INDEX(Polymarket!$C$25:$C$303,MATCH($A182,Polymarket!$A$25:$A$303,0))=0,"",INDEX(Polymarket!$C$25:$C$303,MATCH($A182,Polymarket!$A$25:$A$303,0))),"")</f>
        <v/>
      </c>
      <c r="G182" s="101">
        <f>IFERROR(IF(INDEX(Kalshi!$G$31:$G$485,MATCH($A182,Kalshi!$A$31:$A$485,0))=0,"",INDEX(Kalshi!$G$31:$G$485,MATCH($A182,Kalshi!$A$31:$A$485,0))),"")</f>
        <v/>
      </c>
      <c r="H182" s="30">
        <f>IF(AND(ISNUMBER(B182),ISNUMBER(C182)),MIN(B182,C182),"")</f>
        <v/>
      </c>
      <c r="I182" s="30">
        <f>IF(AND(ISNUMBER(F182),ISNUMBER(G182)),MIN(F182,G182),"")</f>
        <v/>
      </c>
      <c r="J182" s="29">
        <f>IF(AND(ISNUMBER(H182),ISNUMBER(I182)),H182+I182,"")</f>
        <v/>
      </c>
      <c r="K182" s="28" t="n">
        <v>0.5</v>
      </c>
      <c r="L182" s="38" t="inlineStr">
        <is>
          <t>23 Jun</t>
        </is>
      </c>
    </row>
    <row r="183">
      <c r="A183" s="39" t="n">
        <v>46197</v>
      </c>
      <c r="B183" s="100">
        <f>IFERROR(IF(INDEX(Polymarket!$B$25:$B$303,MATCH($A183,Polymarket!$A$25:$A$303,0))=0,"",INDEX(Polymarket!$B$25:$B$303,MATCH($A183,Polymarket!$A$25:$A$303,0))),"")</f>
        <v/>
      </c>
      <c r="C183" s="100">
        <f>IFERROR(IF(INDEX(Kalshi!$D$31:$D$485,MATCH($A183,Kalshi!$A$31:$A$485,0))=0,"",INDEX(Kalshi!$D$31:$D$485,MATCH($A183,Kalshi!$A$31:$A$485,0))),"")</f>
        <v/>
      </c>
      <c r="D183" s="18">
        <f>IF(AND(ISNUMBER(B183),ISNUMBER(C183)),B183-C183,"")</f>
        <v/>
      </c>
      <c r="E183" s="17">
        <f>IF(ISNUMBER(D183),ABS(D183),"")</f>
        <v/>
      </c>
      <c r="F183" s="100">
        <f>IFERROR(IF(INDEX(Polymarket!$C$25:$C$303,MATCH($A183,Polymarket!$A$25:$A$303,0))=0,"",INDEX(Polymarket!$C$25:$C$303,MATCH($A183,Polymarket!$A$25:$A$303,0))),"")</f>
        <v/>
      </c>
      <c r="G183" s="100">
        <f>IFERROR(IF(INDEX(Kalshi!$G$31:$G$485,MATCH($A183,Kalshi!$A$31:$A$485,0))=0,"",INDEX(Kalshi!$G$31:$G$485,MATCH($A183,Kalshi!$A$31:$A$485,0))),"")</f>
        <v/>
      </c>
      <c r="H183" s="20">
        <f>IF(AND(ISNUMBER(B183),ISNUMBER(C183)),MIN(B183,C183),"")</f>
        <v/>
      </c>
      <c r="I183" s="20">
        <f>IF(AND(ISNUMBER(F183),ISNUMBER(G183)),MIN(F183,G183),"")</f>
        <v/>
      </c>
      <c r="J183" s="17">
        <f>IF(AND(ISNUMBER(H183),ISNUMBER(I183)),H183+I183,"")</f>
        <v/>
      </c>
      <c r="K183" s="16" t="n">
        <v>0.5</v>
      </c>
      <c r="L183" s="26" t="inlineStr">
        <is>
          <t>24 Jun</t>
        </is>
      </c>
    </row>
    <row r="184">
      <c r="A184" s="41" t="n">
        <v>46198</v>
      </c>
      <c r="B184" s="101">
        <f>IFERROR(IF(INDEX(Polymarket!$B$25:$B$303,MATCH($A184,Polymarket!$A$25:$A$303,0))=0,"",INDEX(Polymarket!$B$25:$B$303,MATCH($A184,Polymarket!$A$25:$A$303,0))),"")</f>
        <v/>
      </c>
      <c r="C184" s="101">
        <f>IFERROR(IF(INDEX(Kalshi!$D$31:$D$485,MATCH($A184,Kalshi!$A$31:$A$485,0))=0,"",INDEX(Kalshi!$D$31:$D$485,MATCH($A184,Kalshi!$A$31:$A$485,0))),"")</f>
        <v/>
      </c>
      <c r="D184" s="31">
        <f>IF(AND(ISNUMBER(B184),ISNUMBER(C184)),B184-C184,"")</f>
        <v/>
      </c>
      <c r="E184" s="29">
        <f>IF(ISNUMBER(D184),ABS(D184),"")</f>
        <v/>
      </c>
      <c r="F184" s="101">
        <f>IFERROR(IF(INDEX(Polymarket!$C$25:$C$303,MATCH($A184,Polymarket!$A$25:$A$303,0))=0,"",INDEX(Polymarket!$C$25:$C$303,MATCH($A184,Polymarket!$A$25:$A$303,0))),"")</f>
        <v/>
      </c>
      <c r="G184" s="101">
        <f>IFERROR(IF(INDEX(Kalshi!$G$31:$G$485,MATCH($A184,Kalshi!$A$31:$A$485,0))=0,"",INDEX(Kalshi!$G$31:$G$485,MATCH($A184,Kalshi!$A$31:$A$485,0))),"")</f>
        <v/>
      </c>
      <c r="H184" s="30">
        <f>IF(AND(ISNUMBER(B184),ISNUMBER(C184)),MIN(B184,C184),"")</f>
        <v/>
      </c>
      <c r="I184" s="30">
        <f>IF(AND(ISNUMBER(F184),ISNUMBER(G184)),MIN(F184,G184),"")</f>
        <v/>
      </c>
      <c r="J184" s="29">
        <f>IF(AND(ISNUMBER(H184),ISNUMBER(I184)),H184+I184,"")</f>
        <v/>
      </c>
      <c r="K184" s="28" t="n">
        <v>0.5</v>
      </c>
      <c r="L184" s="38" t="inlineStr">
        <is>
          <t>25 Jun</t>
        </is>
      </c>
    </row>
    <row r="185">
      <c r="A185" s="39" t="n">
        <v>46199</v>
      </c>
      <c r="B185" s="100">
        <f>IFERROR(IF(INDEX(Polymarket!$B$25:$B$303,MATCH($A185,Polymarket!$A$25:$A$303,0))=0,"",INDEX(Polymarket!$B$25:$B$303,MATCH($A185,Polymarket!$A$25:$A$303,0))),"")</f>
        <v/>
      </c>
      <c r="C185" s="100">
        <f>IFERROR(IF(INDEX(Kalshi!$D$31:$D$485,MATCH($A185,Kalshi!$A$31:$A$485,0))=0,"",INDEX(Kalshi!$D$31:$D$485,MATCH($A185,Kalshi!$A$31:$A$485,0))),"")</f>
        <v/>
      </c>
      <c r="D185" s="18">
        <f>IF(AND(ISNUMBER(B185),ISNUMBER(C185)),B185-C185,"")</f>
        <v/>
      </c>
      <c r="E185" s="17">
        <f>IF(ISNUMBER(D185),ABS(D185),"")</f>
        <v/>
      </c>
      <c r="F185" s="100">
        <f>IFERROR(IF(INDEX(Polymarket!$C$25:$C$303,MATCH($A185,Polymarket!$A$25:$A$303,0))=0,"",INDEX(Polymarket!$C$25:$C$303,MATCH($A185,Polymarket!$A$25:$A$303,0))),"")</f>
        <v/>
      </c>
      <c r="G185" s="100">
        <f>IFERROR(IF(INDEX(Kalshi!$G$31:$G$485,MATCH($A185,Kalshi!$A$31:$A$485,0))=0,"",INDEX(Kalshi!$G$31:$G$485,MATCH($A185,Kalshi!$A$31:$A$485,0))),"")</f>
        <v/>
      </c>
      <c r="H185" s="20">
        <f>IF(AND(ISNUMBER(B185),ISNUMBER(C185)),MIN(B185,C185),"")</f>
        <v/>
      </c>
      <c r="I185" s="20">
        <f>IF(AND(ISNUMBER(F185),ISNUMBER(G185)),MIN(F185,G185),"")</f>
        <v/>
      </c>
      <c r="J185" s="17">
        <f>IF(AND(ISNUMBER(H185),ISNUMBER(I185)),H185+I185,"")</f>
        <v/>
      </c>
      <c r="K185" s="16" t="n">
        <v>0.5</v>
      </c>
      <c r="L185" s="26" t="inlineStr">
        <is>
          <t>26 Jun</t>
        </is>
      </c>
    </row>
    <row r="186">
      <c r="A186" s="41" t="n">
        <v>46200</v>
      </c>
      <c r="B186" s="101">
        <f>IFERROR(IF(INDEX(Polymarket!$B$25:$B$303,MATCH($A186,Polymarket!$A$25:$A$303,0))=0,"",INDEX(Polymarket!$B$25:$B$303,MATCH($A186,Polymarket!$A$25:$A$303,0))),"")</f>
        <v/>
      </c>
      <c r="C186" s="101">
        <f>IFERROR(IF(INDEX(Kalshi!$D$31:$D$485,MATCH($A186,Kalshi!$A$31:$A$485,0))=0,"",INDEX(Kalshi!$D$31:$D$485,MATCH($A186,Kalshi!$A$31:$A$485,0))),"")</f>
        <v/>
      </c>
      <c r="D186" s="31">
        <f>IF(AND(ISNUMBER(B186),ISNUMBER(C186)),B186-C186,"")</f>
        <v/>
      </c>
      <c r="E186" s="29">
        <f>IF(ISNUMBER(D186),ABS(D186),"")</f>
        <v/>
      </c>
      <c r="F186" s="101">
        <f>IFERROR(IF(INDEX(Polymarket!$C$25:$C$303,MATCH($A186,Polymarket!$A$25:$A$303,0))=0,"",INDEX(Polymarket!$C$25:$C$303,MATCH($A186,Polymarket!$A$25:$A$303,0))),"")</f>
        <v/>
      </c>
      <c r="G186" s="101">
        <f>IFERROR(IF(INDEX(Kalshi!$G$31:$G$485,MATCH($A186,Kalshi!$A$31:$A$485,0))=0,"",INDEX(Kalshi!$G$31:$G$485,MATCH($A186,Kalshi!$A$31:$A$485,0))),"")</f>
        <v/>
      </c>
      <c r="H186" s="30">
        <f>IF(AND(ISNUMBER(B186),ISNUMBER(C186)),MIN(B186,C186),"")</f>
        <v/>
      </c>
      <c r="I186" s="30">
        <f>IF(AND(ISNUMBER(F186),ISNUMBER(G186)),MIN(F186,G186),"")</f>
        <v/>
      </c>
      <c r="J186" s="29">
        <f>IF(AND(ISNUMBER(H186),ISNUMBER(I186)),H186+I186,"")</f>
        <v/>
      </c>
      <c r="K186" s="28" t="n">
        <v>0.5</v>
      </c>
      <c r="L186" s="38" t="inlineStr">
        <is>
          <t>27 Jun</t>
        </is>
      </c>
    </row>
    <row r="187">
      <c r="A187" s="39" t="n">
        <v>46201</v>
      </c>
      <c r="B187" s="100">
        <f>IFERROR(IF(INDEX(Polymarket!$B$25:$B$303,MATCH($A187,Polymarket!$A$25:$A$303,0))=0,"",INDEX(Polymarket!$B$25:$B$303,MATCH($A187,Polymarket!$A$25:$A$303,0))),"")</f>
        <v/>
      </c>
      <c r="C187" s="100">
        <f>IFERROR(IF(INDEX(Kalshi!$D$31:$D$485,MATCH($A187,Kalshi!$A$31:$A$485,0))=0,"",INDEX(Kalshi!$D$31:$D$485,MATCH($A187,Kalshi!$A$31:$A$485,0))),"")</f>
        <v/>
      </c>
      <c r="D187" s="18">
        <f>IF(AND(ISNUMBER(B187),ISNUMBER(C187)),B187-C187,"")</f>
        <v/>
      </c>
      <c r="E187" s="17">
        <f>IF(ISNUMBER(D187),ABS(D187),"")</f>
        <v/>
      </c>
      <c r="F187" s="100">
        <f>IFERROR(IF(INDEX(Polymarket!$C$25:$C$303,MATCH($A187,Polymarket!$A$25:$A$303,0))=0,"",INDEX(Polymarket!$C$25:$C$303,MATCH($A187,Polymarket!$A$25:$A$303,0))),"")</f>
        <v/>
      </c>
      <c r="G187" s="100">
        <f>IFERROR(IF(INDEX(Kalshi!$G$31:$G$485,MATCH($A187,Kalshi!$A$31:$A$485,0))=0,"",INDEX(Kalshi!$G$31:$G$485,MATCH($A187,Kalshi!$A$31:$A$485,0))),"")</f>
        <v/>
      </c>
      <c r="H187" s="20">
        <f>IF(AND(ISNUMBER(B187),ISNUMBER(C187)),MIN(B187,C187),"")</f>
        <v/>
      </c>
      <c r="I187" s="20">
        <f>IF(AND(ISNUMBER(F187),ISNUMBER(G187)),MIN(F187,G187),"")</f>
        <v/>
      </c>
      <c r="J187" s="17">
        <f>IF(AND(ISNUMBER(H187),ISNUMBER(I187)),H187+I187,"")</f>
        <v/>
      </c>
      <c r="K187" s="16" t="n">
        <v>0.5</v>
      </c>
      <c r="L187" s="26" t="inlineStr">
        <is>
          <t>28 Jun</t>
        </is>
      </c>
    </row>
    <row r="188">
      <c r="A188" s="41" t="n">
        <v>46202</v>
      </c>
      <c r="B188" s="101">
        <f>IFERROR(IF(INDEX(Polymarket!$B$25:$B$303,MATCH($A188,Polymarket!$A$25:$A$303,0))=0,"",INDEX(Polymarket!$B$25:$B$303,MATCH($A188,Polymarket!$A$25:$A$303,0))),"")</f>
        <v/>
      </c>
      <c r="C188" s="101">
        <f>IFERROR(IF(INDEX(Kalshi!$D$31:$D$485,MATCH($A188,Kalshi!$A$31:$A$485,0))=0,"",INDEX(Kalshi!$D$31:$D$485,MATCH($A188,Kalshi!$A$31:$A$485,0))),"")</f>
        <v/>
      </c>
      <c r="D188" s="31">
        <f>IF(AND(ISNUMBER(B188),ISNUMBER(C188)),B188-C188,"")</f>
        <v/>
      </c>
      <c r="E188" s="29">
        <f>IF(ISNUMBER(D188),ABS(D188),"")</f>
        <v/>
      </c>
      <c r="F188" s="101">
        <f>IFERROR(IF(INDEX(Polymarket!$C$25:$C$303,MATCH($A188,Polymarket!$A$25:$A$303,0))=0,"",INDEX(Polymarket!$C$25:$C$303,MATCH($A188,Polymarket!$A$25:$A$303,0))),"")</f>
        <v/>
      </c>
      <c r="G188" s="101">
        <f>IFERROR(IF(INDEX(Kalshi!$G$31:$G$485,MATCH($A188,Kalshi!$A$31:$A$485,0))=0,"",INDEX(Kalshi!$G$31:$G$485,MATCH($A188,Kalshi!$A$31:$A$485,0))),"")</f>
        <v/>
      </c>
      <c r="H188" s="30">
        <f>IF(AND(ISNUMBER(B188),ISNUMBER(C188)),MIN(B188,C188),"")</f>
        <v/>
      </c>
      <c r="I188" s="30">
        <f>IF(AND(ISNUMBER(F188),ISNUMBER(G188)),MIN(F188,G188),"")</f>
        <v/>
      </c>
      <c r="J188" s="29">
        <f>IF(AND(ISNUMBER(H188),ISNUMBER(I188)),H188+I188,"")</f>
        <v/>
      </c>
      <c r="K188" s="28" t="n">
        <v>0.5</v>
      </c>
      <c r="L188" s="38" t="inlineStr">
        <is>
          <t>29 Jun</t>
        </is>
      </c>
    </row>
    <row r="189">
      <c r="A189" s="39" t="n">
        <v>46203</v>
      </c>
      <c r="B189" s="100">
        <f>IFERROR(IF(INDEX(Polymarket!$B$25:$B$303,MATCH($A189,Polymarket!$A$25:$A$303,0))=0,"",INDEX(Polymarket!$B$25:$B$303,MATCH($A189,Polymarket!$A$25:$A$303,0))),"")</f>
        <v/>
      </c>
      <c r="C189" s="100">
        <f>IFERROR(IF(INDEX(Kalshi!$D$31:$D$485,MATCH($A189,Kalshi!$A$31:$A$485,0))=0,"",INDEX(Kalshi!$D$31:$D$485,MATCH($A189,Kalshi!$A$31:$A$485,0))),"")</f>
        <v/>
      </c>
      <c r="D189" s="18">
        <f>IF(AND(ISNUMBER(B189),ISNUMBER(C189)),B189-C189,"")</f>
        <v/>
      </c>
      <c r="E189" s="17">
        <f>IF(ISNUMBER(D189),ABS(D189),"")</f>
        <v/>
      </c>
      <c r="F189" s="100">
        <f>IFERROR(IF(INDEX(Polymarket!$C$25:$C$303,MATCH($A189,Polymarket!$A$25:$A$303,0))=0,"",INDEX(Polymarket!$C$25:$C$303,MATCH($A189,Polymarket!$A$25:$A$303,0))),"")</f>
        <v/>
      </c>
      <c r="G189" s="100">
        <f>IFERROR(IF(INDEX(Kalshi!$G$31:$G$485,MATCH($A189,Kalshi!$A$31:$A$485,0))=0,"",INDEX(Kalshi!$G$31:$G$485,MATCH($A189,Kalshi!$A$31:$A$485,0))),"")</f>
        <v/>
      </c>
      <c r="H189" s="20">
        <f>IF(AND(ISNUMBER(B189),ISNUMBER(C189)),MIN(B189,C189),"")</f>
        <v/>
      </c>
      <c r="I189" s="20">
        <f>IF(AND(ISNUMBER(F189),ISNUMBER(G189)),MIN(F189,G189),"")</f>
        <v/>
      </c>
      <c r="J189" s="17">
        <f>IF(AND(ISNUMBER(H189),ISNUMBER(I189)),H189+I189,"")</f>
        <v/>
      </c>
      <c r="K189" s="16" t="n">
        <v>0.5</v>
      </c>
      <c r="L189" s="26" t="inlineStr">
        <is>
          <t>30 Jun</t>
        </is>
      </c>
    </row>
    <row r="190">
      <c r="A190" s="41" t="n">
        <v>46204</v>
      </c>
      <c r="B190" s="101">
        <f>IFERROR(IF(INDEX(Polymarket!$B$25:$B$303,MATCH($A190,Polymarket!$A$25:$A$303,0))=0,"",INDEX(Polymarket!$B$25:$B$303,MATCH($A190,Polymarket!$A$25:$A$303,0))),"")</f>
        <v/>
      </c>
      <c r="C190" s="101">
        <f>IFERROR(IF(INDEX(Kalshi!$D$31:$D$485,MATCH($A190,Kalshi!$A$31:$A$485,0))=0,"",INDEX(Kalshi!$D$31:$D$485,MATCH($A190,Kalshi!$A$31:$A$485,0))),"")</f>
        <v/>
      </c>
      <c r="D190" s="31">
        <f>IF(AND(ISNUMBER(B190),ISNUMBER(C190)),B190-C190,"")</f>
        <v/>
      </c>
      <c r="E190" s="29">
        <f>IF(ISNUMBER(D190),ABS(D190),"")</f>
        <v/>
      </c>
      <c r="F190" s="101">
        <f>IFERROR(IF(INDEX(Polymarket!$C$25:$C$303,MATCH($A190,Polymarket!$A$25:$A$303,0))=0,"",INDEX(Polymarket!$C$25:$C$303,MATCH($A190,Polymarket!$A$25:$A$303,0))),"")</f>
        <v/>
      </c>
      <c r="G190" s="101">
        <f>IFERROR(IF(INDEX(Kalshi!$G$31:$G$485,MATCH($A190,Kalshi!$A$31:$A$485,0))=0,"",INDEX(Kalshi!$G$31:$G$485,MATCH($A190,Kalshi!$A$31:$A$485,0))),"")</f>
        <v/>
      </c>
      <c r="H190" s="30">
        <f>IF(AND(ISNUMBER(B190),ISNUMBER(C190)),MIN(B190,C190),"")</f>
        <v/>
      </c>
      <c r="I190" s="30">
        <f>IF(AND(ISNUMBER(F190),ISNUMBER(G190)),MIN(F190,G190),"")</f>
        <v/>
      </c>
      <c r="J190" s="29">
        <f>IF(AND(ISNUMBER(H190),ISNUMBER(I190)),H190+I190,"")</f>
        <v/>
      </c>
      <c r="K190" s="28" t="n">
        <v>0.5</v>
      </c>
      <c r="L190" s="38" t="inlineStr">
        <is>
          <t>01 Jul</t>
        </is>
      </c>
    </row>
    <row r="191">
      <c r="A191" s="39" t="n">
        <v>46205</v>
      </c>
      <c r="B191" s="100">
        <f>IFERROR(IF(INDEX(Polymarket!$B$25:$B$303,MATCH($A191,Polymarket!$A$25:$A$303,0))=0,"",INDEX(Polymarket!$B$25:$B$303,MATCH($A191,Polymarket!$A$25:$A$303,0))),"")</f>
        <v/>
      </c>
      <c r="C191" s="100">
        <f>IFERROR(IF(INDEX(Kalshi!$D$31:$D$485,MATCH($A191,Kalshi!$A$31:$A$485,0))=0,"",INDEX(Kalshi!$D$31:$D$485,MATCH($A191,Kalshi!$A$31:$A$485,0))),"")</f>
        <v/>
      </c>
      <c r="D191" s="18">
        <f>IF(AND(ISNUMBER(B191),ISNUMBER(C191)),B191-C191,"")</f>
        <v/>
      </c>
      <c r="E191" s="17">
        <f>IF(ISNUMBER(D191),ABS(D191),"")</f>
        <v/>
      </c>
      <c r="F191" s="100">
        <f>IFERROR(IF(INDEX(Polymarket!$C$25:$C$303,MATCH($A191,Polymarket!$A$25:$A$303,0))=0,"",INDEX(Polymarket!$C$25:$C$303,MATCH($A191,Polymarket!$A$25:$A$303,0))),"")</f>
        <v/>
      </c>
      <c r="G191" s="100">
        <f>IFERROR(IF(INDEX(Kalshi!$G$31:$G$485,MATCH($A191,Kalshi!$A$31:$A$485,0))=0,"",INDEX(Kalshi!$G$31:$G$485,MATCH($A191,Kalshi!$A$31:$A$485,0))),"")</f>
        <v/>
      </c>
      <c r="H191" s="20">
        <f>IF(AND(ISNUMBER(B191),ISNUMBER(C191)),MIN(B191,C191),"")</f>
        <v/>
      </c>
      <c r="I191" s="20">
        <f>IF(AND(ISNUMBER(F191),ISNUMBER(G191)),MIN(F191,G191),"")</f>
        <v/>
      </c>
      <c r="J191" s="17">
        <f>IF(AND(ISNUMBER(H191),ISNUMBER(I191)),H191+I191,"")</f>
        <v/>
      </c>
      <c r="K191" s="16" t="n">
        <v>0.5</v>
      </c>
      <c r="L191" s="26" t="inlineStr">
        <is>
          <t>02 Jul</t>
        </is>
      </c>
    </row>
    <row r="192">
      <c r="A192" s="41" t="n">
        <v>46206</v>
      </c>
      <c r="B192" s="101">
        <f>IFERROR(IF(INDEX(Polymarket!$B$25:$B$303,MATCH($A192,Polymarket!$A$25:$A$303,0))=0,"",INDEX(Polymarket!$B$25:$B$303,MATCH($A192,Polymarket!$A$25:$A$303,0))),"")</f>
        <v/>
      </c>
      <c r="C192" s="101">
        <f>IFERROR(IF(INDEX(Kalshi!$D$31:$D$485,MATCH($A192,Kalshi!$A$31:$A$485,0))=0,"",INDEX(Kalshi!$D$31:$D$485,MATCH($A192,Kalshi!$A$31:$A$485,0))),"")</f>
        <v/>
      </c>
      <c r="D192" s="31">
        <f>IF(AND(ISNUMBER(B192),ISNUMBER(C192)),B192-C192,"")</f>
        <v/>
      </c>
      <c r="E192" s="29">
        <f>IF(ISNUMBER(D192),ABS(D192),"")</f>
        <v/>
      </c>
      <c r="F192" s="101">
        <f>IFERROR(IF(INDEX(Polymarket!$C$25:$C$303,MATCH($A192,Polymarket!$A$25:$A$303,0))=0,"",INDEX(Polymarket!$C$25:$C$303,MATCH($A192,Polymarket!$A$25:$A$303,0))),"")</f>
        <v/>
      </c>
      <c r="G192" s="101">
        <f>IFERROR(IF(INDEX(Kalshi!$G$31:$G$485,MATCH($A192,Kalshi!$A$31:$A$485,0))=0,"",INDEX(Kalshi!$G$31:$G$485,MATCH($A192,Kalshi!$A$31:$A$485,0))),"")</f>
        <v/>
      </c>
      <c r="H192" s="30">
        <f>IF(AND(ISNUMBER(B192),ISNUMBER(C192)),MIN(B192,C192),"")</f>
        <v/>
      </c>
      <c r="I192" s="30">
        <f>IF(AND(ISNUMBER(F192),ISNUMBER(G192)),MIN(F192,G192),"")</f>
        <v/>
      </c>
      <c r="J192" s="29">
        <f>IF(AND(ISNUMBER(H192),ISNUMBER(I192)),H192+I192,"")</f>
        <v/>
      </c>
      <c r="K192" s="28" t="n">
        <v>0.5</v>
      </c>
      <c r="L192" s="38" t="inlineStr">
        <is>
          <t>03 Jul</t>
        </is>
      </c>
    </row>
    <row r="193">
      <c r="A193" s="39" t="n">
        <v>46207</v>
      </c>
      <c r="B193" s="100">
        <f>IFERROR(IF(INDEX(Polymarket!$B$25:$B$303,MATCH($A193,Polymarket!$A$25:$A$303,0))=0,"",INDEX(Polymarket!$B$25:$B$303,MATCH($A193,Polymarket!$A$25:$A$303,0))),"")</f>
        <v/>
      </c>
      <c r="C193" s="100">
        <f>IFERROR(IF(INDEX(Kalshi!$D$31:$D$485,MATCH($A193,Kalshi!$A$31:$A$485,0))=0,"",INDEX(Kalshi!$D$31:$D$485,MATCH($A193,Kalshi!$A$31:$A$485,0))),"")</f>
        <v/>
      </c>
      <c r="D193" s="18">
        <f>IF(AND(ISNUMBER(B193),ISNUMBER(C193)),B193-C193,"")</f>
        <v/>
      </c>
      <c r="E193" s="17">
        <f>IF(ISNUMBER(D193),ABS(D193),"")</f>
        <v/>
      </c>
      <c r="F193" s="100">
        <f>IFERROR(IF(INDEX(Polymarket!$C$25:$C$303,MATCH($A193,Polymarket!$A$25:$A$303,0))=0,"",INDEX(Polymarket!$C$25:$C$303,MATCH($A193,Polymarket!$A$25:$A$303,0))),"")</f>
        <v/>
      </c>
      <c r="G193" s="100">
        <f>IFERROR(IF(INDEX(Kalshi!$G$31:$G$485,MATCH($A193,Kalshi!$A$31:$A$485,0))=0,"",INDEX(Kalshi!$G$31:$G$485,MATCH($A193,Kalshi!$A$31:$A$485,0))),"")</f>
        <v/>
      </c>
      <c r="H193" s="20">
        <f>IF(AND(ISNUMBER(B193),ISNUMBER(C193)),MIN(B193,C193),"")</f>
        <v/>
      </c>
      <c r="I193" s="20">
        <f>IF(AND(ISNUMBER(F193),ISNUMBER(G193)),MIN(F193,G193),"")</f>
        <v/>
      </c>
      <c r="J193" s="17">
        <f>IF(AND(ISNUMBER(H193),ISNUMBER(I193)),H193+I193,"")</f>
        <v/>
      </c>
      <c r="K193" s="16" t="n">
        <v>0.5</v>
      </c>
      <c r="L193" s="26" t="inlineStr">
        <is>
          <t>04 Jul</t>
        </is>
      </c>
    </row>
    <row r="194">
      <c r="A194" s="41" t="n">
        <v>46208</v>
      </c>
      <c r="B194" s="101">
        <f>IFERROR(IF(INDEX(Polymarket!$B$25:$B$303,MATCH($A194,Polymarket!$A$25:$A$303,0))=0,"",INDEX(Polymarket!$B$25:$B$303,MATCH($A194,Polymarket!$A$25:$A$303,0))),"")</f>
        <v/>
      </c>
      <c r="C194" s="101">
        <f>IFERROR(IF(INDEX(Kalshi!$D$31:$D$485,MATCH($A194,Kalshi!$A$31:$A$485,0))=0,"",INDEX(Kalshi!$D$31:$D$485,MATCH($A194,Kalshi!$A$31:$A$485,0))),"")</f>
        <v/>
      </c>
      <c r="D194" s="31">
        <f>IF(AND(ISNUMBER(B194),ISNUMBER(C194)),B194-C194,"")</f>
        <v/>
      </c>
      <c r="E194" s="29">
        <f>IF(ISNUMBER(D194),ABS(D194),"")</f>
        <v/>
      </c>
      <c r="F194" s="101">
        <f>IFERROR(IF(INDEX(Polymarket!$C$25:$C$303,MATCH($A194,Polymarket!$A$25:$A$303,0))=0,"",INDEX(Polymarket!$C$25:$C$303,MATCH($A194,Polymarket!$A$25:$A$303,0))),"")</f>
        <v/>
      </c>
      <c r="G194" s="101">
        <f>IFERROR(IF(INDEX(Kalshi!$G$31:$G$485,MATCH($A194,Kalshi!$A$31:$A$485,0))=0,"",INDEX(Kalshi!$G$31:$G$485,MATCH($A194,Kalshi!$A$31:$A$485,0))),"")</f>
        <v/>
      </c>
      <c r="H194" s="30">
        <f>IF(AND(ISNUMBER(B194),ISNUMBER(C194)),MIN(B194,C194),"")</f>
        <v/>
      </c>
      <c r="I194" s="30">
        <f>IF(AND(ISNUMBER(F194),ISNUMBER(G194)),MIN(F194,G194),"")</f>
        <v/>
      </c>
      <c r="J194" s="29">
        <f>IF(AND(ISNUMBER(H194),ISNUMBER(I194)),H194+I194,"")</f>
        <v/>
      </c>
      <c r="K194" s="28" t="n">
        <v>0.5</v>
      </c>
      <c r="L194" s="38" t="inlineStr">
        <is>
          <t>05 Jul</t>
        </is>
      </c>
    </row>
    <row r="195">
      <c r="A195" s="39" t="n">
        <v>46209</v>
      </c>
      <c r="B195" s="100">
        <f>IFERROR(IF(INDEX(Polymarket!$B$25:$B$303,MATCH($A195,Polymarket!$A$25:$A$303,0))=0,"",INDEX(Polymarket!$B$25:$B$303,MATCH($A195,Polymarket!$A$25:$A$303,0))),"")</f>
        <v/>
      </c>
      <c r="C195" s="100">
        <f>IFERROR(IF(INDEX(Kalshi!$D$31:$D$485,MATCH($A195,Kalshi!$A$31:$A$485,0))=0,"",INDEX(Kalshi!$D$31:$D$485,MATCH($A195,Kalshi!$A$31:$A$485,0))),"")</f>
        <v/>
      </c>
      <c r="D195" s="18">
        <f>IF(AND(ISNUMBER(B195),ISNUMBER(C195)),B195-C195,"")</f>
        <v/>
      </c>
      <c r="E195" s="17">
        <f>IF(ISNUMBER(D195),ABS(D195),"")</f>
        <v/>
      </c>
      <c r="F195" s="100">
        <f>IFERROR(IF(INDEX(Polymarket!$C$25:$C$303,MATCH($A195,Polymarket!$A$25:$A$303,0))=0,"",INDEX(Polymarket!$C$25:$C$303,MATCH($A195,Polymarket!$A$25:$A$303,0))),"")</f>
        <v/>
      </c>
      <c r="G195" s="100">
        <f>IFERROR(IF(INDEX(Kalshi!$G$31:$G$485,MATCH($A195,Kalshi!$A$31:$A$485,0))=0,"",INDEX(Kalshi!$G$31:$G$485,MATCH($A195,Kalshi!$A$31:$A$485,0))),"")</f>
        <v/>
      </c>
      <c r="H195" s="20">
        <f>IF(AND(ISNUMBER(B195),ISNUMBER(C195)),MIN(B195,C195),"")</f>
        <v/>
      </c>
      <c r="I195" s="20">
        <f>IF(AND(ISNUMBER(F195),ISNUMBER(G195)),MIN(F195,G195),"")</f>
        <v/>
      </c>
      <c r="J195" s="17">
        <f>IF(AND(ISNUMBER(H195),ISNUMBER(I195)),H195+I195,"")</f>
        <v/>
      </c>
      <c r="K195" s="16" t="n">
        <v>0.5</v>
      </c>
      <c r="L195" s="26" t="inlineStr">
        <is>
          <t>06 Jul</t>
        </is>
      </c>
    </row>
    <row r="196">
      <c r="A196" s="41" t="n">
        <v>46210</v>
      </c>
      <c r="B196" s="101">
        <f>IFERROR(IF(INDEX(Polymarket!$B$25:$B$303,MATCH($A196,Polymarket!$A$25:$A$303,0))=0,"",INDEX(Polymarket!$B$25:$B$303,MATCH($A196,Polymarket!$A$25:$A$303,0))),"")</f>
        <v/>
      </c>
      <c r="C196" s="101">
        <f>IFERROR(IF(INDEX(Kalshi!$D$31:$D$485,MATCH($A196,Kalshi!$A$31:$A$485,0))=0,"",INDEX(Kalshi!$D$31:$D$485,MATCH($A196,Kalshi!$A$31:$A$485,0))),"")</f>
        <v/>
      </c>
      <c r="D196" s="31">
        <f>IF(AND(ISNUMBER(B196),ISNUMBER(C196)),B196-C196,"")</f>
        <v/>
      </c>
      <c r="E196" s="29">
        <f>IF(ISNUMBER(D196),ABS(D196),"")</f>
        <v/>
      </c>
      <c r="F196" s="101">
        <f>IFERROR(IF(INDEX(Polymarket!$C$25:$C$303,MATCH($A196,Polymarket!$A$25:$A$303,0))=0,"",INDEX(Polymarket!$C$25:$C$303,MATCH($A196,Polymarket!$A$25:$A$303,0))),"")</f>
        <v/>
      </c>
      <c r="G196" s="101">
        <f>IFERROR(IF(INDEX(Kalshi!$G$31:$G$485,MATCH($A196,Kalshi!$A$31:$A$485,0))=0,"",INDEX(Kalshi!$G$31:$G$485,MATCH($A196,Kalshi!$A$31:$A$485,0))),"")</f>
        <v/>
      </c>
      <c r="H196" s="30">
        <f>IF(AND(ISNUMBER(B196),ISNUMBER(C196)),MIN(B196,C196),"")</f>
        <v/>
      </c>
      <c r="I196" s="30">
        <f>IF(AND(ISNUMBER(F196),ISNUMBER(G196)),MIN(F196,G196),"")</f>
        <v/>
      </c>
      <c r="J196" s="29">
        <f>IF(AND(ISNUMBER(H196),ISNUMBER(I196)),H196+I196,"")</f>
        <v/>
      </c>
      <c r="K196" s="28" t="n">
        <v>0.5</v>
      </c>
      <c r="L196" s="38" t="inlineStr">
        <is>
          <t>07 Jul</t>
        </is>
      </c>
    </row>
    <row r="197">
      <c r="A197" s="39" t="n">
        <v>46211</v>
      </c>
      <c r="B197" s="100">
        <f>IFERROR(IF(INDEX(Polymarket!$B$25:$B$303,MATCH($A197,Polymarket!$A$25:$A$303,0))=0,"",INDEX(Polymarket!$B$25:$B$303,MATCH($A197,Polymarket!$A$25:$A$303,0))),"")</f>
        <v/>
      </c>
      <c r="C197" s="100">
        <f>IFERROR(IF(INDEX(Kalshi!$D$31:$D$485,MATCH($A197,Kalshi!$A$31:$A$485,0))=0,"",INDEX(Kalshi!$D$31:$D$485,MATCH($A197,Kalshi!$A$31:$A$485,0))),"")</f>
        <v/>
      </c>
      <c r="D197" s="18">
        <f>IF(AND(ISNUMBER(B197),ISNUMBER(C197)),B197-C197,"")</f>
        <v/>
      </c>
      <c r="E197" s="17">
        <f>IF(ISNUMBER(D197),ABS(D197),"")</f>
        <v/>
      </c>
      <c r="F197" s="100">
        <f>IFERROR(IF(INDEX(Polymarket!$C$25:$C$303,MATCH($A197,Polymarket!$A$25:$A$303,0))=0,"",INDEX(Polymarket!$C$25:$C$303,MATCH($A197,Polymarket!$A$25:$A$303,0))),"")</f>
        <v/>
      </c>
      <c r="G197" s="100">
        <f>IFERROR(IF(INDEX(Kalshi!$G$31:$G$485,MATCH($A197,Kalshi!$A$31:$A$485,0))=0,"",INDEX(Kalshi!$G$31:$G$485,MATCH($A197,Kalshi!$A$31:$A$485,0))),"")</f>
        <v/>
      </c>
      <c r="H197" s="20">
        <f>IF(AND(ISNUMBER(B197),ISNUMBER(C197)),MIN(B197,C197),"")</f>
        <v/>
      </c>
      <c r="I197" s="20">
        <f>IF(AND(ISNUMBER(F197),ISNUMBER(G197)),MIN(F197,G197),"")</f>
        <v/>
      </c>
      <c r="J197" s="17">
        <f>IF(AND(ISNUMBER(H197),ISNUMBER(I197)),H197+I197,"")</f>
        <v/>
      </c>
      <c r="K197" s="16" t="n">
        <v>0.5</v>
      </c>
      <c r="L197" s="26" t="inlineStr">
        <is>
          <t>08 Jul</t>
        </is>
      </c>
    </row>
    <row r="198">
      <c r="A198" s="41" t="n">
        <v>46212</v>
      </c>
      <c r="B198" s="101">
        <f>IFERROR(IF(INDEX(Polymarket!$B$25:$B$303,MATCH($A198,Polymarket!$A$25:$A$303,0))=0,"",INDEX(Polymarket!$B$25:$B$303,MATCH($A198,Polymarket!$A$25:$A$303,0))),"")</f>
        <v/>
      </c>
      <c r="C198" s="101">
        <f>IFERROR(IF(INDEX(Kalshi!$D$31:$D$485,MATCH($A198,Kalshi!$A$31:$A$485,0))=0,"",INDEX(Kalshi!$D$31:$D$485,MATCH($A198,Kalshi!$A$31:$A$485,0))),"")</f>
        <v/>
      </c>
      <c r="D198" s="31">
        <f>IF(AND(ISNUMBER(B198),ISNUMBER(C198)),B198-C198,"")</f>
        <v/>
      </c>
      <c r="E198" s="29">
        <f>IF(ISNUMBER(D198),ABS(D198),"")</f>
        <v/>
      </c>
      <c r="F198" s="101">
        <f>IFERROR(IF(INDEX(Polymarket!$C$25:$C$303,MATCH($A198,Polymarket!$A$25:$A$303,0))=0,"",INDEX(Polymarket!$C$25:$C$303,MATCH($A198,Polymarket!$A$25:$A$303,0))),"")</f>
        <v/>
      </c>
      <c r="G198" s="101">
        <f>IFERROR(IF(INDEX(Kalshi!$G$31:$G$485,MATCH($A198,Kalshi!$A$31:$A$485,0))=0,"",INDEX(Kalshi!$G$31:$G$485,MATCH($A198,Kalshi!$A$31:$A$485,0))),"")</f>
        <v/>
      </c>
      <c r="H198" s="30">
        <f>IF(AND(ISNUMBER(B198),ISNUMBER(C198)),MIN(B198,C198),"")</f>
        <v/>
      </c>
      <c r="I198" s="30">
        <f>IF(AND(ISNUMBER(F198),ISNUMBER(G198)),MIN(F198,G198),"")</f>
        <v/>
      </c>
      <c r="J198" s="29">
        <f>IF(AND(ISNUMBER(H198),ISNUMBER(I198)),H198+I198,"")</f>
        <v/>
      </c>
      <c r="K198" s="28" t="n">
        <v>0.5</v>
      </c>
      <c r="L198" s="38" t="inlineStr">
        <is>
          <t>09 Jul</t>
        </is>
      </c>
    </row>
    <row r="199">
      <c r="A199" s="39" t="n">
        <v>46213</v>
      </c>
      <c r="B199" s="100">
        <f>IFERROR(IF(INDEX(Polymarket!$B$25:$B$303,MATCH($A199,Polymarket!$A$25:$A$303,0))=0,"",INDEX(Polymarket!$B$25:$B$303,MATCH($A199,Polymarket!$A$25:$A$303,0))),"")</f>
        <v/>
      </c>
      <c r="C199" s="100">
        <f>IFERROR(IF(INDEX(Kalshi!$D$31:$D$485,MATCH($A199,Kalshi!$A$31:$A$485,0))=0,"",INDEX(Kalshi!$D$31:$D$485,MATCH($A199,Kalshi!$A$31:$A$485,0))),"")</f>
        <v/>
      </c>
      <c r="D199" s="18">
        <f>IF(AND(ISNUMBER(B199),ISNUMBER(C199)),B199-C199,"")</f>
        <v/>
      </c>
      <c r="E199" s="17">
        <f>IF(ISNUMBER(D199),ABS(D199),"")</f>
        <v/>
      </c>
      <c r="F199" s="100">
        <f>IFERROR(IF(INDEX(Polymarket!$C$25:$C$303,MATCH($A199,Polymarket!$A$25:$A$303,0))=0,"",INDEX(Polymarket!$C$25:$C$303,MATCH($A199,Polymarket!$A$25:$A$303,0))),"")</f>
        <v/>
      </c>
      <c r="G199" s="100">
        <f>IFERROR(IF(INDEX(Kalshi!$G$31:$G$485,MATCH($A199,Kalshi!$A$31:$A$485,0))=0,"",INDEX(Kalshi!$G$31:$G$485,MATCH($A199,Kalshi!$A$31:$A$485,0))),"")</f>
        <v/>
      </c>
      <c r="H199" s="20">
        <f>IF(AND(ISNUMBER(B199),ISNUMBER(C199)),MIN(B199,C199),"")</f>
        <v/>
      </c>
      <c r="I199" s="20">
        <f>IF(AND(ISNUMBER(F199),ISNUMBER(G199)),MIN(F199,G199),"")</f>
        <v/>
      </c>
      <c r="J199" s="17">
        <f>IF(AND(ISNUMBER(H199),ISNUMBER(I199)),H199+I199,"")</f>
        <v/>
      </c>
      <c r="K199" s="16" t="n">
        <v>0.5</v>
      </c>
      <c r="L199" s="26" t="inlineStr">
        <is>
          <t>10 Jul</t>
        </is>
      </c>
    </row>
    <row r="200">
      <c r="A200" s="41" t="n">
        <v>46214</v>
      </c>
      <c r="B200" s="101">
        <f>IFERROR(IF(INDEX(Polymarket!$B$25:$B$303,MATCH($A200,Polymarket!$A$25:$A$303,0))=0,"",INDEX(Polymarket!$B$25:$B$303,MATCH($A200,Polymarket!$A$25:$A$303,0))),"")</f>
        <v/>
      </c>
      <c r="C200" s="101">
        <f>IFERROR(IF(INDEX(Kalshi!$D$31:$D$485,MATCH($A200,Kalshi!$A$31:$A$485,0))=0,"",INDEX(Kalshi!$D$31:$D$485,MATCH($A200,Kalshi!$A$31:$A$485,0))),"")</f>
        <v/>
      </c>
      <c r="D200" s="31">
        <f>IF(AND(ISNUMBER(B200),ISNUMBER(C200)),B200-C200,"")</f>
        <v/>
      </c>
      <c r="E200" s="29">
        <f>IF(ISNUMBER(D200),ABS(D200),"")</f>
        <v/>
      </c>
      <c r="F200" s="101">
        <f>IFERROR(IF(INDEX(Polymarket!$C$25:$C$303,MATCH($A200,Polymarket!$A$25:$A$303,0))=0,"",INDEX(Polymarket!$C$25:$C$303,MATCH($A200,Polymarket!$A$25:$A$303,0))),"")</f>
        <v/>
      </c>
      <c r="G200" s="101">
        <f>IFERROR(IF(INDEX(Kalshi!$G$31:$G$485,MATCH($A200,Kalshi!$A$31:$A$485,0))=0,"",INDEX(Kalshi!$G$31:$G$485,MATCH($A200,Kalshi!$A$31:$A$485,0))),"")</f>
        <v/>
      </c>
      <c r="H200" s="30">
        <f>IF(AND(ISNUMBER(B200),ISNUMBER(C200)),MIN(B200,C200),"")</f>
        <v/>
      </c>
      <c r="I200" s="30">
        <f>IF(AND(ISNUMBER(F200),ISNUMBER(G200)),MIN(F200,G200),"")</f>
        <v/>
      </c>
      <c r="J200" s="29">
        <f>IF(AND(ISNUMBER(H200),ISNUMBER(I200)),H200+I200,"")</f>
        <v/>
      </c>
      <c r="K200" s="28" t="n">
        <v>0.5</v>
      </c>
      <c r="L200" s="38" t="inlineStr">
        <is>
          <t>11 Jul</t>
        </is>
      </c>
    </row>
    <row r="201">
      <c r="A201" s="39" t="n">
        <v>46215</v>
      </c>
      <c r="B201" s="100">
        <f>IFERROR(IF(INDEX(Polymarket!$B$25:$B$303,MATCH($A201,Polymarket!$A$25:$A$303,0))=0,"",INDEX(Polymarket!$B$25:$B$303,MATCH($A201,Polymarket!$A$25:$A$303,0))),"")</f>
        <v/>
      </c>
      <c r="C201" s="100">
        <f>IFERROR(IF(INDEX(Kalshi!$D$31:$D$485,MATCH($A201,Kalshi!$A$31:$A$485,0))=0,"",INDEX(Kalshi!$D$31:$D$485,MATCH($A201,Kalshi!$A$31:$A$485,0))),"")</f>
        <v/>
      </c>
      <c r="D201" s="18">
        <f>IF(AND(ISNUMBER(B201),ISNUMBER(C201)),B201-C201,"")</f>
        <v/>
      </c>
      <c r="E201" s="17">
        <f>IF(ISNUMBER(D201),ABS(D201),"")</f>
        <v/>
      </c>
      <c r="F201" s="100">
        <f>IFERROR(IF(INDEX(Polymarket!$C$25:$C$303,MATCH($A201,Polymarket!$A$25:$A$303,0))=0,"",INDEX(Polymarket!$C$25:$C$303,MATCH($A201,Polymarket!$A$25:$A$303,0))),"")</f>
        <v/>
      </c>
      <c r="G201" s="100">
        <f>IFERROR(IF(INDEX(Kalshi!$G$31:$G$485,MATCH($A201,Kalshi!$A$31:$A$485,0))=0,"",INDEX(Kalshi!$G$31:$G$485,MATCH($A201,Kalshi!$A$31:$A$485,0))),"")</f>
        <v/>
      </c>
      <c r="H201" s="20">
        <f>IF(AND(ISNUMBER(B201),ISNUMBER(C201)),MIN(B201,C201),"")</f>
        <v/>
      </c>
      <c r="I201" s="20">
        <f>IF(AND(ISNUMBER(F201),ISNUMBER(G201)),MIN(F201,G201),"")</f>
        <v/>
      </c>
      <c r="J201" s="17">
        <f>IF(AND(ISNUMBER(H201),ISNUMBER(I201)),H201+I201,"")</f>
        <v/>
      </c>
      <c r="K201" s="16" t="n">
        <v>0.5</v>
      </c>
      <c r="L201" s="26" t="inlineStr">
        <is>
          <t>12 Jul</t>
        </is>
      </c>
    </row>
    <row r="202">
      <c r="A202" s="41" t="n">
        <v>46216</v>
      </c>
      <c r="B202" s="101">
        <f>IFERROR(IF(INDEX(Polymarket!$B$25:$B$303,MATCH($A202,Polymarket!$A$25:$A$303,0))=0,"",INDEX(Polymarket!$B$25:$B$303,MATCH($A202,Polymarket!$A$25:$A$303,0))),"")</f>
        <v/>
      </c>
      <c r="C202" s="101">
        <f>IFERROR(IF(INDEX(Kalshi!$D$31:$D$485,MATCH($A202,Kalshi!$A$31:$A$485,0))=0,"",INDEX(Kalshi!$D$31:$D$485,MATCH($A202,Kalshi!$A$31:$A$485,0))),"")</f>
        <v/>
      </c>
      <c r="D202" s="31">
        <f>IF(AND(ISNUMBER(B202),ISNUMBER(C202)),B202-C202,"")</f>
        <v/>
      </c>
      <c r="E202" s="29">
        <f>IF(ISNUMBER(D202),ABS(D202),"")</f>
        <v/>
      </c>
      <c r="F202" s="101">
        <f>IFERROR(IF(INDEX(Polymarket!$C$25:$C$303,MATCH($A202,Polymarket!$A$25:$A$303,0))=0,"",INDEX(Polymarket!$C$25:$C$303,MATCH($A202,Polymarket!$A$25:$A$303,0))),"")</f>
        <v/>
      </c>
      <c r="G202" s="101">
        <f>IFERROR(IF(INDEX(Kalshi!$G$31:$G$485,MATCH($A202,Kalshi!$A$31:$A$485,0))=0,"",INDEX(Kalshi!$G$31:$G$485,MATCH($A202,Kalshi!$A$31:$A$485,0))),"")</f>
        <v/>
      </c>
      <c r="H202" s="30">
        <f>IF(AND(ISNUMBER(B202),ISNUMBER(C202)),MIN(B202,C202),"")</f>
        <v/>
      </c>
      <c r="I202" s="30">
        <f>IF(AND(ISNUMBER(F202),ISNUMBER(G202)),MIN(F202,G202),"")</f>
        <v/>
      </c>
      <c r="J202" s="29">
        <f>IF(AND(ISNUMBER(H202),ISNUMBER(I202)),H202+I202,"")</f>
        <v/>
      </c>
      <c r="K202" s="28" t="n">
        <v>0.5</v>
      </c>
      <c r="L202" s="38" t="inlineStr">
        <is>
          <t>13 Jul</t>
        </is>
      </c>
    </row>
    <row r="203">
      <c r="A203" s="39" t="n">
        <v>46217</v>
      </c>
      <c r="B203" s="100">
        <f>IFERROR(IF(INDEX(Polymarket!$B$25:$B$303,MATCH($A203,Polymarket!$A$25:$A$303,0))=0,"",INDEX(Polymarket!$B$25:$B$303,MATCH($A203,Polymarket!$A$25:$A$303,0))),"")</f>
        <v/>
      </c>
      <c r="C203" s="100">
        <f>IFERROR(IF(INDEX(Kalshi!$D$31:$D$485,MATCH($A203,Kalshi!$A$31:$A$485,0))=0,"",INDEX(Kalshi!$D$31:$D$485,MATCH($A203,Kalshi!$A$31:$A$485,0))),"")</f>
        <v/>
      </c>
      <c r="D203" s="18">
        <f>IF(AND(ISNUMBER(B203),ISNUMBER(C203)),B203-C203,"")</f>
        <v/>
      </c>
      <c r="E203" s="17">
        <f>IF(ISNUMBER(D203),ABS(D203),"")</f>
        <v/>
      </c>
      <c r="F203" s="100">
        <f>IFERROR(IF(INDEX(Polymarket!$C$25:$C$303,MATCH($A203,Polymarket!$A$25:$A$303,0))=0,"",INDEX(Polymarket!$C$25:$C$303,MATCH($A203,Polymarket!$A$25:$A$303,0))),"")</f>
        <v/>
      </c>
      <c r="G203" s="100">
        <f>IFERROR(IF(INDEX(Kalshi!$G$31:$G$485,MATCH($A203,Kalshi!$A$31:$A$485,0))=0,"",INDEX(Kalshi!$G$31:$G$485,MATCH($A203,Kalshi!$A$31:$A$485,0))),"")</f>
        <v/>
      </c>
      <c r="H203" s="20">
        <f>IF(AND(ISNUMBER(B203),ISNUMBER(C203)),MIN(B203,C203),"")</f>
        <v/>
      </c>
      <c r="I203" s="20">
        <f>IF(AND(ISNUMBER(F203),ISNUMBER(G203)),MIN(F203,G203),"")</f>
        <v/>
      </c>
      <c r="J203" s="17">
        <f>IF(AND(ISNUMBER(H203),ISNUMBER(I203)),H203+I203,"")</f>
        <v/>
      </c>
      <c r="K203" s="16" t="n">
        <v>0.5</v>
      </c>
      <c r="L203" s="26" t="inlineStr">
        <is>
          <t>14 Jul</t>
        </is>
      </c>
    </row>
    <row r="204">
      <c r="A204" s="41" t="n">
        <v>46218</v>
      </c>
      <c r="B204" s="101">
        <f>IFERROR(IF(INDEX(Polymarket!$B$25:$B$303,MATCH($A204,Polymarket!$A$25:$A$303,0))=0,"",INDEX(Polymarket!$B$25:$B$303,MATCH($A204,Polymarket!$A$25:$A$303,0))),"")</f>
        <v/>
      </c>
      <c r="C204" s="101">
        <f>IFERROR(IF(INDEX(Kalshi!$D$31:$D$485,MATCH($A204,Kalshi!$A$31:$A$485,0))=0,"",INDEX(Kalshi!$D$31:$D$485,MATCH($A204,Kalshi!$A$31:$A$485,0))),"")</f>
        <v/>
      </c>
      <c r="D204" s="31">
        <f>IF(AND(ISNUMBER(B204),ISNUMBER(C204)),B204-C204,"")</f>
        <v/>
      </c>
      <c r="E204" s="29">
        <f>IF(ISNUMBER(D204),ABS(D204),"")</f>
        <v/>
      </c>
      <c r="F204" s="101">
        <f>IFERROR(IF(INDEX(Polymarket!$C$25:$C$303,MATCH($A204,Polymarket!$A$25:$A$303,0))=0,"",INDEX(Polymarket!$C$25:$C$303,MATCH($A204,Polymarket!$A$25:$A$303,0))),"")</f>
        <v/>
      </c>
      <c r="G204" s="101">
        <f>IFERROR(IF(INDEX(Kalshi!$G$31:$G$485,MATCH($A204,Kalshi!$A$31:$A$485,0))=0,"",INDEX(Kalshi!$G$31:$G$485,MATCH($A204,Kalshi!$A$31:$A$485,0))),"")</f>
        <v/>
      </c>
      <c r="H204" s="30">
        <f>IF(AND(ISNUMBER(B204),ISNUMBER(C204)),MIN(B204,C204),"")</f>
        <v/>
      </c>
      <c r="I204" s="30">
        <f>IF(AND(ISNUMBER(F204),ISNUMBER(G204)),MIN(F204,G204),"")</f>
        <v/>
      </c>
      <c r="J204" s="29">
        <f>IF(AND(ISNUMBER(H204),ISNUMBER(I204)),H204+I204,"")</f>
        <v/>
      </c>
      <c r="K204" s="28" t="n">
        <v>0.5</v>
      </c>
      <c r="L204" s="38" t="inlineStr">
        <is>
          <t>15 Jul</t>
        </is>
      </c>
    </row>
    <row r="205">
      <c r="A205" s="39" t="n">
        <v>46219</v>
      </c>
      <c r="B205" s="100">
        <f>IFERROR(IF(INDEX(Polymarket!$B$25:$B$303,MATCH($A205,Polymarket!$A$25:$A$303,0))=0,"",INDEX(Polymarket!$B$25:$B$303,MATCH($A205,Polymarket!$A$25:$A$303,0))),"")</f>
        <v/>
      </c>
      <c r="C205" s="100">
        <f>IFERROR(IF(INDEX(Kalshi!$D$31:$D$485,MATCH($A205,Kalshi!$A$31:$A$485,0))=0,"",INDEX(Kalshi!$D$31:$D$485,MATCH($A205,Kalshi!$A$31:$A$485,0))),"")</f>
        <v/>
      </c>
      <c r="D205" s="18">
        <f>IF(AND(ISNUMBER(B205),ISNUMBER(C205)),B205-C205,"")</f>
        <v/>
      </c>
      <c r="E205" s="17">
        <f>IF(ISNUMBER(D205),ABS(D205),"")</f>
        <v/>
      </c>
      <c r="F205" s="100">
        <f>IFERROR(IF(INDEX(Polymarket!$C$25:$C$303,MATCH($A205,Polymarket!$A$25:$A$303,0))=0,"",INDEX(Polymarket!$C$25:$C$303,MATCH($A205,Polymarket!$A$25:$A$303,0))),"")</f>
        <v/>
      </c>
      <c r="G205" s="100">
        <f>IFERROR(IF(INDEX(Kalshi!$G$31:$G$485,MATCH($A205,Kalshi!$A$31:$A$485,0))=0,"",INDEX(Kalshi!$G$31:$G$485,MATCH($A205,Kalshi!$A$31:$A$485,0))),"")</f>
        <v/>
      </c>
      <c r="H205" s="20">
        <f>IF(AND(ISNUMBER(B205),ISNUMBER(C205)),MIN(B205,C205),"")</f>
        <v/>
      </c>
      <c r="I205" s="20">
        <f>IF(AND(ISNUMBER(F205),ISNUMBER(G205)),MIN(F205,G205),"")</f>
        <v/>
      </c>
      <c r="J205" s="17">
        <f>IF(AND(ISNUMBER(H205),ISNUMBER(I205)),H205+I205,"")</f>
        <v/>
      </c>
      <c r="K205" s="16" t="n">
        <v>0.5</v>
      </c>
      <c r="L205" s="26" t="inlineStr">
        <is>
          <t>16 Jul</t>
        </is>
      </c>
    </row>
    <row r="206">
      <c r="A206" s="41" t="n">
        <v>46220</v>
      </c>
      <c r="B206" s="101">
        <f>IFERROR(IF(INDEX(Polymarket!$B$25:$B$303,MATCH($A206,Polymarket!$A$25:$A$303,0))=0,"",INDEX(Polymarket!$B$25:$B$303,MATCH($A206,Polymarket!$A$25:$A$303,0))),"")</f>
        <v/>
      </c>
      <c r="C206" s="101">
        <f>IFERROR(IF(INDEX(Kalshi!$D$31:$D$485,MATCH($A206,Kalshi!$A$31:$A$485,0))=0,"",INDEX(Kalshi!$D$31:$D$485,MATCH($A206,Kalshi!$A$31:$A$485,0))),"")</f>
        <v/>
      </c>
      <c r="D206" s="31">
        <f>IF(AND(ISNUMBER(B206),ISNUMBER(C206)),B206-C206,"")</f>
        <v/>
      </c>
      <c r="E206" s="29">
        <f>IF(ISNUMBER(D206),ABS(D206),"")</f>
        <v/>
      </c>
      <c r="F206" s="101">
        <f>IFERROR(IF(INDEX(Polymarket!$C$25:$C$303,MATCH($A206,Polymarket!$A$25:$A$303,0))=0,"",INDEX(Polymarket!$C$25:$C$303,MATCH($A206,Polymarket!$A$25:$A$303,0))),"")</f>
        <v/>
      </c>
      <c r="G206" s="101">
        <f>IFERROR(IF(INDEX(Kalshi!$G$31:$G$485,MATCH($A206,Kalshi!$A$31:$A$485,0))=0,"",INDEX(Kalshi!$G$31:$G$485,MATCH($A206,Kalshi!$A$31:$A$485,0))),"")</f>
        <v/>
      </c>
      <c r="H206" s="30">
        <f>IF(AND(ISNUMBER(B206),ISNUMBER(C206)),MIN(B206,C206),"")</f>
        <v/>
      </c>
      <c r="I206" s="30">
        <f>IF(AND(ISNUMBER(F206),ISNUMBER(G206)),MIN(F206,G206),"")</f>
        <v/>
      </c>
      <c r="J206" s="29">
        <f>IF(AND(ISNUMBER(H206),ISNUMBER(I206)),H206+I206,"")</f>
        <v/>
      </c>
      <c r="K206" s="28" t="n">
        <v>0.5</v>
      </c>
      <c r="L206" s="38" t="inlineStr">
        <is>
          <t>17 Jul</t>
        </is>
      </c>
    </row>
    <row r="207">
      <c r="A207" s="39" t="n">
        <v>46221</v>
      </c>
      <c r="B207" s="100">
        <f>IFERROR(IF(INDEX(Polymarket!$B$25:$B$303,MATCH($A207,Polymarket!$A$25:$A$303,0))=0,"",INDEX(Polymarket!$B$25:$B$303,MATCH($A207,Polymarket!$A$25:$A$303,0))),"")</f>
        <v/>
      </c>
      <c r="C207" s="100">
        <f>IFERROR(IF(INDEX(Kalshi!$D$31:$D$485,MATCH($A207,Kalshi!$A$31:$A$485,0))=0,"",INDEX(Kalshi!$D$31:$D$485,MATCH($A207,Kalshi!$A$31:$A$485,0))),"")</f>
        <v/>
      </c>
      <c r="D207" s="18">
        <f>IF(AND(ISNUMBER(B207),ISNUMBER(C207)),B207-C207,"")</f>
        <v/>
      </c>
      <c r="E207" s="17">
        <f>IF(ISNUMBER(D207),ABS(D207),"")</f>
        <v/>
      </c>
      <c r="F207" s="100">
        <f>IFERROR(IF(INDEX(Polymarket!$C$25:$C$303,MATCH($A207,Polymarket!$A$25:$A$303,0))=0,"",INDEX(Polymarket!$C$25:$C$303,MATCH($A207,Polymarket!$A$25:$A$303,0))),"")</f>
        <v/>
      </c>
      <c r="G207" s="100">
        <f>IFERROR(IF(INDEX(Kalshi!$G$31:$G$485,MATCH($A207,Kalshi!$A$31:$A$485,0))=0,"",INDEX(Kalshi!$G$31:$G$485,MATCH($A207,Kalshi!$A$31:$A$485,0))),"")</f>
        <v/>
      </c>
      <c r="H207" s="20">
        <f>IF(AND(ISNUMBER(B207),ISNUMBER(C207)),MIN(B207,C207),"")</f>
        <v/>
      </c>
      <c r="I207" s="20">
        <f>IF(AND(ISNUMBER(F207),ISNUMBER(G207)),MIN(F207,G207),"")</f>
        <v/>
      </c>
      <c r="J207" s="17">
        <f>IF(AND(ISNUMBER(H207),ISNUMBER(I207)),H207+I207,"")</f>
        <v/>
      </c>
      <c r="K207" s="16" t="n">
        <v>0.5</v>
      </c>
      <c r="L207" s="26" t="inlineStr">
        <is>
          <t>18 Jul</t>
        </is>
      </c>
    </row>
    <row r="208">
      <c r="A208" s="41" t="n">
        <v>46222</v>
      </c>
      <c r="B208" s="101">
        <f>IFERROR(IF(INDEX(Polymarket!$B$25:$B$303,MATCH($A208,Polymarket!$A$25:$A$303,0))=0,"",INDEX(Polymarket!$B$25:$B$303,MATCH($A208,Polymarket!$A$25:$A$303,0))),"")</f>
        <v/>
      </c>
      <c r="C208" s="101">
        <f>IFERROR(IF(INDEX(Kalshi!$D$31:$D$485,MATCH($A208,Kalshi!$A$31:$A$485,0))=0,"",INDEX(Kalshi!$D$31:$D$485,MATCH($A208,Kalshi!$A$31:$A$485,0))),"")</f>
        <v/>
      </c>
      <c r="D208" s="31">
        <f>IF(AND(ISNUMBER(B208),ISNUMBER(C208)),B208-C208,"")</f>
        <v/>
      </c>
      <c r="E208" s="29">
        <f>IF(ISNUMBER(D208),ABS(D208),"")</f>
        <v/>
      </c>
      <c r="F208" s="101">
        <f>IFERROR(IF(INDEX(Polymarket!$C$25:$C$303,MATCH($A208,Polymarket!$A$25:$A$303,0))=0,"",INDEX(Polymarket!$C$25:$C$303,MATCH($A208,Polymarket!$A$25:$A$303,0))),"")</f>
        <v/>
      </c>
      <c r="G208" s="101">
        <f>IFERROR(IF(INDEX(Kalshi!$G$31:$G$485,MATCH($A208,Kalshi!$A$31:$A$485,0))=0,"",INDEX(Kalshi!$G$31:$G$485,MATCH($A208,Kalshi!$A$31:$A$485,0))),"")</f>
        <v/>
      </c>
      <c r="H208" s="30">
        <f>IF(AND(ISNUMBER(B208),ISNUMBER(C208)),MIN(B208,C208),"")</f>
        <v/>
      </c>
      <c r="I208" s="30">
        <f>IF(AND(ISNUMBER(F208),ISNUMBER(G208)),MIN(F208,G208),"")</f>
        <v/>
      </c>
      <c r="J208" s="29">
        <f>IF(AND(ISNUMBER(H208),ISNUMBER(I208)),H208+I208,"")</f>
        <v/>
      </c>
      <c r="K208" s="28" t="n">
        <v>0.5</v>
      </c>
      <c r="L208" s="38" t="inlineStr">
        <is>
          <t>19 Jul</t>
        </is>
      </c>
    </row>
    <row r="209">
      <c r="A209" s="39" t="n">
        <v>46223</v>
      </c>
      <c r="B209" s="100">
        <f>IFERROR(IF(INDEX(Polymarket!$B$25:$B$303,MATCH($A209,Polymarket!$A$25:$A$303,0))=0,"",INDEX(Polymarket!$B$25:$B$303,MATCH($A209,Polymarket!$A$25:$A$303,0))),"")</f>
        <v/>
      </c>
      <c r="C209" s="100">
        <f>IFERROR(IF(INDEX(Kalshi!$D$31:$D$485,MATCH($A209,Kalshi!$A$31:$A$485,0))=0,"",INDEX(Kalshi!$D$31:$D$485,MATCH($A209,Kalshi!$A$31:$A$485,0))),"")</f>
        <v/>
      </c>
      <c r="D209" s="18">
        <f>IF(AND(ISNUMBER(B209),ISNUMBER(C209)),B209-C209,"")</f>
        <v/>
      </c>
      <c r="E209" s="17">
        <f>IF(ISNUMBER(D209),ABS(D209),"")</f>
        <v/>
      </c>
      <c r="F209" s="100">
        <f>IFERROR(IF(INDEX(Polymarket!$C$25:$C$303,MATCH($A209,Polymarket!$A$25:$A$303,0))=0,"",INDEX(Polymarket!$C$25:$C$303,MATCH($A209,Polymarket!$A$25:$A$303,0))),"")</f>
        <v/>
      </c>
      <c r="G209" s="100">
        <f>IFERROR(IF(INDEX(Kalshi!$G$31:$G$485,MATCH($A209,Kalshi!$A$31:$A$485,0))=0,"",INDEX(Kalshi!$G$31:$G$485,MATCH($A209,Kalshi!$A$31:$A$485,0))),"")</f>
        <v/>
      </c>
      <c r="H209" s="20">
        <f>IF(AND(ISNUMBER(B209),ISNUMBER(C209)),MIN(B209,C209),"")</f>
        <v/>
      </c>
      <c r="I209" s="20">
        <f>IF(AND(ISNUMBER(F209),ISNUMBER(G209)),MIN(F209,G209),"")</f>
        <v/>
      </c>
      <c r="J209" s="17">
        <f>IF(AND(ISNUMBER(H209),ISNUMBER(I209)),H209+I209,"")</f>
        <v/>
      </c>
      <c r="K209" s="16" t="n">
        <v>0.5</v>
      </c>
      <c r="L209" s="26" t="inlineStr">
        <is>
          <t>20 Jul</t>
        </is>
      </c>
    </row>
    <row r="210">
      <c r="A210" s="41" t="n">
        <v>46224</v>
      </c>
      <c r="B210" s="101">
        <f>IFERROR(IF(INDEX(Polymarket!$B$25:$B$303,MATCH($A210,Polymarket!$A$25:$A$303,0))=0,"",INDEX(Polymarket!$B$25:$B$303,MATCH($A210,Polymarket!$A$25:$A$303,0))),"")</f>
        <v/>
      </c>
      <c r="C210" s="101">
        <f>IFERROR(IF(INDEX(Kalshi!$D$31:$D$485,MATCH($A210,Kalshi!$A$31:$A$485,0))=0,"",INDEX(Kalshi!$D$31:$D$485,MATCH($A210,Kalshi!$A$31:$A$485,0))),"")</f>
        <v/>
      </c>
      <c r="D210" s="31">
        <f>IF(AND(ISNUMBER(B210),ISNUMBER(C210)),B210-C210,"")</f>
        <v/>
      </c>
      <c r="E210" s="29">
        <f>IF(ISNUMBER(D210),ABS(D210),"")</f>
        <v/>
      </c>
      <c r="F210" s="101">
        <f>IFERROR(IF(INDEX(Polymarket!$C$25:$C$303,MATCH($A210,Polymarket!$A$25:$A$303,0))=0,"",INDEX(Polymarket!$C$25:$C$303,MATCH($A210,Polymarket!$A$25:$A$303,0))),"")</f>
        <v/>
      </c>
      <c r="G210" s="101">
        <f>IFERROR(IF(INDEX(Kalshi!$G$31:$G$485,MATCH($A210,Kalshi!$A$31:$A$485,0))=0,"",INDEX(Kalshi!$G$31:$G$485,MATCH($A210,Kalshi!$A$31:$A$485,0))),"")</f>
        <v/>
      </c>
      <c r="H210" s="30">
        <f>IF(AND(ISNUMBER(B210),ISNUMBER(C210)),MIN(B210,C210),"")</f>
        <v/>
      </c>
      <c r="I210" s="30">
        <f>IF(AND(ISNUMBER(F210),ISNUMBER(G210)),MIN(F210,G210),"")</f>
        <v/>
      </c>
      <c r="J210" s="29">
        <f>IF(AND(ISNUMBER(H210),ISNUMBER(I210)),H210+I210,"")</f>
        <v/>
      </c>
      <c r="K210" s="28" t="n">
        <v>0.5</v>
      </c>
      <c r="L210" s="38" t="inlineStr">
        <is>
          <t>21 Jul</t>
        </is>
      </c>
    </row>
    <row r="211">
      <c r="A211" s="39" t="n">
        <v>46225</v>
      </c>
      <c r="B211" s="100">
        <f>IFERROR(IF(INDEX(Polymarket!$B$25:$B$303,MATCH($A211,Polymarket!$A$25:$A$303,0))=0,"",INDEX(Polymarket!$B$25:$B$303,MATCH($A211,Polymarket!$A$25:$A$303,0))),"")</f>
        <v/>
      </c>
      <c r="C211" s="100">
        <f>IFERROR(IF(INDEX(Kalshi!$D$31:$D$485,MATCH($A211,Kalshi!$A$31:$A$485,0))=0,"",INDEX(Kalshi!$D$31:$D$485,MATCH($A211,Kalshi!$A$31:$A$485,0))),"")</f>
        <v/>
      </c>
      <c r="D211" s="18">
        <f>IF(AND(ISNUMBER(B211),ISNUMBER(C211)),B211-C211,"")</f>
        <v/>
      </c>
      <c r="E211" s="17">
        <f>IF(ISNUMBER(D211),ABS(D211),"")</f>
        <v/>
      </c>
      <c r="F211" s="100">
        <f>IFERROR(IF(INDEX(Polymarket!$C$25:$C$303,MATCH($A211,Polymarket!$A$25:$A$303,0))=0,"",INDEX(Polymarket!$C$25:$C$303,MATCH($A211,Polymarket!$A$25:$A$303,0))),"")</f>
        <v/>
      </c>
      <c r="G211" s="100">
        <f>IFERROR(IF(INDEX(Kalshi!$G$31:$G$485,MATCH($A211,Kalshi!$A$31:$A$485,0))=0,"",INDEX(Kalshi!$G$31:$G$485,MATCH($A211,Kalshi!$A$31:$A$485,0))),"")</f>
        <v/>
      </c>
      <c r="H211" s="20">
        <f>IF(AND(ISNUMBER(B211),ISNUMBER(C211)),MIN(B211,C211),"")</f>
        <v/>
      </c>
      <c r="I211" s="20">
        <f>IF(AND(ISNUMBER(F211),ISNUMBER(G211)),MIN(F211,G211),"")</f>
        <v/>
      </c>
      <c r="J211" s="17">
        <f>IF(AND(ISNUMBER(H211),ISNUMBER(I211)),H211+I211,"")</f>
        <v/>
      </c>
      <c r="K211" s="16" t="n">
        <v>0.5</v>
      </c>
      <c r="L211" s="26" t="inlineStr">
        <is>
          <t>22 Jul</t>
        </is>
      </c>
    </row>
    <row r="212">
      <c r="A212" s="41" t="n">
        <v>46226</v>
      </c>
      <c r="B212" s="101">
        <f>IFERROR(IF(INDEX(Polymarket!$B$25:$B$303,MATCH($A212,Polymarket!$A$25:$A$303,0))=0,"",INDEX(Polymarket!$B$25:$B$303,MATCH($A212,Polymarket!$A$25:$A$303,0))),"")</f>
        <v/>
      </c>
      <c r="C212" s="101">
        <f>IFERROR(IF(INDEX(Kalshi!$D$31:$D$485,MATCH($A212,Kalshi!$A$31:$A$485,0))=0,"",INDEX(Kalshi!$D$31:$D$485,MATCH($A212,Kalshi!$A$31:$A$485,0))),"")</f>
        <v/>
      </c>
      <c r="D212" s="31">
        <f>IF(AND(ISNUMBER(B212),ISNUMBER(C212)),B212-C212,"")</f>
        <v/>
      </c>
      <c r="E212" s="29">
        <f>IF(ISNUMBER(D212),ABS(D212),"")</f>
        <v/>
      </c>
      <c r="F212" s="101">
        <f>IFERROR(IF(INDEX(Polymarket!$C$25:$C$303,MATCH($A212,Polymarket!$A$25:$A$303,0))=0,"",INDEX(Polymarket!$C$25:$C$303,MATCH($A212,Polymarket!$A$25:$A$303,0))),"")</f>
        <v/>
      </c>
      <c r="G212" s="101">
        <f>IFERROR(IF(INDEX(Kalshi!$G$31:$G$485,MATCH($A212,Kalshi!$A$31:$A$485,0))=0,"",INDEX(Kalshi!$G$31:$G$485,MATCH($A212,Kalshi!$A$31:$A$485,0))),"")</f>
        <v/>
      </c>
      <c r="H212" s="30">
        <f>IF(AND(ISNUMBER(B212),ISNUMBER(C212)),MIN(B212,C212),"")</f>
        <v/>
      </c>
      <c r="I212" s="30">
        <f>IF(AND(ISNUMBER(F212),ISNUMBER(G212)),MIN(F212,G212),"")</f>
        <v/>
      </c>
      <c r="J212" s="29">
        <f>IF(AND(ISNUMBER(H212),ISNUMBER(I212)),H212+I212,"")</f>
        <v/>
      </c>
      <c r="K212" s="28" t="n">
        <v>0.5</v>
      </c>
      <c r="L212" s="38" t="inlineStr">
        <is>
          <t>23 Jul</t>
        </is>
      </c>
    </row>
    <row r="213">
      <c r="A213" s="39" t="n">
        <v>46227</v>
      </c>
      <c r="B213" s="100">
        <f>IFERROR(IF(INDEX(Polymarket!$B$25:$B$303,MATCH($A213,Polymarket!$A$25:$A$303,0))=0,"",INDEX(Polymarket!$B$25:$B$303,MATCH($A213,Polymarket!$A$25:$A$303,0))),"")</f>
        <v/>
      </c>
      <c r="C213" s="100">
        <f>IFERROR(IF(INDEX(Kalshi!$D$31:$D$485,MATCH($A213,Kalshi!$A$31:$A$485,0))=0,"",INDEX(Kalshi!$D$31:$D$485,MATCH($A213,Kalshi!$A$31:$A$485,0))),"")</f>
        <v/>
      </c>
      <c r="D213" s="18">
        <f>IF(AND(ISNUMBER(B213),ISNUMBER(C213)),B213-C213,"")</f>
        <v/>
      </c>
      <c r="E213" s="17">
        <f>IF(ISNUMBER(D213),ABS(D213),"")</f>
        <v/>
      </c>
      <c r="F213" s="100">
        <f>IFERROR(IF(INDEX(Polymarket!$C$25:$C$303,MATCH($A213,Polymarket!$A$25:$A$303,0))=0,"",INDEX(Polymarket!$C$25:$C$303,MATCH($A213,Polymarket!$A$25:$A$303,0))),"")</f>
        <v/>
      </c>
      <c r="G213" s="100">
        <f>IFERROR(IF(INDEX(Kalshi!$G$31:$G$485,MATCH($A213,Kalshi!$A$31:$A$485,0))=0,"",INDEX(Kalshi!$G$31:$G$485,MATCH($A213,Kalshi!$A$31:$A$485,0))),"")</f>
        <v/>
      </c>
      <c r="H213" s="20">
        <f>IF(AND(ISNUMBER(B213),ISNUMBER(C213)),MIN(B213,C213),"")</f>
        <v/>
      </c>
      <c r="I213" s="20">
        <f>IF(AND(ISNUMBER(F213),ISNUMBER(G213)),MIN(F213,G213),"")</f>
        <v/>
      </c>
      <c r="J213" s="17">
        <f>IF(AND(ISNUMBER(H213),ISNUMBER(I213)),H213+I213,"")</f>
        <v/>
      </c>
      <c r="K213" s="16" t="n">
        <v>0.5</v>
      </c>
      <c r="L213" s="26" t="inlineStr">
        <is>
          <t>24 Jul</t>
        </is>
      </c>
    </row>
    <row r="214">
      <c r="A214" s="41" t="n">
        <v>46228</v>
      </c>
      <c r="B214" s="101">
        <f>IFERROR(IF(INDEX(Polymarket!$B$25:$B$303,MATCH($A214,Polymarket!$A$25:$A$303,0))=0,"",INDEX(Polymarket!$B$25:$B$303,MATCH($A214,Polymarket!$A$25:$A$303,0))),"")</f>
        <v/>
      </c>
      <c r="C214" s="101">
        <f>IFERROR(IF(INDEX(Kalshi!$D$31:$D$485,MATCH($A214,Kalshi!$A$31:$A$485,0))=0,"",INDEX(Kalshi!$D$31:$D$485,MATCH($A214,Kalshi!$A$31:$A$485,0))),"")</f>
        <v/>
      </c>
      <c r="D214" s="31">
        <f>IF(AND(ISNUMBER(B214),ISNUMBER(C214)),B214-C214,"")</f>
        <v/>
      </c>
      <c r="E214" s="29">
        <f>IF(ISNUMBER(D214),ABS(D214),"")</f>
        <v/>
      </c>
      <c r="F214" s="101">
        <f>IFERROR(IF(INDEX(Polymarket!$C$25:$C$303,MATCH($A214,Polymarket!$A$25:$A$303,0))=0,"",INDEX(Polymarket!$C$25:$C$303,MATCH($A214,Polymarket!$A$25:$A$303,0))),"")</f>
        <v/>
      </c>
      <c r="G214" s="101">
        <f>IFERROR(IF(INDEX(Kalshi!$G$31:$G$485,MATCH($A214,Kalshi!$A$31:$A$485,0))=0,"",INDEX(Kalshi!$G$31:$G$485,MATCH($A214,Kalshi!$A$31:$A$485,0))),"")</f>
        <v/>
      </c>
      <c r="H214" s="30">
        <f>IF(AND(ISNUMBER(B214),ISNUMBER(C214)),MIN(B214,C214),"")</f>
        <v/>
      </c>
      <c r="I214" s="30">
        <f>IF(AND(ISNUMBER(F214),ISNUMBER(G214)),MIN(F214,G214),"")</f>
        <v/>
      </c>
      <c r="J214" s="29">
        <f>IF(AND(ISNUMBER(H214),ISNUMBER(I214)),H214+I214,"")</f>
        <v/>
      </c>
      <c r="K214" s="28" t="n">
        <v>0.5</v>
      </c>
      <c r="L214" s="38" t="inlineStr">
        <is>
          <t>25 Jul</t>
        </is>
      </c>
    </row>
    <row r="215">
      <c r="A215" s="39" t="n">
        <v>46229</v>
      </c>
      <c r="B215" s="100">
        <f>IFERROR(IF(INDEX(Polymarket!$B$25:$B$303,MATCH($A215,Polymarket!$A$25:$A$303,0))=0,"",INDEX(Polymarket!$B$25:$B$303,MATCH($A215,Polymarket!$A$25:$A$303,0))),"")</f>
        <v/>
      </c>
      <c r="C215" s="100">
        <f>IFERROR(IF(INDEX(Kalshi!$D$31:$D$485,MATCH($A215,Kalshi!$A$31:$A$485,0))=0,"",INDEX(Kalshi!$D$31:$D$485,MATCH($A215,Kalshi!$A$31:$A$485,0))),"")</f>
        <v/>
      </c>
      <c r="D215" s="18">
        <f>IF(AND(ISNUMBER(B215),ISNUMBER(C215)),B215-C215,"")</f>
        <v/>
      </c>
      <c r="E215" s="17">
        <f>IF(ISNUMBER(D215),ABS(D215),"")</f>
        <v/>
      </c>
      <c r="F215" s="100">
        <f>IFERROR(IF(INDEX(Polymarket!$C$25:$C$303,MATCH($A215,Polymarket!$A$25:$A$303,0))=0,"",INDEX(Polymarket!$C$25:$C$303,MATCH($A215,Polymarket!$A$25:$A$303,0))),"")</f>
        <v/>
      </c>
      <c r="G215" s="100">
        <f>IFERROR(IF(INDEX(Kalshi!$G$31:$G$485,MATCH($A215,Kalshi!$A$31:$A$485,0))=0,"",INDEX(Kalshi!$G$31:$G$485,MATCH($A215,Kalshi!$A$31:$A$485,0))),"")</f>
        <v/>
      </c>
      <c r="H215" s="20">
        <f>IF(AND(ISNUMBER(B215),ISNUMBER(C215)),MIN(B215,C215),"")</f>
        <v/>
      </c>
      <c r="I215" s="20">
        <f>IF(AND(ISNUMBER(F215),ISNUMBER(G215)),MIN(F215,G215),"")</f>
        <v/>
      </c>
      <c r="J215" s="17">
        <f>IF(AND(ISNUMBER(H215),ISNUMBER(I215)),H215+I215,"")</f>
        <v/>
      </c>
      <c r="K215" s="16" t="n">
        <v>0.5</v>
      </c>
      <c r="L215" s="26" t="inlineStr">
        <is>
          <t>26 Jul</t>
        </is>
      </c>
    </row>
    <row r="216">
      <c r="A216" s="41" t="n">
        <v>46230</v>
      </c>
      <c r="B216" s="101">
        <f>IFERROR(IF(INDEX(Polymarket!$B$25:$B$303,MATCH($A216,Polymarket!$A$25:$A$303,0))=0,"",INDEX(Polymarket!$B$25:$B$303,MATCH($A216,Polymarket!$A$25:$A$303,0))),"")</f>
        <v/>
      </c>
      <c r="C216" s="101">
        <f>IFERROR(IF(INDEX(Kalshi!$D$31:$D$485,MATCH($A216,Kalshi!$A$31:$A$485,0))=0,"",INDEX(Kalshi!$D$31:$D$485,MATCH($A216,Kalshi!$A$31:$A$485,0))),"")</f>
        <v/>
      </c>
      <c r="D216" s="31">
        <f>IF(AND(ISNUMBER(B216),ISNUMBER(C216)),B216-C216,"")</f>
        <v/>
      </c>
      <c r="E216" s="29">
        <f>IF(ISNUMBER(D216),ABS(D216),"")</f>
        <v/>
      </c>
      <c r="F216" s="101">
        <f>IFERROR(IF(INDEX(Polymarket!$C$25:$C$303,MATCH($A216,Polymarket!$A$25:$A$303,0))=0,"",INDEX(Polymarket!$C$25:$C$303,MATCH($A216,Polymarket!$A$25:$A$303,0))),"")</f>
        <v/>
      </c>
      <c r="G216" s="101">
        <f>IFERROR(IF(INDEX(Kalshi!$G$31:$G$485,MATCH($A216,Kalshi!$A$31:$A$485,0))=0,"",INDEX(Kalshi!$G$31:$G$485,MATCH($A216,Kalshi!$A$31:$A$485,0))),"")</f>
        <v/>
      </c>
      <c r="H216" s="30">
        <f>IF(AND(ISNUMBER(B216),ISNUMBER(C216)),MIN(B216,C216),"")</f>
        <v/>
      </c>
      <c r="I216" s="30">
        <f>IF(AND(ISNUMBER(F216),ISNUMBER(G216)),MIN(F216,G216),"")</f>
        <v/>
      </c>
      <c r="J216" s="29">
        <f>IF(AND(ISNUMBER(H216),ISNUMBER(I216)),H216+I216,"")</f>
        <v/>
      </c>
      <c r="K216" s="28" t="n">
        <v>0.5</v>
      </c>
      <c r="L216" s="38" t="inlineStr">
        <is>
          <t>27 Jul</t>
        </is>
      </c>
    </row>
    <row r="217">
      <c r="A217" s="39" t="n">
        <v>46231</v>
      </c>
      <c r="B217" s="100">
        <f>IFERROR(IF(INDEX(Polymarket!$B$25:$B$303,MATCH($A217,Polymarket!$A$25:$A$303,0))=0,"",INDEX(Polymarket!$B$25:$B$303,MATCH($A217,Polymarket!$A$25:$A$303,0))),"")</f>
        <v/>
      </c>
      <c r="C217" s="100">
        <f>IFERROR(IF(INDEX(Kalshi!$D$31:$D$485,MATCH($A217,Kalshi!$A$31:$A$485,0))=0,"",INDEX(Kalshi!$D$31:$D$485,MATCH($A217,Kalshi!$A$31:$A$485,0))),"")</f>
        <v/>
      </c>
      <c r="D217" s="18">
        <f>IF(AND(ISNUMBER(B217),ISNUMBER(C217)),B217-C217,"")</f>
        <v/>
      </c>
      <c r="E217" s="17">
        <f>IF(ISNUMBER(D217),ABS(D217),"")</f>
        <v/>
      </c>
      <c r="F217" s="100">
        <f>IFERROR(IF(INDEX(Polymarket!$C$25:$C$303,MATCH($A217,Polymarket!$A$25:$A$303,0))=0,"",INDEX(Polymarket!$C$25:$C$303,MATCH($A217,Polymarket!$A$25:$A$303,0))),"")</f>
        <v/>
      </c>
      <c r="G217" s="100">
        <f>IFERROR(IF(INDEX(Kalshi!$G$31:$G$485,MATCH($A217,Kalshi!$A$31:$A$485,0))=0,"",INDEX(Kalshi!$G$31:$G$485,MATCH($A217,Kalshi!$A$31:$A$485,0))),"")</f>
        <v/>
      </c>
      <c r="H217" s="20">
        <f>IF(AND(ISNUMBER(B217),ISNUMBER(C217)),MIN(B217,C217),"")</f>
        <v/>
      </c>
      <c r="I217" s="20">
        <f>IF(AND(ISNUMBER(F217),ISNUMBER(G217)),MIN(F217,G217),"")</f>
        <v/>
      </c>
      <c r="J217" s="17">
        <f>IF(AND(ISNUMBER(H217),ISNUMBER(I217)),H217+I217,"")</f>
        <v/>
      </c>
      <c r="K217" s="16" t="n">
        <v>0.5</v>
      </c>
      <c r="L217" s="26" t="inlineStr">
        <is>
          <t>28 Jul</t>
        </is>
      </c>
    </row>
    <row r="218">
      <c r="A218" s="41" t="n">
        <v>46232</v>
      </c>
      <c r="B218" s="101">
        <f>IFERROR(IF(INDEX(Polymarket!$B$25:$B$303,MATCH($A218,Polymarket!$A$25:$A$303,0))=0,"",INDEX(Polymarket!$B$25:$B$303,MATCH($A218,Polymarket!$A$25:$A$303,0))),"")</f>
        <v/>
      </c>
      <c r="C218" s="101">
        <f>IFERROR(IF(INDEX(Kalshi!$D$31:$D$485,MATCH($A218,Kalshi!$A$31:$A$485,0))=0,"",INDEX(Kalshi!$D$31:$D$485,MATCH($A218,Kalshi!$A$31:$A$485,0))),"")</f>
        <v/>
      </c>
      <c r="D218" s="31">
        <f>IF(AND(ISNUMBER(B218),ISNUMBER(C218)),B218-C218,"")</f>
        <v/>
      </c>
      <c r="E218" s="29">
        <f>IF(ISNUMBER(D218),ABS(D218),"")</f>
        <v/>
      </c>
      <c r="F218" s="101">
        <f>IFERROR(IF(INDEX(Polymarket!$C$25:$C$303,MATCH($A218,Polymarket!$A$25:$A$303,0))=0,"",INDEX(Polymarket!$C$25:$C$303,MATCH($A218,Polymarket!$A$25:$A$303,0))),"")</f>
        <v/>
      </c>
      <c r="G218" s="101">
        <f>IFERROR(IF(INDEX(Kalshi!$G$31:$G$485,MATCH($A218,Kalshi!$A$31:$A$485,0))=0,"",INDEX(Kalshi!$G$31:$G$485,MATCH($A218,Kalshi!$A$31:$A$485,0))),"")</f>
        <v/>
      </c>
      <c r="H218" s="30">
        <f>IF(AND(ISNUMBER(B218),ISNUMBER(C218)),MIN(B218,C218),"")</f>
        <v/>
      </c>
      <c r="I218" s="30">
        <f>IF(AND(ISNUMBER(F218),ISNUMBER(G218)),MIN(F218,G218),"")</f>
        <v/>
      </c>
      <c r="J218" s="29">
        <f>IF(AND(ISNUMBER(H218),ISNUMBER(I218)),H218+I218,"")</f>
        <v/>
      </c>
      <c r="K218" s="28" t="n">
        <v>0.5</v>
      </c>
      <c r="L218" s="38" t="inlineStr">
        <is>
          <t>29 Jul</t>
        </is>
      </c>
    </row>
    <row r="219">
      <c r="A219" s="39" t="n">
        <v>46233</v>
      </c>
      <c r="B219" s="100">
        <f>IFERROR(IF(INDEX(Polymarket!$B$25:$B$303,MATCH($A219,Polymarket!$A$25:$A$303,0))=0,"",INDEX(Polymarket!$B$25:$B$303,MATCH($A219,Polymarket!$A$25:$A$303,0))),"")</f>
        <v/>
      </c>
      <c r="C219" s="100">
        <f>IFERROR(IF(INDEX(Kalshi!$D$31:$D$485,MATCH($A219,Kalshi!$A$31:$A$485,0))=0,"",INDEX(Kalshi!$D$31:$D$485,MATCH($A219,Kalshi!$A$31:$A$485,0))),"")</f>
        <v/>
      </c>
      <c r="D219" s="18">
        <f>IF(AND(ISNUMBER(B219),ISNUMBER(C219)),B219-C219,"")</f>
        <v/>
      </c>
      <c r="E219" s="17">
        <f>IF(ISNUMBER(D219),ABS(D219),"")</f>
        <v/>
      </c>
      <c r="F219" s="100">
        <f>IFERROR(IF(INDEX(Polymarket!$C$25:$C$303,MATCH($A219,Polymarket!$A$25:$A$303,0))=0,"",INDEX(Polymarket!$C$25:$C$303,MATCH($A219,Polymarket!$A$25:$A$303,0))),"")</f>
        <v/>
      </c>
      <c r="G219" s="100">
        <f>IFERROR(IF(INDEX(Kalshi!$G$31:$G$485,MATCH($A219,Kalshi!$A$31:$A$485,0))=0,"",INDEX(Kalshi!$G$31:$G$485,MATCH($A219,Kalshi!$A$31:$A$485,0))),"")</f>
        <v/>
      </c>
      <c r="H219" s="20">
        <f>IF(AND(ISNUMBER(B219),ISNUMBER(C219)),MIN(B219,C219),"")</f>
        <v/>
      </c>
      <c r="I219" s="20">
        <f>IF(AND(ISNUMBER(F219),ISNUMBER(G219)),MIN(F219,G219),"")</f>
        <v/>
      </c>
      <c r="J219" s="17">
        <f>IF(AND(ISNUMBER(H219),ISNUMBER(I219)),H219+I219,"")</f>
        <v/>
      </c>
      <c r="K219" s="16" t="n">
        <v>0.5</v>
      </c>
      <c r="L219" s="26" t="inlineStr">
        <is>
          <t>30 Jul</t>
        </is>
      </c>
    </row>
    <row r="220">
      <c r="A220" s="41" t="n">
        <v>46234</v>
      </c>
      <c r="B220" s="101">
        <f>IFERROR(IF(INDEX(Polymarket!$B$25:$B$303,MATCH($A220,Polymarket!$A$25:$A$303,0))=0,"",INDEX(Polymarket!$B$25:$B$303,MATCH($A220,Polymarket!$A$25:$A$303,0))),"")</f>
        <v/>
      </c>
      <c r="C220" s="101">
        <f>IFERROR(IF(INDEX(Kalshi!$D$31:$D$485,MATCH($A220,Kalshi!$A$31:$A$485,0))=0,"",INDEX(Kalshi!$D$31:$D$485,MATCH($A220,Kalshi!$A$31:$A$485,0))),"")</f>
        <v/>
      </c>
      <c r="D220" s="31">
        <f>IF(AND(ISNUMBER(B220),ISNUMBER(C220)),B220-C220,"")</f>
        <v/>
      </c>
      <c r="E220" s="29">
        <f>IF(ISNUMBER(D220),ABS(D220),"")</f>
        <v/>
      </c>
      <c r="F220" s="101">
        <f>IFERROR(IF(INDEX(Polymarket!$C$25:$C$303,MATCH($A220,Polymarket!$A$25:$A$303,0))=0,"",INDEX(Polymarket!$C$25:$C$303,MATCH($A220,Polymarket!$A$25:$A$303,0))),"")</f>
        <v/>
      </c>
      <c r="G220" s="101">
        <f>IFERROR(IF(INDEX(Kalshi!$G$31:$G$485,MATCH($A220,Kalshi!$A$31:$A$485,0))=0,"",INDEX(Kalshi!$G$31:$G$485,MATCH($A220,Kalshi!$A$31:$A$485,0))),"")</f>
        <v/>
      </c>
      <c r="H220" s="30">
        <f>IF(AND(ISNUMBER(B220),ISNUMBER(C220)),MIN(B220,C220),"")</f>
        <v/>
      </c>
      <c r="I220" s="30">
        <f>IF(AND(ISNUMBER(F220),ISNUMBER(G220)),MIN(F220,G220),"")</f>
        <v/>
      </c>
      <c r="J220" s="29">
        <f>IF(AND(ISNUMBER(H220),ISNUMBER(I220)),H220+I220,"")</f>
        <v/>
      </c>
      <c r="K220" s="28" t="n">
        <v>0.5</v>
      </c>
      <c r="L220" s="38" t="inlineStr">
        <is>
          <t>31 Jul</t>
        </is>
      </c>
    </row>
    <row r="221">
      <c r="A221" s="39" t="n">
        <v>46235</v>
      </c>
      <c r="B221" s="100">
        <f>IFERROR(IF(INDEX(Polymarket!$B$25:$B$303,MATCH($A221,Polymarket!$A$25:$A$303,0))=0,"",INDEX(Polymarket!$B$25:$B$303,MATCH($A221,Polymarket!$A$25:$A$303,0))),"")</f>
        <v/>
      </c>
      <c r="C221" s="100">
        <f>IFERROR(IF(INDEX(Kalshi!$D$31:$D$485,MATCH($A221,Kalshi!$A$31:$A$485,0))=0,"",INDEX(Kalshi!$D$31:$D$485,MATCH($A221,Kalshi!$A$31:$A$485,0))),"")</f>
        <v/>
      </c>
      <c r="D221" s="18">
        <f>IF(AND(ISNUMBER(B221),ISNUMBER(C221)),B221-C221,"")</f>
        <v/>
      </c>
      <c r="E221" s="17">
        <f>IF(ISNUMBER(D221),ABS(D221),"")</f>
        <v/>
      </c>
      <c r="F221" s="100">
        <f>IFERROR(IF(INDEX(Polymarket!$C$25:$C$303,MATCH($A221,Polymarket!$A$25:$A$303,0))=0,"",INDEX(Polymarket!$C$25:$C$303,MATCH($A221,Polymarket!$A$25:$A$303,0))),"")</f>
        <v/>
      </c>
      <c r="G221" s="100">
        <f>IFERROR(IF(INDEX(Kalshi!$G$31:$G$485,MATCH($A221,Kalshi!$A$31:$A$485,0))=0,"",INDEX(Kalshi!$G$31:$G$485,MATCH($A221,Kalshi!$A$31:$A$485,0))),"")</f>
        <v/>
      </c>
      <c r="H221" s="20">
        <f>IF(AND(ISNUMBER(B221),ISNUMBER(C221)),MIN(B221,C221),"")</f>
        <v/>
      </c>
      <c r="I221" s="20">
        <f>IF(AND(ISNUMBER(F221),ISNUMBER(G221)),MIN(F221,G221),"")</f>
        <v/>
      </c>
      <c r="J221" s="17">
        <f>IF(AND(ISNUMBER(H221),ISNUMBER(I221)),H221+I221,"")</f>
        <v/>
      </c>
      <c r="K221" s="16" t="n">
        <v>0.5</v>
      </c>
      <c r="L221" s="26" t="inlineStr">
        <is>
          <t>01 Aug</t>
        </is>
      </c>
    </row>
    <row r="222">
      <c r="A222" s="41" t="n">
        <v>46236</v>
      </c>
      <c r="B222" s="101">
        <f>IFERROR(IF(INDEX(Polymarket!$B$25:$B$303,MATCH($A222,Polymarket!$A$25:$A$303,0))=0,"",INDEX(Polymarket!$B$25:$B$303,MATCH($A222,Polymarket!$A$25:$A$303,0))),"")</f>
        <v/>
      </c>
      <c r="C222" s="101">
        <f>IFERROR(IF(INDEX(Kalshi!$D$31:$D$485,MATCH($A222,Kalshi!$A$31:$A$485,0))=0,"",INDEX(Kalshi!$D$31:$D$485,MATCH($A222,Kalshi!$A$31:$A$485,0))),"")</f>
        <v/>
      </c>
      <c r="D222" s="31">
        <f>IF(AND(ISNUMBER(B222),ISNUMBER(C222)),B222-C222,"")</f>
        <v/>
      </c>
      <c r="E222" s="29">
        <f>IF(ISNUMBER(D222),ABS(D222),"")</f>
        <v/>
      </c>
      <c r="F222" s="101">
        <f>IFERROR(IF(INDEX(Polymarket!$C$25:$C$303,MATCH($A222,Polymarket!$A$25:$A$303,0))=0,"",INDEX(Polymarket!$C$25:$C$303,MATCH($A222,Polymarket!$A$25:$A$303,0))),"")</f>
        <v/>
      </c>
      <c r="G222" s="101">
        <f>IFERROR(IF(INDEX(Kalshi!$G$31:$G$485,MATCH($A222,Kalshi!$A$31:$A$485,0))=0,"",INDEX(Kalshi!$G$31:$G$485,MATCH($A222,Kalshi!$A$31:$A$485,0))),"")</f>
        <v/>
      </c>
      <c r="H222" s="30">
        <f>IF(AND(ISNUMBER(B222),ISNUMBER(C222)),MIN(B222,C222),"")</f>
        <v/>
      </c>
      <c r="I222" s="30">
        <f>IF(AND(ISNUMBER(F222),ISNUMBER(G222)),MIN(F222,G222),"")</f>
        <v/>
      </c>
      <c r="J222" s="29">
        <f>IF(AND(ISNUMBER(H222),ISNUMBER(I222)),H222+I222,"")</f>
        <v/>
      </c>
      <c r="K222" s="28" t="n">
        <v>0.5</v>
      </c>
      <c r="L222" s="38" t="inlineStr">
        <is>
          <t>02 Aug</t>
        </is>
      </c>
    </row>
    <row r="223">
      <c r="A223" s="39" t="n">
        <v>46237</v>
      </c>
      <c r="B223" s="100">
        <f>IFERROR(IF(INDEX(Polymarket!$B$25:$B$303,MATCH($A223,Polymarket!$A$25:$A$303,0))=0,"",INDEX(Polymarket!$B$25:$B$303,MATCH($A223,Polymarket!$A$25:$A$303,0))),"")</f>
        <v/>
      </c>
      <c r="C223" s="100">
        <f>IFERROR(IF(INDEX(Kalshi!$D$31:$D$485,MATCH($A223,Kalshi!$A$31:$A$485,0))=0,"",INDEX(Kalshi!$D$31:$D$485,MATCH($A223,Kalshi!$A$31:$A$485,0))),"")</f>
        <v/>
      </c>
      <c r="D223" s="18">
        <f>IF(AND(ISNUMBER(B223),ISNUMBER(C223)),B223-C223,"")</f>
        <v/>
      </c>
      <c r="E223" s="17">
        <f>IF(ISNUMBER(D223),ABS(D223),"")</f>
        <v/>
      </c>
      <c r="F223" s="100">
        <f>IFERROR(IF(INDEX(Polymarket!$C$25:$C$303,MATCH($A223,Polymarket!$A$25:$A$303,0))=0,"",INDEX(Polymarket!$C$25:$C$303,MATCH($A223,Polymarket!$A$25:$A$303,0))),"")</f>
        <v/>
      </c>
      <c r="G223" s="100">
        <f>IFERROR(IF(INDEX(Kalshi!$G$31:$G$485,MATCH($A223,Kalshi!$A$31:$A$485,0))=0,"",INDEX(Kalshi!$G$31:$G$485,MATCH($A223,Kalshi!$A$31:$A$485,0))),"")</f>
        <v/>
      </c>
      <c r="H223" s="20">
        <f>IF(AND(ISNUMBER(B223),ISNUMBER(C223)),MIN(B223,C223),"")</f>
        <v/>
      </c>
      <c r="I223" s="20">
        <f>IF(AND(ISNUMBER(F223),ISNUMBER(G223)),MIN(F223,G223),"")</f>
        <v/>
      </c>
      <c r="J223" s="17">
        <f>IF(AND(ISNUMBER(H223),ISNUMBER(I223)),H223+I223,"")</f>
        <v/>
      </c>
      <c r="K223" s="16" t="n">
        <v>0.5</v>
      </c>
      <c r="L223" s="26" t="inlineStr">
        <is>
          <t>03 Aug</t>
        </is>
      </c>
    </row>
    <row r="224">
      <c r="A224" s="41" t="n">
        <v>46238</v>
      </c>
      <c r="B224" s="101">
        <f>IFERROR(IF(INDEX(Polymarket!$B$25:$B$303,MATCH($A224,Polymarket!$A$25:$A$303,0))=0,"",INDEX(Polymarket!$B$25:$B$303,MATCH($A224,Polymarket!$A$25:$A$303,0))),"")</f>
        <v/>
      </c>
      <c r="C224" s="101">
        <f>IFERROR(IF(INDEX(Kalshi!$D$31:$D$485,MATCH($A224,Kalshi!$A$31:$A$485,0))=0,"",INDEX(Kalshi!$D$31:$D$485,MATCH($A224,Kalshi!$A$31:$A$485,0))),"")</f>
        <v/>
      </c>
      <c r="D224" s="31">
        <f>IF(AND(ISNUMBER(B224),ISNUMBER(C224)),B224-C224,"")</f>
        <v/>
      </c>
      <c r="E224" s="29">
        <f>IF(ISNUMBER(D224),ABS(D224),"")</f>
        <v/>
      </c>
      <c r="F224" s="101">
        <f>IFERROR(IF(INDEX(Polymarket!$C$25:$C$303,MATCH($A224,Polymarket!$A$25:$A$303,0))=0,"",INDEX(Polymarket!$C$25:$C$303,MATCH($A224,Polymarket!$A$25:$A$303,0))),"")</f>
        <v/>
      </c>
      <c r="G224" s="101">
        <f>IFERROR(IF(INDEX(Kalshi!$G$31:$G$485,MATCH($A224,Kalshi!$A$31:$A$485,0))=0,"",INDEX(Kalshi!$G$31:$G$485,MATCH($A224,Kalshi!$A$31:$A$485,0))),"")</f>
        <v/>
      </c>
      <c r="H224" s="30">
        <f>IF(AND(ISNUMBER(B224),ISNUMBER(C224)),MIN(B224,C224),"")</f>
        <v/>
      </c>
      <c r="I224" s="30">
        <f>IF(AND(ISNUMBER(F224),ISNUMBER(G224)),MIN(F224,G224),"")</f>
        <v/>
      </c>
      <c r="J224" s="29">
        <f>IF(AND(ISNUMBER(H224),ISNUMBER(I224)),H224+I224,"")</f>
        <v/>
      </c>
      <c r="K224" s="28" t="n">
        <v>0.5</v>
      </c>
      <c r="L224" s="38" t="inlineStr">
        <is>
          <t>04 Aug</t>
        </is>
      </c>
    </row>
    <row r="225">
      <c r="A225" s="39" t="n">
        <v>46239</v>
      </c>
      <c r="B225" s="100">
        <f>IFERROR(IF(INDEX(Polymarket!$B$25:$B$303,MATCH($A225,Polymarket!$A$25:$A$303,0))=0,"",INDEX(Polymarket!$B$25:$B$303,MATCH($A225,Polymarket!$A$25:$A$303,0))),"")</f>
        <v/>
      </c>
      <c r="C225" s="100">
        <f>IFERROR(IF(INDEX(Kalshi!$D$31:$D$485,MATCH($A225,Kalshi!$A$31:$A$485,0))=0,"",INDEX(Kalshi!$D$31:$D$485,MATCH($A225,Kalshi!$A$31:$A$485,0))),"")</f>
        <v/>
      </c>
      <c r="D225" s="18">
        <f>IF(AND(ISNUMBER(B225),ISNUMBER(C225)),B225-C225,"")</f>
        <v/>
      </c>
      <c r="E225" s="17">
        <f>IF(ISNUMBER(D225),ABS(D225),"")</f>
        <v/>
      </c>
      <c r="F225" s="100">
        <f>IFERROR(IF(INDEX(Polymarket!$C$25:$C$303,MATCH($A225,Polymarket!$A$25:$A$303,0))=0,"",INDEX(Polymarket!$C$25:$C$303,MATCH($A225,Polymarket!$A$25:$A$303,0))),"")</f>
        <v/>
      </c>
      <c r="G225" s="100">
        <f>IFERROR(IF(INDEX(Kalshi!$G$31:$G$485,MATCH($A225,Kalshi!$A$31:$A$485,0))=0,"",INDEX(Kalshi!$G$31:$G$485,MATCH($A225,Kalshi!$A$31:$A$485,0))),"")</f>
        <v/>
      </c>
      <c r="H225" s="20">
        <f>IF(AND(ISNUMBER(B225),ISNUMBER(C225)),MIN(B225,C225),"")</f>
        <v/>
      </c>
      <c r="I225" s="20">
        <f>IF(AND(ISNUMBER(F225),ISNUMBER(G225)),MIN(F225,G225),"")</f>
        <v/>
      </c>
      <c r="J225" s="17">
        <f>IF(AND(ISNUMBER(H225),ISNUMBER(I225)),H225+I225,"")</f>
        <v/>
      </c>
      <c r="K225" s="16" t="n">
        <v>0.5</v>
      </c>
      <c r="L225" s="26" t="inlineStr">
        <is>
          <t>05 Aug</t>
        </is>
      </c>
    </row>
    <row r="226">
      <c r="A226" s="41" t="n">
        <v>46240</v>
      </c>
      <c r="B226" s="101">
        <f>IFERROR(IF(INDEX(Polymarket!$B$25:$B$303,MATCH($A226,Polymarket!$A$25:$A$303,0))=0,"",INDEX(Polymarket!$B$25:$B$303,MATCH($A226,Polymarket!$A$25:$A$303,0))),"")</f>
        <v/>
      </c>
      <c r="C226" s="101">
        <f>IFERROR(IF(INDEX(Kalshi!$D$31:$D$485,MATCH($A226,Kalshi!$A$31:$A$485,0))=0,"",INDEX(Kalshi!$D$31:$D$485,MATCH($A226,Kalshi!$A$31:$A$485,0))),"")</f>
        <v/>
      </c>
      <c r="D226" s="31">
        <f>IF(AND(ISNUMBER(B226),ISNUMBER(C226)),B226-C226,"")</f>
        <v/>
      </c>
      <c r="E226" s="29">
        <f>IF(ISNUMBER(D226),ABS(D226),"")</f>
        <v/>
      </c>
      <c r="F226" s="101">
        <f>IFERROR(IF(INDEX(Polymarket!$C$25:$C$303,MATCH($A226,Polymarket!$A$25:$A$303,0))=0,"",INDEX(Polymarket!$C$25:$C$303,MATCH($A226,Polymarket!$A$25:$A$303,0))),"")</f>
        <v/>
      </c>
      <c r="G226" s="101">
        <f>IFERROR(IF(INDEX(Kalshi!$G$31:$G$485,MATCH($A226,Kalshi!$A$31:$A$485,0))=0,"",INDEX(Kalshi!$G$31:$G$485,MATCH($A226,Kalshi!$A$31:$A$485,0))),"")</f>
        <v/>
      </c>
      <c r="H226" s="30">
        <f>IF(AND(ISNUMBER(B226),ISNUMBER(C226)),MIN(B226,C226),"")</f>
        <v/>
      </c>
      <c r="I226" s="30">
        <f>IF(AND(ISNUMBER(F226),ISNUMBER(G226)),MIN(F226,G226),"")</f>
        <v/>
      </c>
      <c r="J226" s="29">
        <f>IF(AND(ISNUMBER(H226),ISNUMBER(I226)),H226+I226,"")</f>
        <v/>
      </c>
      <c r="K226" s="28" t="n">
        <v>0.5</v>
      </c>
      <c r="L226" s="38" t="inlineStr">
        <is>
          <t>06 Aug</t>
        </is>
      </c>
    </row>
    <row r="227">
      <c r="A227" s="39" t="n">
        <v>46241</v>
      </c>
      <c r="B227" s="100">
        <f>IFERROR(IF(INDEX(Polymarket!$B$25:$B$303,MATCH($A227,Polymarket!$A$25:$A$303,0))=0,"",INDEX(Polymarket!$B$25:$B$303,MATCH($A227,Polymarket!$A$25:$A$303,0))),"")</f>
        <v/>
      </c>
      <c r="C227" s="100">
        <f>IFERROR(IF(INDEX(Kalshi!$D$31:$D$485,MATCH($A227,Kalshi!$A$31:$A$485,0))=0,"",INDEX(Kalshi!$D$31:$D$485,MATCH($A227,Kalshi!$A$31:$A$485,0))),"")</f>
        <v/>
      </c>
      <c r="D227" s="18">
        <f>IF(AND(ISNUMBER(B227),ISNUMBER(C227)),B227-C227,"")</f>
        <v/>
      </c>
      <c r="E227" s="17">
        <f>IF(ISNUMBER(D227),ABS(D227),"")</f>
        <v/>
      </c>
      <c r="F227" s="100">
        <f>IFERROR(IF(INDEX(Polymarket!$C$25:$C$303,MATCH($A227,Polymarket!$A$25:$A$303,0))=0,"",INDEX(Polymarket!$C$25:$C$303,MATCH($A227,Polymarket!$A$25:$A$303,0))),"")</f>
        <v/>
      </c>
      <c r="G227" s="100">
        <f>IFERROR(IF(INDEX(Kalshi!$G$31:$G$485,MATCH($A227,Kalshi!$A$31:$A$485,0))=0,"",INDEX(Kalshi!$G$31:$G$485,MATCH($A227,Kalshi!$A$31:$A$485,0))),"")</f>
        <v/>
      </c>
      <c r="H227" s="20">
        <f>IF(AND(ISNUMBER(B227),ISNUMBER(C227)),MIN(B227,C227),"")</f>
        <v/>
      </c>
      <c r="I227" s="20">
        <f>IF(AND(ISNUMBER(F227),ISNUMBER(G227)),MIN(F227,G227),"")</f>
        <v/>
      </c>
      <c r="J227" s="17">
        <f>IF(AND(ISNUMBER(H227),ISNUMBER(I227)),H227+I227,"")</f>
        <v/>
      </c>
      <c r="K227" s="16" t="n">
        <v>0.5</v>
      </c>
      <c r="L227" s="26" t="inlineStr">
        <is>
          <t>07 Aug</t>
        </is>
      </c>
    </row>
    <row r="228">
      <c r="A228" s="41" t="n">
        <v>46242</v>
      </c>
      <c r="B228" s="101">
        <f>IFERROR(IF(INDEX(Polymarket!$B$25:$B$303,MATCH($A228,Polymarket!$A$25:$A$303,0))=0,"",INDEX(Polymarket!$B$25:$B$303,MATCH($A228,Polymarket!$A$25:$A$303,0))),"")</f>
        <v/>
      </c>
      <c r="C228" s="101">
        <f>IFERROR(IF(INDEX(Kalshi!$D$31:$D$485,MATCH($A228,Kalshi!$A$31:$A$485,0))=0,"",INDEX(Kalshi!$D$31:$D$485,MATCH($A228,Kalshi!$A$31:$A$485,0))),"")</f>
        <v/>
      </c>
      <c r="D228" s="31">
        <f>IF(AND(ISNUMBER(B228),ISNUMBER(C228)),B228-C228,"")</f>
        <v/>
      </c>
      <c r="E228" s="29">
        <f>IF(ISNUMBER(D228),ABS(D228),"")</f>
        <v/>
      </c>
      <c r="F228" s="101">
        <f>IFERROR(IF(INDEX(Polymarket!$C$25:$C$303,MATCH($A228,Polymarket!$A$25:$A$303,0))=0,"",INDEX(Polymarket!$C$25:$C$303,MATCH($A228,Polymarket!$A$25:$A$303,0))),"")</f>
        <v/>
      </c>
      <c r="G228" s="101">
        <f>IFERROR(IF(INDEX(Kalshi!$G$31:$G$485,MATCH($A228,Kalshi!$A$31:$A$485,0))=0,"",INDEX(Kalshi!$G$31:$G$485,MATCH($A228,Kalshi!$A$31:$A$485,0))),"")</f>
        <v/>
      </c>
      <c r="H228" s="30">
        <f>IF(AND(ISNUMBER(B228),ISNUMBER(C228)),MIN(B228,C228),"")</f>
        <v/>
      </c>
      <c r="I228" s="30">
        <f>IF(AND(ISNUMBER(F228),ISNUMBER(G228)),MIN(F228,G228),"")</f>
        <v/>
      </c>
      <c r="J228" s="29">
        <f>IF(AND(ISNUMBER(H228),ISNUMBER(I228)),H228+I228,"")</f>
        <v/>
      </c>
      <c r="K228" s="28" t="n">
        <v>0.5</v>
      </c>
      <c r="L228" s="38" t="inlineStr">
        <is>
          <t>08 Aug</t>
        </is>
      </c>
    </row>
    <row r="229">
      <c r="A229" s="39" t="n">
        <v>46243</v>
      </c>
      <c r="B229" s="100">
        <f>IFERROR(IF(INDEX(Polymarket!$B$25:$B$303,MATCH($A229,Polymarket!$A$25:$A$303,0))=0,"",INDEX(Polymarket!$B$25:$B$303,MATCH($A229,Polymarket!$A$25:$A$303,0))),"")</f>
        <v/>
      </c>
      <c r="C229" s="100">
        <f>IFERROR(IF(INDEX(Kalshi!$D$31:$D$485,MATCH($A229,Kalshi!$A$31:$A$485,0))=0,"",INDEX(Kalshi!$D$31:$D$485,MATCH($A229,Kalshi!$A$31:$A$485,0))),"")</f>
        <v/>
      </c>
      <c r="D229" s="18">
        <f>IF(AND(ISNUMBER(B229),ISNUMBER(C229)),B229-C229,"")</f>
        <v/>
      </c>
      <c r="E229" s="17">
        <f>IF(ISNUMBER(D229),ABS(D229),"")</f>
        <v/>
      </c>
      <c r="F229" s="100">
        <f>IFERROR(IF(INDEX(Polymarket!$C$25:$C$303,MATCH($A229,Polymarket!$A$25:$A$303,0))=0,"",INDEX(Polymarket!$C$25:$C$303,MATCH($A229,Polymarket!$A$25:$A$303,0))),"")</f>
        <v/>
      </c>
      <c r="G229" s="100">
        <f>IFERROR(IF(INDEX(Kalshi!$G$31:$G$485,MATCH($A229,Kalshi!$A$31:$A$485,0))=0,"",INDEX(Kalshi!$G$31:$G$485,MATCH($A229,Kalshi!$A$31:$A$485,0))),"")</f>
        <v/>
      </c>
      <c r="H229" s="20">
        <f>IF(AND(ISNUMBER(B229),ISNUMBER(C229)),MIN(B229,C229),"")</f>
        <v/>
      </c>
      <c r="I229" s="20">
        <f>IF(AND(ISNUMBER(F229),ISNUMBER(G229)),MIN(F229,G229),"")</f>
        <v/>
      </c>
      <c r="J229" s="17">
        <f>IF(AND(ISNUMBER(H229),ISNUMBER(I229)),H229+I229,"")</f>
        <v/>
      </c>
      <c r="K229" s="16" t="n">
        <v>0.5</v>
      </c>
      <c r="L229" s="26" t="inlineStr">
        <is>
          <t>09 Aug</t>
        </is>
      </c>
    </row>
    <row r="230">
      <c r="A230" s="41" t="n">
        <v>46244</v>
      </c>
      <c r="B230" s="101">
        <f>IFERROR(IF(INDEX(Polymarket!$B$25:$B$303,MATCH($A230,Polymarket!$A$25:$A$303,0))=0,"",INDEX(Polymarket!$B$25:$B$303,MATCH($A230,Polymarket!$A$25:$A$303,0))),"")</f>
        <v/>
      </c>
      <c r="C230" s="101">
        <f>IFERROR(IF(INDEX(Kalshi!$D$31:$D$485,MATCH($A230,Kalshi!$A$31:$A$485,0))=0,"",INDEX(Kalshi!$D$31:$D$485,MATCH($A230,Kalshi!$A$31:$A$485,0))),"")</f>
        <v/>
      </c>
      <c r="D230" s="31">
        <f>IF(AND(ISNUMBER(B230),ISNUMBER(C230)),B230-C230,"")</f>
        <v/>
      </c>
      <c r="E230" s="29">
        <f>IF(ISNUMBER(D230),ABS(D230),"")</f>
        <v/>
      </c>
      <c r="F230" s="101">
        <f>IFERROR(IF(INDEX(Polymarket!$C$25:$C$303,MATCH($A230,Polymarket!$A$25:$A$303,0))=0,"",INDEX(Polymarket!$C$25:$C$303,MATCH($A230,Polymarket!$A$25:$A$303,0))),"")</f>
        <v/>
      </c>
      <c r="G230" s="101">
        <f>IFERROR(IF(INDEX(Kalshi!$G$31:$G$485,MATCH($A230,Kalshi!$A$31:$A$485,0))=0,"",INDEX(Kalshi!$G$31:$G$485,MATCH($A230,Kalshi!$A$31:$A$485,0))),"")</f>
        <v/>
      </c>
      <c r="H230" s="30">
        <f>IF(AND(ISNUMBER(B230),ISNUMBER(C230)),MIN(B230,C230),"")</f>
        <v/>
      </c>
      <c r="I230" s="30">
        <f>IF(AND(ISNUMBER(F230),ISNUMBER(G230)),MIN(F230,G230),"")</f>
        <v/>
      </c>
      <c r="J230" s="29">
        <f>IF(AND(ISNUMBER(H230),ISNUMBER(I230)),H230+I230,"")</f>
        <v/>
      </c>
      <c r="K230" s="28" t="n">
        <v>0.5</v>
      </c>
      <c r="L230" s="38" t="inlineStr">
        <is>
          <t>10 Aug</t>
        </is>
      </c>
    </row>
    <row r="231">
      <c r="A231" s="39" t="n">
        <v>46245</v>
      </c>
      <c r="B231" s="100">
        <f>IFERROR(IF(INDEX(Polymarket!$B$25:$B$303,MATCH($A231,Polymarket!$A$25:$A$303,0))=0,"",INDEX(Polymarket!$B$25:$B$303,MATCH($A231,Polymarket!$A$25:$A$303,0))),"")</f>
        <v/>
      </c>
      <c r="C231" s="100">
        <f>IFERROR(IF(INDEX(Kalshi!$D$31:$D$485,MATCH($A231,Kalshi!$A$31:$A$485,0))=0,"",INDEX(Kalshi!$D$31:$D$485,MATCH($A231,Kalshi!$A$31:$A$485,0))),"")</f>
        <v/>
      </c>
      <c r="D231" s="18">
        <f>IF(AND(ISNUMBER(B231),ISNUMBER(C231)),B231-C231,"")</f>
        <v/>
      </c>
      <c r="E231" s="17">
        <f>IF(ISNUMBER(D231),ABS(D231),"")</f>
        <v/>
      </c>
      <c r="F231" s="100">
        <f>IFERROR(IF(INDEX(Polymarket!$C$25:$C$303,MATCH($A231,Polymarket!$A$25:$A$303,0))=0,"",INDEX(Polymarket!$C$25:$C$303,MATCH($A231,Polymarket!$A$25:$A$303,0))),"")</f>
        <v/>
      </c>
      <c r="G231" s="100">
        <f>IFERROR(IF(INDEX(Kalshi!$G$31:$G$485,MATCH($A231,Kalshi!$A$31:$A$485,0))=0,"",INDEX(Kalshi!$G$31:$G$485,MATCH($A231,Kalshi!$A$31:$A$485,0))),"")</f>
        <v/>
      </c>
      <c r="H231" s="20">
        <f>IF(AND(ISNUMBER(B231),ISNUMBER(C231)),MIN(B231,C231),"")</f>
        <v/>
      </c>
      <c r="I231" s="20">
        <f>IF(AND(ISNUMBER(F231),ISNUMBER(G231)),MIN(F231,G231),"")</f>
        <v/>
      </c>
      <c r="J231" s="17">
        <f>IF(AND(ISNUMBER(H231),ISNUMBER(I231)),H231+I231,"")</f>
        <v/>
      </c>
      <c r="K231" s="16" t="n">
        <v>0.5</v>
      </c>
      <c r="L231" s="26" t="inlineStr">
        <is>
          <t>11 Aug</t>
        </is>
      </c>
    </row>
    <row r="232">
      <c r="A232" s="41" t="n">
        <v>46246</v>
      </c>
      <c r="B232" s="101">
        <f>IFERROR(IF(INDEX(Polymarket!$B$25:$B$303,MATCH($A232,Polymarket!$A$25:$A$303,0))=0,"",INDEX(Polymarket!$B$25:$B$303,MATCH($A232,Polymarket!$A$25:$A$303,0))),"")</f>
        <v/>
      </c>
      <c r="C232" s="101">
        <f>IFERROR(IF(INDEX(Kalshi!$D$31:$D$485,MATCH($A232,Kalshi!$A$31:$A$485,0))=0,"",INDEX(Kalshi!$D$31:$D$485,MATCH($A232,Kalshi!$A$31:$A$485,0))),"")</f>
        <v/>
      </c>
      <c r="D232" s="31">
        <f>IF(AND(ISNUMBER(B232),ISNUMBER(C232)),B232-C232,"")</f>
        <v/>
      </c>
      <c r="E232" s="29">
        <f>IF(ISNUMBER(D232),ABS(D232),"")</f>
        <v/>
      </c>
      <c r="F232" s="101">
        <f>IFERROR(IF(INDEX(Polymarket!$C$25:$C$303,MATCH($A232,Polymarket!$A$25:$A$303,0))=0,"",INDEX(Polymarket!$C$25:$C$303,MATCH($A232,Polymarket!$A$25:$A$303,0))),"")</f>
        <v/>
      </c>
      <c r="G232" s="101">
        <f>IFERROR(IF(INDEX(Kalshi!$G$31:$G$485,MATCH($A232,Kalshi!$A$31:$A$485,0))=0,"",INDEX(Kalshi!$G$31:$G$485,MATCH($A232,Kalshi!$A$31:$A$485,0))),"")</f>
        <v/>
      </c>
      <c r="H232" s="30">
        <f>IF(AND(ISNUMBER(B232),ISNUMBER(C232)),MIN(B232,C232),"")</f>
        <v/>
      </c>
      <c r="I232" s="30">
        <f>IF(AND(ISNUMBER(F232),ISNUMBER(G232)),MIN(F232,G232),"")</f>
        <v/>
      </c>
      <c r="J232" s="29">
        <f>IF(AND(ISNUMBER(H232),ISNUMBER(I232)),H232+I232,"")</f>
        <v/>
      </c>
      <c r="K232" s="28" t="n">
        <v>0.5</v>
      </c>
      <c r="L232" s="38" t="inlineStr">
        <is>
          <t>12 Aug</t>
        </is>
      </c>
    </row>
    <row r="233">
      <c r="A233" s="39" t="n">
        <v>46247</v>
      </c>
      <c r="B233" s="100">
        <f>IFERROR(IF(INDEX(Polymarket!$B$25:$B$303,MATCH($A233,Polymarket!$A$25:$A$303,0))=0,"",INDEX(Polymarket!$B$25:$B$303,MATCH($A233,Polymarket!$A$25:$A$303,0))),"")</f>
        <v/>
      </c>
      <c r="C233" s="100">
        <f>IFERROR(IF(INDEX(Kalshi!$D$31:$D$485,MATCH($A233,Kalshi!$A$31:$A$485,0))=0,"",INDEX(Kalshi!$D$31:$D$485,MATCH($A233,Kalshi!$A$31:$A$485,0))),"")</f>
        <v/>
      </c>
      <c r="D233" s="18">
        <f>IF(AND(ISNUMBER(B233),ISNUMBER(C233)),B233-C233,"")</f>
        <v/>
      </c>
      <c r="E233" s="17">
        <f>IF(ISNUMBER(D233),ABS(D233),"")</f>
        <v/>
      </c>
      <c r="F233" s="100">
        <f>IFERROR(IF(INDEX(Polymarket!$C$25:$C$303,MATCH($A233,Polymarket!$A$25:$A$303,0))=0,"",INDEX(Polymarket!$C$25:$C$303,MATCH($A233,Polymarket!$A$25:$A$303,0))),"")</f>
        <v/>
      </c>
      <c r="G233" s="100">
        <f>IFERROR(IF(INDEX(Kalshi!$G$31:$G$485,MATCH($A233,Kalshi!$A$31:$A$485,0))=0,"",INDEX(Kalshi!$G$31:$G$485,MATCH($A233,Kalshi!$A$31:$A$485,0))),"")</f>
        <v/>
      </c>
      <c r="H233" s="20">
        <f>IF(AND(ISNUMBER(B233),ISNUMBER(C233)),MIN(B233,C233),"")</f>
        <v/>
      </c>
      <c r="I233" s="20">
        <f>IF(AND(ISNUMBER(F233),ISNUMBER(G233)),MIN(F233,G233),"")</f>
        <v/>
      </c>
      <c r="J233" s="17">
        <f>IF(AND(ISNUMBER(H233),ISNUMBER(I233)),H233+I233,"")</f>
        <v/>
      </c>
      <c r="K233" s="16" t="n">
        <v>0.5</v>
      </c>
      <c r="L233" s="26" t="inlineStr">
        <is>
          <t>13 Aug</t>
        </is>
      </c>
    </row>
    <row r="234">
      <c r="A234" s="41" t="n">
        <v>46248</v>
      </c>
      <c r="B234" s="101">
        <f>IFERROR(IF(INDEX(Polymarket!$B$25:$B$303,MATCH($A234,Polymarket!$A$25:$A$303,0))=0,"",INDEX(Polymarket!$B$25:$B$303,MATCH($A234,Polymarket!$A$25:$A$303,0))),"")</f>
        <v/>
      </c>
      <c r="C234" s="101">
        <f>IFERROR(IF(INDEX(Kalshi!$D$31:$D$485,MATCH($A234,Kalshi!$A$31:$A$485,0))=0,"",INDEX(Kalshi!$D$31:$D$485,MATCH($A234,Kalshi!$A$31:$A$485,0))),"")</f>
        <v/>
      </c>
      <c r="D234" s="31">
        <f>IF(AND(ISNUMBER(B234),ISNUMBER(C234)),B234-C234,"")</f>
        <v/>
      </c>
      <c r="E234" s="29">
        <f>IF(ISNUMBER(D234),ABS(D234),"")</f>
        <v/>
      </c>
      <c r="F234" s="101">
        <f>IFERROR(IF(INDEX(Polymarket!$C$25:$C$303,MATCH($A234,Polymarket!$A$25:$A$303,0))=0,"",INDEX(Polymarket!$C$25:$C$303,MATCH($A234,Polymarket!$A$25:$A$303,0))),"")</f>
        <v/>
      </c>
      <c r="G234" s="101">
        <f>IFERROR(IF(INDEX(Kalshi!$G$31:$G$485,MATCH($A234,Kalshi!$A$31:$A$485,0))=0,"",INDEX(Kalshi!$G$31:$G$485,MATCH($A234,Kalshi!$A$31:$A$485,0))),"")</f>
        <v/>
      </c>
      <c r="H234" s="30">
        <f>IF(AND(ISNUMBER(B234),ISNUMBER(C234)),MIN(B234,C234),"")</f>
        <v/>
      </c>
      <c r="I234" s="30">
        <f>IF(AND(ISNUMBER(F234),ISNUMBER(G234)),MIN(F234,G234),"")</f>
        <v/>
      </c>
      <c r="J234" s="29">
        <f>IF(AND(ISNUMBER(H234),ISNUMBER(I234)),H234+I234,"")</f>
        <v/>
      </c>
      <c r="K234" s="28" t="n">
        <v>0.5</v>
      </c>
      <c r="L234" s="38" t="inlineStr">
        <is>
          <t>14 Aug</t>
        </is>
      </c>
    </row>
    <row r="235">
      <c r="A235" s="39" t="n">
        <v>46249</v>
      </c>
      <c r="B235" s="100">
        <f>IFERROR(IF(INDEX(Polymarket!$B$25:$B$303,MATCH($A235,Polymarket!$A$25:$A$303,0))=0,"",INDEX(Polymarket!$B$25:$B$303,MATCH($A235,Polymarket!$A$25:$A$303,0))),"")</f>
        <v/>
      </c>
      <c r="C235" s="100">
        <f>IFERROR(IF(INDEX(Kalshi!$D$31:$D$485,MATCH($A235,Kalshi!$A$31:$A$485,0))=0,"",INDEX(Kalshi!$D$31:$D$485,MATCH($A235,Kalshi!$A$31:$A$485,0))),"")</f>
        <v/>
      </c>
      <c r="D235" s="18">
        <f>IF(AND(ISNUMBER(B235),ISNUMBER(C235)),B235-C235,"")</f>
        <v/>
      </c>
      <c r="E235" s="17">
        <f>IF(ISNUMBER(D235),ABS(D235),"")</f>
        <v/>
      </c>
      <c r="F235" s="100">
        <f>IFERROR(IF(INDEX(Polymarket!$C$25:$C$303,MATCH($A235,Polymarket!$A$25:$A$303,0))=0,"",INDEX(Polymarket!$C$25:$C$303,MATCH($A235,Polymarket!$A$25:$A$303,0))),"")</f>
        <v/>
      </c>
      <c r="G235" s="100">
        <f>IFERROR(IF(INDEX(Kalshi!$G$31:$G$485,MATCH($A235,Kalshi!$A$31:$A$485,0))=0,"",INDEX(Kalshi!$G$31:$G$485,MATCH($A235,Kalshi!$A$31:$A$485,0))),"")</f>
        <v/>
      </c>
      <c r="H235" s="20">
        <f>IF(AND(ISNUMBER(B235),ISNUMBER(C235)),MIN(B235,C235),"")</f>
        <v/>
      </c>
      <c r="I235" s="20">
        <f>IF(AND(ISNUMBER(F235),ISNUMBER(G235)),MIN(F235,G235),"")</f>
        <v/>
      </c>
      <c r="J235" s="17">
        <f>IF(AND(ISNUMBER(H235),ISNUMBER(I235)),H235+I235,"")</f>
        <v/>
      </c>
      <c r="K235" s="16" t="n">
        <v>0.5</v>
      </c>
      <c r="L235" s="26" t="inlineStr">
        <is>
          <t>15 Aug</t>
        </is>
      </c>
    </row>
    <row r="236">
      <c r="A236" s="41" t="n">
        <v>46250</v>
      </c>
      <c r="B236" s="101">
        <f>IFERROR(IF(INDEX(Polymarket!$B$25:$B$303,MATCH($A236,Polymarket!$A$25:$A$303,0))=0,"",INDEX(Polymarket!$B$25:$B$303,MATCH($A236,Polymarket!$A$25:$A$303,0))),"")</f>
        <v/>
      </c>
      <c r="C236" s="101">
        <f>IFERROR(IF(INDEX(Kalshi!$D$31:$D$485,MATCH($A236,Kalshi!$A$31:$A$485,0))=0,"",INDEX(Kalshi!$D$31:$D$485,MATCH($A236,Kalshi!$A$31:$A$485,0))),"")</f>
        <v/>
      </c>
      <c r="D236" s="31">
        <f>IF(AND(ISNUMBER(B236),ISNUMBER(C236)),B236-C236,"")</f>
        <v/>
      </c>
      <c r="E236" s="29">
        <f>IF(ISNUMBER(D236),ABS(D236),"")</f>
        <v/>
      </c>
      <c r="F236" s="101">
        <f>IFERROR(IF(INDEX(Polymarket!$C$25:$C$303,MATCH($A236,Polymarket!$A$25:$A$303,0))=0,"",INDEX(Polymarket!$C$25:$C$303,MATCH($A236,Polymarket!$A$25:$A$303,0))),"")</f>
        <v/>
      </c>
      <c r="G236" s="101">
        <f>IFERROR(IF(INDEX(Kalshi!$G$31:$G$485,MATCH($A236,Kalshi!$A$31:$A$485,0))=0,"",INDEX(Kalshi!$G$31:$G$485,MATCH($A236,Kalshi!$A$31:$A$485,0))),"")</f>
        <v/>
      </c>
      <c r="H236" s="30">
        <f>IF(AND(ISNUMBER(B236),ISNUMBER(C236)),MIN(B236,C236),"")</f>
        <v/>
      </c>
      <c r="I236" s="30">
        <f>IF(AND(ISNUMBER(F236),ISNUMBER(G236)),MIN(F236,G236),"")</f>
        <v/>
      </c>
      <c r="J236" s="29">
        <f>IF(AND(ISNUMBER(H236),ISNUMBER(I236)),H236+I236,"")</f>
        <v/>
      </c>
      <c r="K236" s="28" t="n">
        <v>0.5</v>
      </c>
      <c r="L236" s="38" t="inlineStr">
        <is>
          <t>16 Aug</t>
        </is>
      </c>
    </row>
    <row r="237">
      <c r="A237" s="39" t="n">
        <v>46251</v>
      </c>
      <c r="B237" s="100">
        <f>IFERROR(IF(INDEX(Polymarket!$B$25:$B$303,MATCH($A237,Polymarket!$A$25:$A$303,0))=0,"",INDEX(Polymarket!$B$25:$B$303,MATCH($A237,Polymarket!$A$25:$A$303,0))),"")</f>
        <v/>
      </c>
      <c r="C237" s="100">
        <f>IFERROR(IF(INDEX(Kalshi!$D$31:$D$485,MATCH($A237,Kalshi!$A$31:$A$485,0))=0,"",INDEX(Kalshi!$D$31:$D$485,MATCH($A237,Kalshi!$A$31:$A$485,0))),"")</f>
        <v/>
      </c>
      <c r="D237" s="18">
        <f>IF(AND(ISNUMBER(B237),ISNUMBER(C237)),B237-C237,"")</f>
        <v/>
      </c>
      <c r="E237" s="17">
        <f>IF(ISNUMBER(D237),ABS(D237),"")</f>
        <v/>
      </c>
      <c r="F237" s="100">
        <f>IFERROR(IF(INDEX(Polymarket!$C$25:$C$303,MATCH($A237,Polymarket!$A$25:$A$303,0))=0,"",INDEX(Polymarket!$C$25:$C$303,MATCH($A237,Polymarket!$A$25:$A$303,0))),"")</f>
        <v/>
      </c>
      <c r="G237" s="100">
        <f>IFERROR(IF(INDEX(Kalshi!$G$31:$G$485,MATCH($A237,Kalshi!$A$31:$A$485,0))=0,"",INDEX(Kalshi!$G$31:$G$485,MATCH($A237,Kalshi!$A$31:$A$485,0))),"")</f>
        <v/>
      </c>
      <c r="H237" s="20">
        <f>IF(AND(ISNUMBER(B237),ISNUMBER(C237)),MIN(B237,C237),"")</f>
        <v/>
      </c>
      <c r="I237" s="20">
        <f>IF(AND(ISNUMBER(F237),ISNUMBER(G237)),MIN(F237,G237),"")</f>
        <v/>
      </c>
      <c r="J237" s="17">
        <f>IF(AND(ISNUMBER(H237),ISNUMBER(I237)),H237+I237,"")</f>
        <v/>
      </c>
      <c r="K237" s="16" t="n">
        <v>0.5</v>
      </c>
      <c r="L237" s="26" t="inlineStr">
        <is>
          <t>17 Aug</t>
        </is>
      </c>
    </row>
    <row r="238">
      <c r="A238" s="41" t="n">
        <v>46252</v>
      </c>
      <c r="B238" s="101">
        <f>IFERROR(IF(INDEX(Polymarket!$B$25:$B$303,MATCH($A238,Polymarket!$A$25:$A$303,0))=0,"",INDEX(Polymarket!$B$25:$B$303,MATCH($A238,Polymarket!$A$25:$A$303,0))),"")</f>
        <v/>
      </c>
      <c r="C238" s="101">
        <f>IFERROR(IF(INDEX(Kalshi!$D$31:$D$485,MATCH($A238,Kalshi!$A$31:$A$485,0))=0,"",INDEX(Kalshi!$D$31:$D$485,MATCH($A238,Kalshi!$A$31:$A$485,0))),"")</f>
        <v/>
      </c>
      <c r="D238" s="31">
        <f>IF(AND(ISNUMBER(B238),ISNUMBER(C238)),B238-C238,"")</f>
        <v/>
      </c>
      <c r="E238" s="29">
        <f>IF(ISNUMBER(D238),ABS(D238),"")</f>
        <v/>
      </c>
      <c r="F238" s="101">
        <f>IFERROR(IF(INDEX(Polymarket!$C$25:$C$303,MATCH($A238,Polymarket!$A$25:$A$303,0))=0,"",INDEX(Polymarket!$C$25:$C$303,MATCH($A238,Polymarket!$A$25:$A$303,0))),"")</f>
        <v/>
      </c>
      <c r="G238" s="101">
        <f>IFERROR(IF(INDEX(Kalshi!$G$31:$G$485,MATCH($A238,Kalshi!$A$31:$A$485,0))=0,"",INDEX(Kalshi!$G$31:$G$485,MATCH($A238,Kalshi!$A$31:$A$485,0))),"")</f>
        <v/>
      </c>
      <c r="H238" s="30">
        <f>IF(AND(ISNUMBER(B238),ISNUMBER(C238)),MIN(B238,C238),"")</f>
        <v/>
      </c>
      <c r="I238" s="30">
        <f>IF(AND(ISNUMBER(F238),ISNUMBER(G238)),MIN(F238,G238),"")</f>
        <v/>
      </c>
      <c r="J238" s="29">
        <f>IF(AND(ISNUMBER(H238),ISNUMBER(I238)),H238+I238,"")</f>
        <v/>
      </c>
      <c r="K238" s="28" t="n">
        <v>0.5</v>
      </c>
      <c r="L238" s="38" t="inlineStr">
        <is>
          <t>18 Aug</t>
        </is>
      </c>
    </row>
    <row r="239">
      <c r="A239" s="39" t="n">
        <v>46253</v>
      </c>
      <c r="B239" s="100">
        <f>IFERROR(IF(INDEX(Polymarket!$B$25:$B$303,MATCH($A239,Polymarket!$A$25:$A$303,0))=0,"",INDEX(Polymarket!$B$25:$B$303,MATCH($A239,Polymarket!$A$25:$A$303,0))),"")</f>
        <v/>
      </c>
      <c r="C239" s="100">
        <f>IFERROR(IF(INDEX(Kalshi!$D$31:$D$485,MATCH($A239,Kalshi!$A$31:$A$485,0))=0,"",INDEX(Kalshi!$D$31:$D$485,MATCH($A239,Kalshi!$A$31:$A$485,0))),"")</f>
        <v/>
      </c>
      <c r="D239" s="18">
        <f>IF(AND(ISNUMBER(B239),ISNUMBER(C239)),B239-C239,"")</f>
        <v/>
      </c>
      <c r="E239" s="17">
        <f>IF(ISNUMBER(D239),ABS(D239),"")</f>
        <v/>
      </c>
      <c r="F239" s="100">
        <f>IFERROR(IF(INDEX(Polymarket!$C$25:$C$303,MATCH($A239,Polymarket!$A$25:$A$303,0))=0,"",INDEX(Polymarket!$C$25:$C$303,MATCH($A239,Polymarket!$A$25:$A$303,0))),"")</f>
        <v/>
      </c>
      <c r="G239" s="100">
        <f>IFERROR(IF(INDEX(Kalshi!$G$31:$G$485,MATCH($A239,Kalshi!$A$31:$A$485,0))=0,"",INDEX(Kalshi!$G$31:$G$485,MATCH($A239,Kalshi!$A$31:$A$485,0))),"")</f>
        <v/>
      </c>
      <c r="H239" s="20">
        <f>IF(AND(ISNUMBER(B239),ISNUMBER(C239)),MIN(B239,C239),"")</f>
        <v/>
      </c>
      <c r="I239" s="20">
        <f>IF(AND(ISNUMBER(F239),ISNUMBER(G239)),MIN(F239,G239),"")</f>
        <v/>
      </c>
      <c r="J239" s="17">
        <f>IF(AND(ISNUMBER(H239),ISNUMBER(I239)),H239+I239,"")</f>
        <v/>
      </c>
      <c r="K239" s="16" t="n">
        <v>0.5</v>
      </c>
      <c r="L239" s="26" t="inlineStr">
        <is>
          <t>19 Aug</t>
        </is>
      </c>
    </row>
    <row r="240">
      <c r="A240" s="41" t="n">
        <v>46254</v>
      </c>
      <c r="B240" s="101">
        <f>IFERROR(IF(INDEX(Polymarket!$B$25:$B$303,MATCH($A240,Polymarket!$A$25:$A$303,0))=0,"",INDEX(Polymarket!$B$25:$B$303,MATCH($A240,Polymarket!$A$25:$A$303,0))),"")</f>
        <v/>
      </c>
      <c r="C240" s="101">
        <f>IFERROR(IF(INDEX(Kalshi!$D$31:$D$485,MATCH($A240,Kalshi!$A$31:$A$485,0))=0,"",INDEX(Kalshi!$D$31:$D$485,MATCH($A240,Kalshi!$A$31:$A$485,0))),"")</f>
        <v/>
      </c>
      <c r="D240" s="31">
        <f>IF(AND(ISNUMBER(B240),ISNUMBER(C240)),B240-C240,"")</f>
        <v/>
      </c>
      <c r="E240" s="29">
        <f>IF(ISNUMBER(D240),ABS(D240),"")</f>
        <v/>
      </c>
      <c r="F240" s="101">
        <f>IFERROR(IF(INDEX(Polymarket!$C$25:$C$303,MATCH($A240,Polymarket!$A$25:$A$303,0))=0,"",INDEX(Polymarket!$C$25:$C$303,MATCH($A240,Polymarket!$A$25:$A$303,0))),"")</f>
        <v/>
      </c>
      <c r="G240" s="101">
        <f>IFERROR(IF(INDEX(Kalshi!$G$31:$G$485,MATCH($A240,Kalshi!$A$31:$A$485,0))=0,"",INDEX(Kalshi!$G$31:$G$485,MATCH($A240,Kalshi!$A$31:$A$485,0))),"")</f>
        <v/>
      </c>
      <c r="H240" s="30">
        <f>IF(AND(ISNUMBER(B240),ISNUMBER(C240)),MIN(B240,C240),"")</f>
        <v/>
      </c>
      <c r="I240" s="30">
        <f>IF(AND(ISNUMBER(F240),ISNUMBER(G240)),MIN(F240,G240),"")</f>
        <v/>
      </c>
      <c r="J240" s="29">
        <f>IF(AND(ISNUMBER(H240),ISNUMBER(I240)),H240+I240,"")</f>
        <v/>
      </c>
      <c r="K240" s="28" t="n">
        <v>0.5</v>
      </c>
      <c r="L240" s="38" t="inlineStr">
        <is>
          <t>20 Aug</t>
        </is>
      </c>
    </row>
    <row r="241">
      <c r="A241" s="39" t="n">
        <v>46255</v>
      </c>
      <c r="B241" s="100">
        <f>IFERROR(IF(INDEX(Polymarket!$B$25:$B$303,MATCH($A241,Polymarket!$A$25:$A$303,0))=0,"",INDEX(Polymarket!$B$25:$B$303,MATCH($A241,Polymarket!$A$25:$A$303,0))),"")</f>
        <v/>
      </c>
      <c r="C241" s="100">
        <f>IFERROR(IF(INDEX(Kalshi!$D$31:$D$485,MATCH($A241,Kalshi!$A$31:$A$485,0))=0,"",INDEX(Kalshi!$D$31:$D$485,MATCH($A241,Kalshi!$A$31:$A$485,0))),"")</f>
        <v/>
      </c>
      <c r="D241" s="18">
        <f>IF(AND(ISNUMBER(B241),ISNUMBER(C241)),B241-C241,"")</f>
        <v/>
      </c>
      <c r="E241" s="17">
        <f>IF(ISNUMBER(D241),ABS(D241),"")</f>
        <v/>
      </c>
      <c r="F241" s="100">
        <f>IFERROR(IF(INDEX(Polymarket!$C$25:$C$303,MATCH($A241,Polymarket!$A$25:$A$303,0))=0,"",INDEX(Polymarket!$C$25:$C$303,MATCH($A241,Polymarket!$A$25:$A$303,0))),"")</f>
        <v/>
      </c>
      <c r="G241" s="100">
        <f>IFERROR(IF(INDEX(Kalshi!$G$31:$G$485,MATCH($A241,Kalshi!$A$31:$A$485,0))=0,"",INDEX(Kalshi!$G$31:$G$485,MATCH($A241,Kalshi!$A$31:$A$485,0))),"")</f>
        <v/>
      </c>
      <c r="H241" s="20">
        <f>IF(AND(ISNUMBER(B241),ISNUMBER(C241)),MIN(B241,C241),"")</f>
        <v/>
      </c>
      <c r="I241" s="20">
        <f>IF(AND(ISNUMBER(F241),ISNUMBER(G241)),MIN(F241,G241),"")</f>
        <v/>
      </c>
      <c r="J241" s="17">
        <f>IF(AND(ISNUMBER(H241),ISNUMBER(I241)),H241+I241,"")</f>
        <v/>
      </c>
      <c r="K241" s="16" t="n">
        <v>0.5</v>
      </c>
      <c r="L241" s="26" t="inlineStr">
        <is>
          <t>21 Aug</t>
        </is>
      </c>
    </row>
    <row r="242">
      <c r="A242" s="41" t="n">
        <v>46256</v>
      </c>
      <c r="B242" s="101">
        <f>IFERROR(IF(INDEX(Polymarket!$B$25:$B$303,MATCH($A242,Polymarket!$A$25:$A$303,0))=0,"",INDEX(Polymarket!$B$25:$B$303,MATCH($A242,Polymarket!$A$25:$A$303,0))),"")</f>
        <v/>
      </c>
      <c r="C242" s="101">
        <f>IFERROR(IF(INDEX(Kalshi!$D$31:$D$485,MATCH($A242,Kalshi!$A$31:$A$485,0))=0,"",INDEX(Kalshi!$D$31:$D$485,MATCH($A242,Kalshi!$A$31:$A$485,0))),"")</f>
        <v/>
      </c>
      <c r="D242" s="31">
        <f>IF(AND(ISNUMBER(B242),ISNUMBER(C242)),B242-C242,"")</f>
        <v/>
      </c>
      <c r="E242" s="29">
        <f>IF(ISNUMBER(D242),ABS(D242),"")</f>
        <v/>
      </c>
      <c r="F242" s="101">
        <f>IFERROR(IF(INDEX(Polymarket!$C$25:$C$303,MATCH($A242,Polymarket!$A$25:$A$303,0))=0,"",INDEX(Polymarket!$C$25:$C$303,MATCH($A242,Polymarket!$A$25:$A$303,0))),"")</f>
        <v/>
      </c>
      <c r="G242" s="101">
        <f>IFERROR(IF(INDEX(Kalshi!$G$31:$G$485,MATCH($A242,Kalshi!$A$31:$A$485,0))=0,"",INDEX(Kalshi!$G$31:$G$485,MATCH($A242,Kalshi!$A$31:$A$485,0))),"")</f>
        <v/>
      </c>
      <c r="H242" s="30">
        <f>IF(AND(ISNUMBER(B242),ISNUMBER(C242)),MIN(B242,C242),"")</f>
        <v/>
      </c>
      <c r="I242" s="30">
        <f>IF(AND(ISNUMBER(F242),ISNUMBER(G242)),MIN(F242,G242),"")</f>
        <v/>
      </c>
      <c r="J242" s="29">
        <f>IF(AND(ISNUMBER(H242),ISNUMBER(I242)),H242+I242,"")</f>
        <v/>
      </c>
      <c r="K242" s="28" t="n">
        <v>0.5</v>
      </c>
      <c r="L242" s="38" t="inlineStr">
        <is>
          <t>22 Aug</t>
        </is>
      </c>
    </row>
    <row r="243">
      <c r="A243" s="39" t="n">
        <v>46257</v>
      </c>
      <c r="B243" s="100">
        <f>IFERROR(IF(INDEX(Polymarket!$B$25:$B$303,MATCH($A243,Polymarket!$A$25:$A$303,0))=0,"",INDEX(Polymarket!$B$25:$B$303,MATCH($A243,Polymarket!$A$25:$A$303,0))),"")</f>
        <v/>
      </c>
      <c r="C243" s="100">
        <f>IFERROR(IF(INDEX(Kalshi!$D$31:$D$485,MATCH($A243,Kalshi!$A$31:$A$485,0))=0,"",INDEX(Kalshi!$D$31:$D$485,MATCH($A243,Kalshi!$A$31:$A$485,0))),"")</f>
        <v/>
      </c>
      <c r="D243" s="18">
        <f>IF(AND(ISNUMBER(B243),ISNUMBER(C243)),B243-C243,"")</f>
        <v/>
      </c>
      <c r="E243" s="17">
        <f>IF(ISNUMBER(D243),ABS(D243),"")</f>
        <v/>
      </c>
      <c r="F243" s="100">
        <f>IFERROR(IF(INDEX(Polymarket!$C$25:$C$303,MATCH($A243,Polymarket!$A$25:$A$303,0))=0,"",INDEX(Polymarket!$C$25:$C$303,MATCH($A243,Polymarket!$A$25:$A$303,0))),"")</f>
        <v/>
      </c>
      <c r="G243" s="100">
        <f>IFERROR(IF(INDEX(Kalshi!$G$31:$G$485,MATCH($A243,Kalshi!$A$31:$A$485,0))=0,"",INDEX(Kalshi!$G$31:$G$485,MATCH($A243,Kalshi!$A$31:$A$485,0))),"")</f>
        <v/>
      </c>
      <c r="H243" s="20">
        <f>IF(AND(ISNUMBER(B243),ISNUMBER(C243)),MIN(B243,C243),"")</f>
        <v/>
      </c>
      <c r="I243" s="20">
        <f>IF(AND(ISNUMBER(F243),ISNUMBER(G243)),MIN(F243,G243),"")</f>
        <v/>
      </c>
      <c r="J243" s="17">
        <f>IF(AND(ISNUMBER(H243),ISNUMBER(I243)),H243+I243,"")</f>
        <v/>
      </c>
      <c r="K243" s="16" t="n">
        <v>0.5</v>
      </c>
      <c r="L243" s="26" t="inlineStr">
        <is>
          <t>23 Aug</t>
        </is>
      </c>
    </row>
    <row r="244">
      <c r="A244" s="41" t="n">
        <v>46258</v>
      </c>
      <c r="B244" s="101">
        <f>IFERROR(IF(INDEX(Polymarket!$B$25:$B$303,MATCH($A244,Polymarket!$A$25:$A$303,0))=0,"",INDEX(Polymarket!$B$25:$B$303,MATCH($A244,Polymarket!$A$25:$A$303,0))),"")</f>
        <v/>
      </c>
      <c r="C244" s="101">
        <f>IFERROR(IF(INDEX(Kalshi!$D$31:$D$485,MATCH($A244,Kalshi!$A$31:$A$485,0))=0,"",INDEX(Kalshi!$D$31:$D$485,MATCH($A244,Kalshi!$A$31:$A$485,0))),"")</f>
        <v/>
      </c>
      <c r="D244" s="31">
        <f>IF(AND(ISNUMBER(B244),ISNUMBER(C244)),B244-C244,"")</f>
        <v/>
      </c>
      <c r="E244" s="29">
        <f>IF(ISNUMBER(D244),ABS(D244),"")</f>
        <v/>
      </c>
      <c r="F244" s="101">
        <f>IFERROR(IF(INDEX(Polymarket!$C$25:$C$303,MATCH($A244,Polymarket!$A$25:$A$303,0))=0,"",INDEX(Polymarket!$C$25:$C$303,MATCH($A244,Polymarket!$A$25:$A$303,0))),"")</f>
        <v/>
      </c>
      <c r="G244" s="101">
        <f>IFERROR(IF(INDEX(Kalshi!$G$31:$G$485,MATCH($A244,Kalshi!$A$31:$A$485,0))=0,"",INDEX(Kalshi!$G$31:$G$485,MATCH($A244,Kalshi!$A$31:$A$485,0))),"")</f>
        <v/>
      </c>
      <c r="H244" s="30">
        <f>IF(AND(ISNUMBER(B244),ISNUMBER(C244)),MIN(B244,C244),"")</f>
        <v/>
      </c>
      <c r="I244" s="30">
        <f>IF(AND(ISNUMBER(F244),ISNUMBER(G244)),MIN(F244,G244),"")</f>
        <v/>
      </c>
      <c r="J244" s="29">
        <f>IF(AND(ISNUMBER(H244),ISNUMBER(I244)),H244+I244,"")</f>
        <v/>
      </c>
      <c r="K244" s="28" t="n">
        <v>0.5</v>
      </c>
      <c r="L244" s="38" t="inlineStr">
        <is>
          <t>24 Aug</t>
        </is>
      </c>
    </row>
    <row r="245">
      <c r="A245" s="39" t="n">
        <v>46259</v>
      </c>
      <c r="B245" s="100">
        <f>IFERROR(IF(INDEX(Polymarket!$B$25:$B$303,MATCH($A245,Polymarket!$A$25:$A$303,0))=0,"",INDEX(Polymarket!$B$25:$B$303,MATCH($A245,Polymarket!$A$25:$A$303,0))),"")</f>
        <v/>
      </c>
      <c r="C245" s="100">
        <f>IFERROR(IF(INDEX(Kalshi!$D$31:$D$485,MATCH($A245,Kalshi!$A$31:$A$485,0))=0,"",INDEX(Kalshi!$D$31:$D$485,MATCH($A245,Kalshi!$A$31:$A$485,0))),"")</f>
        <v/>
      </c>
      <c r="D245" s="18">
        <f>IF(AND(ISNUMBER(B245),ISNUMBER(C245)),B245-C245,"")</f>
        <v/>
      </c>
      <c r="E245" s="17">
        <f>IF(ISNUMBER(D245),ABS(D245),"")</f>
        <v/>
      </c>
      <c r="F245" s="100">
        <f>IFERROR(IF(INDEX(Polymarket!$C$25:$C$303,MATCH($A245,Polymarket!$A$25:$A$303,0))=0,"",INDEX(Polymarket!$C$25:$C$303,MATCH($A245,Polymarket!$A$25:$A$303,0))),"")</f>
        <v/>
      </c>
      <c r="G245" s="100">
        <f>IFERROR(IF(INDEX(Kalshi!$G$31:$G$485,MATCH($A245,Kalshi!$A$31:$A$485,0))=0,"",INDEX(Kalshi!$G$31:$G$485,MATCH($A245,Kalshi!$A$31:$A$485,0))),"")</f>
        <v/>
      </c>
      <c r="H245" s="20">
        <f>IF(AND(ISNUMBER(B245),ISNUMBER(C245)),MIN(B245,C245),"")</f>
        <v/>
      </c>
      <c r="I245" s="20">
        <f>IF(AND(ISNUMBER(F245),ISNUMBER(G245)),MIN(F245,G245),"")</f>
        <v/>
      </c>
      <c r="J245" s="17">
        <f>IF(AND(ISNUMBER(H245),ISNUMBER(I245)),H245+I245,"")</f>
        <v/>
      </c>
      <c r="K245" s="16" t="n">
        <v>0.5</v>
      </c>
      <c r="L245" s="26" t="inlineStr">
        <is>
          <t>25 Aug</t>
        </is>
      </c>
    </row>
    <row r="246">
      <c r="A246" s="41" t="n">
        <v>46260</v>
      </c>
      <c r="B246" s="101">
        <f>IFERROR(IF(INDEX(Polymarket!$B$25:$B$303,MATCH($A246,Polymarket!$A$25:$A$303,0))=0,"",INDEX(Polymarket!$B$25:$B$303,MATCH($A246,Polymarket!$A$25:$A$303,0))),"")</f>
        <v/>
      </c>
      <c r="C246" s="101">
        <f>IFERROR(IF(INDEX(Kalshi!$D$31:$D$485,MATCH($A246,Kalshi!$A$31:$A$485,0))=0,"",INDEX(Kalshi!$D$31:$D$485,MATCH($A246,Kalshi!$A$31:$A$485,0))),"")</f>
        <v/>
      </c>
      <c r="D246" s="31">
        <f>IF(AND(ISNUMBER(B246),ISNUMBER(C246)),B246-C246,"")</f>
        <v/>
      </c>
      <c r="E246" s="29">
        <f>IF(ISNUMBER(D246),ABS(D246),"")</f>
        <v/>
      </c>
      <c r="F246" s="101">
        <f>IFERROR(IF(INDEX(Polymarket!$C$25:$C$303,MATCH($A246,Polymarket!$A$25:$A$303,0))=0,"",INDEX(Polymarket!$C$25:$C$303,MATCH($A246,Polymarket!$A$25:$A$303,0))),"")</f>
        <v/>
      </c>
      <c r="G246" s="101">
        <f>IFERROR(IF(INDEX(Kalshi!$G$31:$G$485,MATCH($A246,Kalshi!$A$31:$A$485,0))=0,"",INDEX(Kalshi!$G$31:$G$485,MATCH($A246,Kalshi!$A$31:$A$485,0))),"")</f>
        <v/>
      </c>
      <c r="H246" s="30">
        <f>IF(AND(ISNUMBER(B246),ISNUMBER(C246)),MIN(B246,C246),"")</f>
        <v/>
      </c>
      <c r="I246" s="30">
        <f>IF(AND(ISNUMBER(F246),ISNUMBER(G246)),MIN(F246,G246),"")</f>
        <v/>
      </c>
      <c r="J246" s="29">
        <f>IF(AND(ISNUMBER(H246),ISNUMBER(I246)),H246+I246,"")</f>
        <v/>
      </c>
      <c r="K246" s="28" t="n">
        <v>0.5</v>
      </c>
      <c r="L246" s="38" t="inlineStr">
        <is>
          <t>26 Aug</t>
        </is>
      </c>
    </row>
    <row r="247">
      <c r="A247" s="39" t="n">
        <v>46261</v>
      </c>
      <c r="B247" s="100">
        <f>IFERROR(IF(INDEX(Polymarket!$B$25:$B$303,MATCH($A247,Polymarket!$A$25:$A$303,0))=0,"",INDEX(Polymarket!$B$25:$B$303,MATCH($A247,Polymarket!$A$25:$A$303,0))),"")</f>
        <v/>
      </c>
      <c r="C247" s="100">
        <f>IFERROR(IF(INDEX(Kalshi!$D$31:$D$485,MATCH($A247,Kalshi!$A$31:$A$485,0))=0,"",INDEX(Kalshi!$D$31:$D$485,MATCH($A247,Kalshi!$A$31:$A$485,0))),"")</f>
        <v/>
      </c>
      <c r="D247" s="18">
        <f>IF(AND(ISNUMBER(B247),ISNUMBER(C247)),B247-C247,"")</f>
        <v/>
      </c>
      <c r="E247" s="17">
        <f>IF(ISNUMBER(D247),ABS(D247),"")</f>
        <v/>
      </c>
      <c r="F247" s="100">
        <f>IFERROR(IF(INDEX(Polymarket!$C$25:$C$303,MATCH($A247,Polymarket!$A$25:$A$303,0))=0,"",INDEX(Polymarket!$C$25:$C$303,MATCH($A247,Polymarket!$A$25:$A$303,0))),"")</f>
        <v/>
      </c>
      <c r="G247" s="100">
        <f>IFERROR(IF(INDEX(Kalshi!$G$31:$G$485,MATCH($A247,Kalshi!$A$31:$A$485,0))=0,"",INDEX(Kalshi!$G$31:$G$485,MATCH($A247,Kalshi!$A$31:$A$485,0))),"")</f>
        <v/>
      </c>
      <c r="H247" s="20">
        <f>IF(AND(ISNUMBER(B247),ISNUMBER(C247)),MIN(B247,C247),"")</f>
        <v/>
      </c>
      <c r="I247" s="20">
        <f>IF(AND(ISNUMBER(F247),ISNUMBER(G247)),MIN(F247,G247),"")</f>
        <v/>
      </c>
      <c r="J247" s="17">
        <f>IF(AND(ISNUMBER(H247),ISNUMBER(I247)),H247+I247,"")</f>
        <v/>
      </c>
      <c r="K247" s="16" t="n">
        <v>0.5</v>
      </c>
      <c r="L247" s="26" t="inlineStr">
        <is>
          <t>27 Aug</t>
        </is>
      </c>
    </row>
    <row r="248">
      <c r="A248" s="41" t="n">
        <v>46262</v>
      </c>
      <c r="B248" s="101">
        <f>IFERROR(IF(INDEX(Polymarket!$B$25:$B$303,MATCH($A248,Polymarket!$A$25:$A$303,0))=0,"",INDEX(Polymarket!$B$25:$B$303,MATCH($A248,Polymarket!$A$25:$A$303,0))),"")</f>
        <v/>
      </c>
      <c r="C248" s="101">
        <f>IFERROR(IF(INDEX(Kalshi!$D$31:$D$485,MATCH($A248,Kalshi!$A$31:$A$485,0))=0,"",INDEX(Kalshi!$D$31:$D$485,MATCH($A248,Kalshi!$A$31:$A$485,0))),"")</f>
        <v/>
      </c>
      <c r="D248" s="31">
        <f>IF(AND(ISNUMBER(B248),ISNUMBER(C248)),B248-C248,"")</f>
        <v/>
      </c>
      <c r="E248" s="29">
        <f>IF(ISNUMBER(D248),ABS(D248),"")</f>
        <v/>
      </c>
      <c r="F248" s="101">
        <f>IFERROR(IF(INDEX(Polymarket!$C$25:$C$303,MATCH($A248,Polymarket!$A$25:$A$303,0))=0,"",INDEX(Polymarket!$C$25:$C$303,MATCH($A248,Polymarket!$A$25:$A$303,0))),"")</f>
        <v/>
      </c>
      <c r="G248" s="101">
        <f>IFERROR(IF(INDEX(Kalshi!$G$31:$G$485,MATCH($A248,Kalshi!$A$31:$A$485,0))=0,"",INDEX(Kalshi!$G$31:$G$485,MATCH($A248,Kalshi!$A$31:$A$485,0))),"")</f>
        <v/>
      </c>
      <c r="H248" s="30">
        <f>IF(AND(ISNUMBER(B248),ISNUMBER(C248)),MIN(B248,C248),"")</f>
        <v/>
      </c>
      <c r="I248" s="30">
        <f>IF(AND(ISNUMBER(F248),ISNUMBER(G248)),MIN(F248,G248),"")</f>
        <v/>
      </c>
      <c r="J248" s="29">
        <f>IF(AND(ISNUMBER(H248),ISNUMBER(I248)),H248+I248,"")</f>
        <v/>
      </c>
      <c r="K248" s="28" t="n">
        <v>0.5</v>
      </c>
      <c r="L248" s="38" t="inlineStr">
        <is>
          <t>28 Aug</t>
        </is>
      </c>
    </row>
    <row r="249">
      <c r="A249" s="39" t="n">
        <v>46263</v>
      </c>
      <c r="B249" s="100">
        <f>IFERROR(IF(INDEX(Polymarket!$B$25:$B$303,MATCH($A249,Polymarket!$A$25:$A$303,0))=0,"",INDEX(Polymarket!$B$25:$B$303,MATCH($A249,Polymarket!$A$25:$A$303,0))),"")</f>
        <v/>
      </c>
      <c r="C249" s="100">
        <f>IFERROR(IF(INDEX(Kalshi!$D$31:$D$485,MATCH($A249,Kalshi!$A$31:$A$485,0))=0,"",INDEX(Kalshi!$D$31:$D$485,MATCH($A249,Kalshi!$A$31:$A$485,0))),"")</f>
        <v/>
      </c>
      <c r="D249" s="18">
        <f>IF(AND(ISNUMBER(B249),ISNUMBER(C249)),B249-C249,"")</f>
        <v/>
      </c>
      <c r="E249" s="17">
        <f>IF(ISNUMBER(D249),ABS(D249),"")</f>
        <v/>
      </c>
      <c r="F249" s="100">
        <f>IFERROR(IF(INDEX(Polymarket!$C$25:$C$303,MATCH($A249,Polymarket!$A$25:$A$303,0))=0,"",INDEX(Polymarket!$C$25:$C$303,MATCH($A249,Polymarket!$A$25:$A$303,0))),"")</f>
        <v/>
      </c>
      <c r="G249" s="100">
        <f>IFERROR(IF(INDEX(Kalshi!$G$31:$G$485,MATCH($A249,Kalshi!$A$31:$A$485,0))=0,"",INDEX(Kalshi!$G$31:$G$485,MATCH($A249,Kalshi!$A$31:$A$485,0))),"")</f>
        <v/>
      </c>
      <c r="H249" s="20">
        <f>IF(AND(ISNUMBER(B249),ISNUMBER(C249)),MIN(B249,C249),"")</f>
        <v/>
      </c>
      <c r="I249" s="20">
        <f>IF(AND(ISNUMBER(F249),ISNUMBER(G249)),MIN(F249,G249),"")</f>
        <v/>
      </c>
      <c r="J249" s="17">
        <f>IF(AND(ISNUMBER(H249),ISNUMBER(I249)),H249+I249,"")</f>
        <v/>
      </c>
      <c r="K249" s="16" t="n">
        <v>0.5</v>
      </c>
      <c r="L249" s="26" t="inlineStr">
        <is>
          <t>29 Aug</t>
        </is>
      </c>
    </row>
    <row r="250">
      <c r="A250" s="41" t="n">
        <v>46264</v>
      </c>
      <c r="B250" s="101">
        <f>IFERROR(IF(INDEX(Polymarket!$B$25:$B$303,MATCH($A250,Polymarket!$A$25:$A$303,0))=0,"",INDEX(Polymarket!$B$25:$B$303,MATCH($A250,Polymarket!$A$25:$A$303,0))),"")</f>
        <v/>
      </c>
      <c r="C250" s="101">
        <f>IFERROR(IF(INDEX(Kalshi!$D$31:$D$485,MATCH($A250,Kalshi!$A$31:$A$485,0))=0,"",INDEX(Kalshi!$D$31:$D$485,MATCH($A250,Kalshi!$A$31:$A$485,0))),"")</f>
        <v/>
      </c>
      <c r="D250" s="31">
        <f>IF(AND(ISNUMBER(B250),ISNUMBER(C250)),B250-C250,"")</f>
        <v/>
      </c>
      <c r="E250" s="29">
        <f>IF(ISNUMBER(D250),ABS(D250),"")</f>
        <v/>
      </c>
      <c r="F250" s="101">
        <f>IFERROR(IF(INDEX(Polymarket!$C$25:$C$303,MATCH($A250,Polymarket!$A$25:$A$303,0))=0,"",INDEX(Polymarket!$C$25:$C$303,MATCH($A250,Polymarket!$A$25:$A$303,0))),"")</f>
        <v/>
      </c>
      <c r="G250" s="101">
        <f>IFERROR(IF(INDEX(Kalshi!$G$31:$G$485,MATCH($A250,Kalshi!$A$31:$A$485,0))=0,"",INDEX(Kalshi!$G$31:$G$485,MATCH($A250,Kalshi!$A$31:$A$485,0))),"")</f>
        <v/>
      </c>
      <c r="H250" s="30">
        <f>IF(AND(ISNUMBER(B250),ISNUMBER(C250)),MIN(B250,C250),"")</f>
        <v/>
      </c>
      <c r="I250" s="30">
        <f>IF(AND(ISNUMBER(F250),ISNUMBER(G250)),MIN(F250,G250),"")</f>
        <v/>
      </c>
      <c r="J250" s="29">
        <f>IF(AND(ISNUMBER(H250),ISNUMBER(I250)),H250+I250,"")</f>
        <v/>
      </c>
      <c r="K250" s="28" t="n">
        <v>0.5</v>
      </c>
      <c r="L250" s="38" t="inlineStr">
        <is>
          <t>30 Aug</t>
        </is>
      </c>
    </row>
    <row r="251">
      <c r="A251" s="39" t="n">
        <v>46265</v>
      </c>
      <c r="B251" s="100">
        <f>IFERROR(IF(INDEX(Polymarket!$B$25:$B$303,MATCH($A251,Polymarket!$A$25:$A$303,0))=0,"",INDEX(Polymarket!$B$25:$B$303,MATCH($A251,Polymarket!$A$25:$A$303,0))),"")</f>
        <v/>
      </c>
      <c r="C251" s="100">
        <f>IFERROR(IF(INDEX(Kalshi!$D$31:$D$485,MATCH($A251,Kalshi!$A$31:$A$485,0))=0,"",INDEX(Kalshi!$D$31:$D$485,MATCH($A251,Kalshi!$A$31:$A$485,0))),"")</f>
        <v/>
      </c>
      <c r="D251" s="18">
        <f>IF(AND(ISNUMBER(B251),ISNUMBER(C251)),B251-C251,"")</f>
        <v/>
      </c>
      <c r="E251" s="17">
        <f>IF(ISNUMBER(D251),ABS(D251),"")</f>
        <v/>
      </c>
      <c r="F251" s="100">
        <f>IFERROR(IF(INDEX(Polymarket!$C$25:$C$303,MATCH($A251,Polymarket!$A$25:$A$303,0))=0,"",INDEX(Polymarket!$C$25:$C$303,MATCH($A251,Polymarket!$A$25:$A$303,0))),"")</f>
        <v/>
      </c>
      <c r="G251" s="100">
        <f>IFERROR(IF(INDEX(Kalshi!$G$31:$G$485,MATCH($A251,Kalshi!$A$31:$A$485,0))=0,"",INDEX(Kalshi!$G$31:$G$485,MATCH($A251,Kalshi!$A$31:$A$485,0))),"")</f>
        <v/>
      </c>
      <c r="H251" s="20">
        <f>IF(AND(ISNUMBER(B251),ISNUMBER(C251)),MIN(B251,C251),"")</f>
        <v/>
      </c>
      <c r="I251" s="20">
        <f>IF(AND(ISNUMBER(F251),ISNUMBER(G251)),MIN(F251,G251),"")</f>
        <v/>
      </c>
      <c r="J251" s="17">
        <f>IF(AND(ISNUMBER(H251),ISNUMBER(I251)),H251+I251,"")</f>
        <v/>
      </c>
      <c r="K251" s="16" t="n">
        <v>0.5</v>
      </c>
      <c r="L251" s="26" t="inlineStr">
        <is>
          <t>31 Aug</t>
        </is>
      </c>
    </row>
    <row r="252">
      <c r="A252" s="41" t="n">
        <v>46266</v>
      </c>
      <c r="B252" s="101">
        <f>IFERROR(IF(INDEX(Polymarket!$B$25:$B$303,MATCH($A252,Polymarket!$A$25:$A$303,0))=0,"",INDEX(Polymarket!$B$25:$B$303,MATCH($A252,Polymarket!$A$25:$A$303,0))),"")</f>
        <v/>
      </c>
      <c r="C252" s="101">
        <f>IFERROR(IF(INDEX(Kalshi!$D$31:$D$485,MATCH($A252,Kalshi!$A$31:$A$485,0))=0,"",INDEX(Kalshi!$D$31:$D$485,MATCH($A252,Kalshi!$A$31:$A$485,0))),"")</f>
        <v/>
      </c>
      <c r="D252" s="31">
        <f>IF(AND(ISNUMBER(B252),ISNUMBER(C252)),B252-C252,"")</f>
        <v/>
      </c>
      <c r="E252" s="29">
        <f>IF(ISNUMBER(D252),ABS(D252),"")</f>
        <v/>
      </c>
      <c r="F252" s="101">
        <f>IFERROR(IF(INDEX(Polymarket!$C$25:$C$303,MATCH($A252,Polymarket!$A$25:$A$303,0))=0,"",INDEX(Polymarket!$C$25:$C$303,MATCH($A252,Polymarket!$A$25:$A$303,0))),"")</f>
        <v/>
      </c>
      <c r="G252" s="101">
        <f>IFERROR(IF(INDEX(Kalshi!$G$31:$G$485,MATCH($A252,Kalshi!$A$31:$A$485,0))=0,"",INDEX(Kalshi!$G$31:$G$485,MATCH($A252,Kalshi!$A$31:$A$485,0))),"")</f>
        <v/>
      </c>
      <c r="H252" s="30">
        <f>IF(AND(ISNUMBER(B252),ISNUMBER(C252)),MIN(B252,C252),"")</f>
        <v/>
      </c>
      <c r="I252" s="30">
        <f>IF(AND(ISNUMBER(F252),ISNUMBER(G252)),MIN(F252,G252),"")</f>
        <v/>
      </c>
      <c r="J252" s="29">
        <f>IF(AND(ISNUMBER(H252),ISNUMBER(I252)),H252+I252,"")</f>
        <v/>
      </c>
      <c r="K252" s="28" t="n">
        <v>0.5</v>
      </c>
      <c r="L252" s="38" t="inlineStr">
        <is>
          <t>01 Sep</t>
        </is>
      </c>
    </row>
    <row r="253">
      <c r="A253" s="39" t="n">
        <v>46267</v>
      </c>
      <c r="B253" s="100">
        <f>IFERROR(IF(INDEX(Polymarket!$B$25:$B$303,MATCH($A253,Polymarket!$A$25:$A$303,0))=0,"",INDEX(Polymarket!$B$25:$B$303,MATCH($A253,Polymarket!$A$25:$A$303,0))),"")</f>
        <v/>
      </c>
      <c r="C253" s="100">
        <f>IFERROR(IF(INDEX(Kalshi!$D$31:$D$485,MATCH($A253,Kalshi!$A$31:$A$485,0))=0,"",INDEX(Kalshi!$D$31:$D$485,MATCH($A253,Kalshi!$A$31:$A$485,0))),"")</f>
        <v/>
      </c>
      <c r="D253" s="18">
        <f>IF(AND(ISNUMBER(B253),ISNUMBER(C253)),B253-C253,"")</f>
        <v/>
      </c>
      <c r="E253" s="17">
        <f>IF(ISNUMBER(D253),ABS(D253),"")</f>
        <v/>
      </c>
      <c r="F253" s="100">
        <f>IFERROR(IF(INDEX(Polymarket!$C$25:$C$303,MATCH($A253,Polymarket!$A$25:$A$303,0))=0,"",INDEX(Polymarket!$C$25:$C$303,MATCH($A253,Polymarket!$A$25:$A$303,0))),"")</f>
        <v/>
      </c>
      <c r="G253" s="100">
        <f>IFERROR(IF(INDEX(Kalshi!$G$31:$G$485,MATCH($A253,Kalshi!$A$31:$A$485,0))=0,"",INDEX(Kalshi!$G$31:$G$485,MATCH($A253,Kalshi!$A$31:$A$485,0))),"")</f>
        <v/>
      </c>
      <c r="H253" s="20">
        <f>IF(AND(ISNUMBER(B253),ISNUMBER(C253)),MIN(B253,C253),"")</f>
        <v/>
      </c>
      <c r="I253" s="20">
        <f>IF(AND(ISNUMBER(F253),ISNUMBER(G253)),MIN(F253,G253),"")</f>
        <v/>
      </c>
      <c r="J253" s="17">
        <f>IF(AND(ISNUMBER(H253),ISNUMBER(I253)),H253+I253,"")</f>
        <v/>
      </c>
      <c r="K253" s="16" t="n">
        <v>0.5</v>
      </c>
      <c r="L253" s="26" t="inlineStr">
        <is>
          <t>02 Sep</t>
        </is>
      </c>
    </row>
    <row r="254">
      <c r="A254" s="41" t="n">
        <v>46268</v>
      </c>
      <c r="B254" s="101">
        <f>IFERROR(IF(INDEX(Polymarket!$B$25:$B$303,MATCH($A254,Polymarket!$A$25:$A$303,0))=0,"",INDEX(Polymarket!$B$25:$B$303,MATCH($A254,Polymarket!$A$25:$A$303,0))),"")</f>
        <v/>
      </c>
      <c r="C254" s="101">
        <f>IFERROR(IF(INDEX(Kalshi!$D$31:$D$485,MATCH($A254,Kalshi!$A$31:$A$485,0))=0,"",INDEX(Kalshi!$D$31:$D$485,MATCH($A254,Kalshi!$A$31:$A$485,0))),"")</f>
        <v/>
      </c>
      <c r="D254" s="31">
        <f>IF(AND(ISNUMBER(B254),ISNUMBER(C254)),B254-C254,"")</f>
        <v/>
      </c>
      <c r="E254" s="29">
        <f>IF(ISNUMBER(D254),ABS(D254),"")</f>
        <v/>
      </c>
      <c r="F254" s="101">
        <f>IFERROR(IF(INDEX(Polymarket!$C$25:$C$303,MATCH($A254,Polymarket!$A$25:$A$303,0))=0,"",INDEX(Polymarket!$C$25:$C$303,MATCH($A254,Polymarket!$A$25:$A$303,0))),"")</f>
        <v/>
      </c>
      <c r="G254" s="101">
        <f>IFERROR(IF(INDEX(Kalshi!$G$31:$G$485,MATCH($A254,Kalshi!$A$31:$A$485,0))=0,"",INDEX(Kalshi!$G$31:$G$485,MATCH($A254,Kalshi!$A$31:$A$485,0))),"")</f>
        <v/>
      </c>
      <c r="H254" s="30">
        <f>IF(AND(ISNUMBER(B254),ISNUMBER(C254)),MIN(B254,C254),"")</f>
        <v/>
      </c>
      <c r="I254" s="30">
        <f>IF(AND(ISNUMBER(F254),ISNUMBER(G254)),MIN(F254,G254),"")</f>
        <v/>
      </c>
      <c r="J254" s="29">
        <f>IF(AND(ISNUMBER(H254),ISNUMBER(I254)),H254+I254,"")</f>
        <v/>
      </c>
      <c r="K254" s="28" t="n">
        <v>0.5</v>
      </c>
      <c r="L254" s="38" t="inlineStr">
        <is>
          <t>03 Sep</t>
        </is>
      </c>
    </row>
    <row r="255">
      <c r="A255" s="39" t="n">
        <v>46269</v>
      </c>
      <c r="B255" s="100">
        <f>IFERROR(IF(INDEX(Polymarket!$B$25:$B$303,MATCH($A255,Polymarket!$A$25:$A$303,0))=0,"",INDEX(Polymarket!$B$25:$B$303,MATCH($A255,Polymarket!$A$25:$A$303,0))),"")</f>
        <v/>
      </c>
      <c r="C255" s="100">
        <f>IFERROR(IF(INDEX(Kalshi!$D$31:$D$485,MATCH($A255,Kalshi!$A$31:$A$485,0))=0,"",INDEX(Kalshi!$D$31:$D$485,MATCH($A255,Kalshi!$A$31:$A$485,0))),"")</f>
        <v/>
      </c>
      <c r="D255" s="18">
        <f>IF(AND(ISNUMBER(B255),ISNUMBER(C255)),B255-C255,"")</f>
        <v/>
      </c>
      <c r="E255" s="17">
        <f>IF(ISNUMBER(D255),ABS(D255),"")</f>
        <v/>
      </c>
      <c r="F255" s="100">
        <f>IFERROR(IF(INDEX(Polymarket!$C$25:$C$303,MATCH($A255,Polymarket!$A$25:$A$303,0))=0,"",INDEX(Polymarket!$C$25:$C$303,MATCH($A255,Polymarket!$A$25:$A$303,0))),"")</f>
        <v/>
      </c>
      <c r="G255" s="100">
        <f>IFERROR(IF(INDEX(Kalshi!$G$31:$G$485,MATCH($A255,Kalshi!$A$31:$A$485,0))=0,"",INDEX(Kalshi!$G$31:$G$485,MATCH($A255,Kalshi!$A$31:$A$485,0))),"")</f>
        <v/>
      </c>
      <c r="H255" s="20">
        <f>IF(AND(ISNUMBER(B255),ISNUMBER(C255)),MIN(B255,C255),"")</f>
        <v/>
      </c>
      <c r="I255" s="20">
        <f>IF(AND(ISNUMBER(F255),ISNUMBER(G255)),MIN(F255,G255),"")</f>
        <v/>
      </c>
      <c r="J255" s="17">
        <f>IF(AND(ISNUMBER(H255),ISNUMBER(I255)),H255+I255,"")</f>
        <v/>
      </c>
      <c r="K255" s="16" t="n">
        <v>0.5</v>
      </c>
      <c r="L255" s="26" t="inlineStr">
        <is>
          <t>04 Sep</t>
        </is>
      </c>
    </row>
    <row r="256">
      <c r="A256" s="41" t="n">
        <v>46270</v>
      </c>
      <c r="B256" s="101">
        <f>IFERROR(IF(INDEX(Polymarket!$B$25:$B$303,MATCH($A256,Polymarket!$A$25:$A$303,0))=0,"",INDEX(Polymarket!$B$25:$B$303,MATCH($A256,Polymarket!$A$25:$A$303,0))),"")</f>
        <v/>
      </c>
      <c r="C256" s="101">
        <f>IFERROR(IF(INDEX(Kalshi!$D$31:$D$485,MATCH($A256,Kalshi!$A$31:$A$485,0))=0,"",INDEX(Kalshi!$D$31:$D$485,MATCH($A256,Kalshi!$A$31:$A$485,0))),"")</f>
        <v/>
      </c>
      <c r="D256" s="31">
        <f>IF(AND(ISNUMBER(B256),ISNUMBER(C256)),B256-C256,"")</f>
        <v/>
      </c>
      <c r="E256" s="29">
        <f>IF(ISNUMBER(D256),ABS(D256),"")</f>
        <v/>
      </c>
      <c r="F256" s="101">
        <f>IFERROR(IF(INDEX(Polymarket!$C$25:$C$303,MATCH($A256,Polymarket!$A$25:$A$303,0))=0,"",INDEX(Polymarket!$C$25:$C$303,MATCH($A256,Polymarket!$A$25:$A$303,0))),"")</f>
        <v/>
      </c>
      <c r="G256" s="101">
        <f>IFERROR(IF(INDEX(Kalshi!$G$31:$G$485,MATCH($A256,Kalshi!$A$31:$A$485,0))=0,"",INDEX(Kalshi!$G$31:$G$485,MATCH($A256,Kalshi!$A$31:$A$485,0))),"")</f>
        <v/>
      </c>
      <c r="H256" s="30">
        <f>IF(AND(ISNUMBER(B256),ISNUMBER(C256)),MIN(B256,C256),"")</f>
        <v/>
      </c>
      <c r="I256" s="30">
        <f>IF(AND(ISNUMBER(F256),ISNUMBER(G256)),MIN(F256,G256),"")</f>
        <v/>
      </c>
      <c r="J256" s="29">
        <f>IF(AND(ISNUMBER(H256),ISNUMBER(I256)),H256+I256,"")</f>
        <v/>
      </c>
      <c r="K256" s="28" t="n">
        <v>0.5</v>
      </c>
      <c r="L256" s="38" t="inlineStr">
        <is>
          <t>05 Sep</t>
        </is>
      </c>
    </row>
    <row r="257">
      <c r="A257" s="39" t="n">
        <v>46271</v>
      </c>
      <c r="B257" s="100">
        <f>IFERROR(IF(INDEX(Polymarket!$B$25:$B$303,MATCH($A257,Polymarket!$A$25:$A$303,0))=0,"",INDEX(Polymarket!$B$25:$B$303,MATCH($A257,Polymarket!$A$25:$A$303,0))),"")</f>
        <v/>
      </c>
      <c r="C257" s="100">
        <f>IFERROR(IF(INDEX(Kalshi!$D$31:$D$485,MATCH($A257,Kalshi!$A$31:$A$485,0))=0,"",INDEX(Kalshi!$D$31:$D$485,MATCH($A257,Kalshi!$A$31:$A$485,0))),"")</f>
        <v/>
      </c>
      <c r="D257" s="18">
        <f>IF(AND(ISNUMBER(B257),ISNUMBER(C257)),B257-C257,"")</f>
        <v/>
      </c>
      <c r="E257" s="17">
        <f>IF(ISNUMBER(D257),ABS(D257),"")</f>
        <v/>
      </c>
      <c r="F257" s="100">
        <f>IFERROR(IF(INDEX(Polymarket!$C$25:$C$303,MATCH($A257,Polymarket!$A$25:$A$303,0))=0,"",INDEX(Polymarket!$C$25:$C$303,MATCH($A257,Polymarket!$A$25:$A$303,0))),"")</f>
        <v/>
      </c>
      <c r="G257" s="100">
        <f>IFERROR(IF(INDEX(Kalshi!$G$31:$G$485,MATCH($A257,Kalshi!$A$31:$A$485,0))=0,"",INDEX(Kalshi!$G$31:$G$485,MATCH($A257,Kalshi!$A$31:$A$485,0))),"")</f>
        <v/>
      </c>
      <c r="H257" s="20">
        <f>IF(AND(ISNUMBER(B257),ISNUMBER(C257)),MIN(B257,C257),"")</f>
        <v/>
      </c>
      <c r="I257" s="20">
        <f>IF(AND(ISNUMBER(F257),ISNUMBER(G257)),MIN(F257,G257),"")</f>
        <v/>
      </c>
      <c r="J257" s="17">
        <f>IF(AND(ISNUMBER(H257),ISNUMBER(I257)),H257+I257,"")</f>
        <v/>
      </c>
      <c r="K257" s="16" t="n">
        <v>0.5</v>
      </c>
      <c r="L257" s="26" t="inlineStr">
        <is>
          <t>06 Sep</t>
        </is>
      </c>
    </row>
    <row r="258">
      <c r="A258" s="41" t="n">
        <v>46272</v>
      </c>
      <c r="B258" s="101">
        <f>IFERROR(IF(INDEX(Polymarket!$B$25:$B$303,MATCH($A258,Polymarket!$A$25:$A$303,0))=0,"",INDEX(Polymarket!$B$25:$B$303,MATCH($A258,Polymarket!$A$25:$A$303,0))),"")</f>
        <v/>
      </c>
      <c r="C258" s="101">
        <f>IFERROR(IF(INDEX(Kalshi!$D$31:$D$485,MATCH($A258,Kalshi!$A$31:$A$485,0))=0,"",INDEX(Kalshi!$D$31:$D$485,MATCH($A258,Kalshi!$A$31:$A$485,0))),"")</f>
        <v/>
      </c>
      <c r="D258" s="31">
        <f>IF(AND(ISNUMBER(B258),ISNUMBER(C258)),B258-C258,"")</f>
        <v/>
      </c>
      <c r="E258" s="29">
        <f>IF(ISNUMBER(D258),ABS(D258),"")</f>
        <v/>
      </c>
      <c r="F258" s="101">
        <f>IFERROR(IF(INDEX(Polymarket!$C$25:$C$303,MATCH($A258,Polymarket!$A$25:$A$303,0))=0,"",INDEX(Polymarket!$C$25:$C$303,MATCH($A258,Polymarket!$A$25:$A$303,0))),"")</f>
        <v/>
      </c>
      <c r="G258" s="101">
        <f>IFERROR(IF(INDEX(Kalshi!$G$31:$G$485,MATCH($A258,Kalshi!$A$31:$A$485,0))=0,"",INDEX(Kalshi!$G$31:$G$485,MATCH($A258,Kalshi!$A$31:$A$485,0))),"")</f>
        <v/>
      </c>
      <c r="H258" s="30">
        <f>IF(AND(ISNUMBER(B258),ISNUMBER(C258)),MIN(B258,C258),"")</f>
        <v/>
      </c>
      <c r="I258" s="30">
        <f>IF(AND(ISNUMBER(F258),ISNUMBER(G258)),MIN(F258,G258),"")</f>
        <v/>
      </c>
      <c r="J258" s="29">
        <f>IF(AND(ISNUMBER(H258),ISNUMBER(I258)),H258+I258,"")</f>
        <v/>
      </c>
      <c r="K258" s="28" t="n">
        <v>0.5</v>
      </c>
      <c r="L258" s="38" t="inlineStr">
        <is>
          <t>07 Sep</t>
        </is>
      </c>
    </row>
    <row r="259">
      <c r="A259" s="39" t="n">
        <v>46273</v>
      </c>
      <c r="B259" s="100">
        <f>IFERROR(IF(INDEX(Polymarket!$B$25:$B$303,MATCH($A259,Polymarket!$A$25:$A$303,0))=0,"",INDEX(Polymarket!$B$25:$B$303,MATCH($A259,Polymarket!$A$25:$A$303,0))),"")</f>
        <v/>
      </c>
      <c r="C259" s="100">
        <f>IFERROR(IF(INDEX(Kalshi!$D$31:$D$485,MATCH($A259,Kalshi!$A$31:$A$485,0))=0,"",INDEX(Kalshi!$D$31:$D$485,MATCH($A259,Kalshi!$A$31:$A$485,0))),"")</f>
        <v/>
      </c>
      <c r="D259" s="18">
        <f>IF(AND(ISNUMBER(B259),ISNUMBER(C259)),B259-C259,"")</f>
        <v/>
      </c>
      <c r="E259" s="17">
        <f>IF(ISNUMBER(D259),ABS(D259),"")</f>
        <v/>
      </c>
      <c r="F259" s="100">
        <f>IFERROR(IF(INDEX(Polymarket!$C$25:$C$303,MATCH($A259,Polymarket!$A$25:$A$303,0))=0,"",INDEX(Polymarket!$C$25:$C$303,MATCH($A259,Polymarket!$A$25:$A$303,0))),"")</f>
        <v/>
      </c>
      <c r="G259" s="100">
        <f>IFERROR(IF(INDEX(Kalshi!$G$31:$G$485,MATCH($A259,Kalshi!$A$31:$A$485,0))=0,"",INDEX(Kalshi!$G$31:$G$485,MATCH($A259,Kalshi!$A$31:$A$485,0))),"")</f>
        <v/>
      </c>
      <c r="H259" s="20">
        <f>IF(AND(ISNUMBER(B259),ISNUMBER(C259)),MIN(B259,C259),"")</f>
        <v/>
      </c>
      <c r="I259" s="20">
        <f>IF(AND(ISNUMBER(F259),ISNUMBER(G259)),MIN(F259,G259),"")</f>
        <v/>
      </c>
      <c r="J259" s="17">
        <f>IF(AND(ISNUMBER(H259),ISNUMBER(I259)),H259+I259,"")</f>
        <v/>
      </c>
      <c r="K259" s="16" t="n">
        <v>0.5</v>
      </c>
      <c r="L259" s="26" t="inlineStr">
        <is>
          <t>08 Sep</t>
        </is>
      </c>
    </row>
    <row r="260">
      <c r="A260" s="41" t="n">
        <v>46274</v>
      </c>
      <c r="B260" s="101">
        <f>IFERROR(IF(INDEX(Polymarket!$B$25:$B$303,MATCH($A260,Polymarket!$A$25:$A$303,0))=0,"",INDEX(Polymarket!$B$25:$B$303,MATCH($A260,Polymarket!$A$25:$A$303,0))),"")</f>
        <v/>
      </c>
      <c r="C260" s="101">
        <f>IFERROR(IF(INDEX(Kalshi!$D$31:$D$485,MATCH($A260,Kalshi!$A$31:$A$485,0))=0,"",INDEX(Kalshi!$D$31:$D$485,MATCH($A260,Kalshi!$A$31:$A$485,0))),"")</f>
        <v/>
      </c>
      <c r="D260" s="31">
        <f>IF(AND(ISNUMBER(B260),ISNUMBER(C260)),B260-C260,"")</f>
        <v/>
      </c>
      <c r="E260" s="29">
        <f>IF(ISNUMBER(D260),ABS(D260),"")</f>
        <v/>
      </c>
      <c r="F260" s="101">
        <f>IFERROR(IF(INDEX(Polymarket!$C$25:$C$303,MATCH($A260,Polymarket!$A$25:$A$303,0))=0,"",INDEX(Polymarket!$C$25:$C$303,MATCH($A260,Polymarket!$A$25:$A$303,0))),"")</f>
        <v/>
      </c>
      <c r="G260" s="101">
        <f>IFERROR(IF(INDEX(Kalshi!$G$31:$G$485,MATCH($A260,Kalshi!$A$31:$A$485,0))=0,"",INDEX(Kalshi!$G$31:$G$485,MATCH($A260,Kalshi!$A$31:$A$485,0))),"")</f>
        <v/>
      </c>
      <c r="H260" s="30">
        <f>IF(AND(ISNUMBER(B260),ISNUMBER(C260)),MIN(B260,C260),"")</f>
        <v/>
      </c>
      <c r="I260" s="30">
        <f>IF(AND(ISNUMBER(F260),ISNUMBER(G260)),MIN(F260,G260),"")</f>
        <v/>
      </c>
      <c r="J260" s="29">
        <f>IF(AND(ISNUMBER(H260),ISNUMBER(I260)),H260+I260,"")</f>
        <v/>
      </c>
      <c r="K260" s="28" t="n">
        <v>0.5</v>
      </c>
      <c r="L260" s="38" t="inlineStr">
        <is>
          <t>09 Sep</t>
        </is>
      </c>
    </row>
    <row r="261">
      <c r="A261" s="39" t="n">
        <v>46275</v>
      </c>
      <c r="B261" s="100">
        <f>IFERROR(IF(INDEX(Polymarket!$B$25:$B$303,MATCH($A261,Polymarket!$A$25:$A$303,0))=0,"",INDEX(Polymarket!$B$25:$B$303,MATCH($A261,Polymarket!$A$25:$A$303,0))),"")</f>
        <v/>
      </c>
      <c r="C261" s="100">
        <f>IFERROR(IF(INDEX(Kalshi!$D$31:$D$485,MATCH($A261,Kalshi!$A$31:$A$485,0))=0,"",INDEX(Kalshi!$D$31:$D$485,MATCH($A261,Kalshi!$A$31:$A$485,0))),"")</f>
        <v/>
      </c>
      <c r="D261" s="18">
        <f>IF(AND(ISNUMBER(B261),ISNUMBER(C261)),B261-C261,"")</f>
        <v/>
      </c>
      <c r="E261" s="17">
        <f>IF(ISNUMBER(D261),ABS(D261),"")</f>
        <v/>
      </c>
      <c r="F261" s="100">
        <f>IFERROR(IF(INDEX(Polymarket!$C$25:$C$303,MATCH($A261,Polymarket!$A$25:$A$303,0))=0,"",INDEX(Polymarket!$C$25:$C$303,MATCH($A261,Polymarket!$A$25:$A$303,0))),"")</f>
        <v/>
      </c>
      <c r="G261" s="100">
        <f>IFERROR(IF(INDEX(Kalshi!$G$31:$G$485,MATCH($A261,Kalshi!$A$31:$A$485,0))=0,"",INDEX(Kalshi!$G$31:$G$485,MATCH($A261,Kalshi!$A$31:$A$485,0))),"")</f>
        <v/>
      </c>
      <c r="H261" s="20">
        <f>IF(AND(ISNUMBER(B261),ISNUMBER(C261)),MIN(B261,C261),"")</f>
        <v/>
      </c>
      <c r="I261" s="20">
        <f>IF(AND(ISNUMBER(F261),ISNUMBER(G261)),MIN(F261,G261),"")</f>
        <v/>
      </c>
      <c r="J261" s="17">
        <f>IF(AND(ISNUMBER(H261),ISNUMBER(I261)),H261+I261,"")</f>
        <v/>
      </c>
      <c r="K261" s="16" t="n">
        <v>0.5</v>
      </c>
      <c r="L261" s="26" t="inlineStr">
        <is>
          <t>10 Sep</t>
        </is>
      </c>
    </row>
    <row r="262">
      <c r="A262" s="41" t="n">
        <v>46276</v>
      </c>
      <c r="B262" s="101">
        <f>IFERROR(IF(INDEX(Polymarket!$B$25:$B$303,MATCH($A262,Polymarket!$A$25:$A$303,0))=0,"",INDEX(Polymarket!$B$25:$B$303,MATCH($A262,Polymarket!$A$25:$A$303,0))),"")</f>
        <v/>
      </c>
      <c r="C262" s="101">
        <f>IFERROR(IF(INDEX(Kalshi!$D$31:$D$485,MATCH($A262,Kalshi!$A$31:$A$485,0))=0,"",INDEX(Kalshi!$D$31:$D$485,MATCH($A262,Kalshi!$A$31:$A$485,0))),"")</f>
        <v/>
      </c>
      <c r="D262" s="31">
        <f>IF(AND(ISNUMBER(B262),ISNUMBER(C262)),B262-C262,"")</f>
        <v/>
      </c>
      <c r="E262" s="29">
        <f>IF(ISNUMBER(D262),ABS(D262),"")</f>
        <v/>
      </c>
      <c r="F262" s="101">
        <f>IFERROR(IF(INDEX(Polymarket!$C$25:$C$303,MATCH($A262,Polymarket!$A$25:$A$303,0))=0,"",INDEX(Polymarket!$C$25:$C$303,MATCH($A262,Polymarket!$A$25:$A$303,0))),"")</f>
        <v/>
      </c>
      <c r="G262" s="101">
        <f>IFERROR(IF(INDEX(Kalshi!$G$31:$G$485,MATCH($A262,Kalshi!$A$31:$A$485,0))=0,"",INDEX(Kalshi!$G$31:$G$485,MATCH($A262,Kalshi!$A$31:$A$485,0))),"")</f>
        <v/>
      </c>
      <c r="H262" s="30">
        <f>IF(AND(ISNUMBER(B262),ISNUMBER(C262)),MIN(B262,C262),"")</f>
        <v/>
      </c>
      <c r="I262" s="30">
        <f>IF(AND(ISNUMBER(F262),ISNUMBER(G262)),MIN(F262,G262),"")</f>
        <v/>
      </c>
      <c r="J262" s="29">
        <f>IF(AND(ISNUMBER(H262),ISNUMBER(I262)),H262+I262,"")</f>
        <v/>
      </c>
      <c r="K262" s="28" t="n">
        <v>0.5</v>
      </c>
      <c r="L262" s="38" t="inlineStr">
        <is>
          <t>11 Sep</t>
        </is>
      </c>
    </row>
    <row r="263">
      <c r="A263" s="39" t="n">
        <v>46277</v>
      </c>
      <c r="B263" s="100">
        <f>IFERROR(IF(INDEX(Polymarket!$B$25:$B$303,MATCH($A263,Polymarket!$A$25:$A$303,0))=0,"",INDEX(Polymarket!$B$25:$B$303,MATCH($A263,Polymarket!$A$25:$A$303,0))),"")</f>
        <v/>
      </c>
      <c r="C263" s="100">
        <f>IFERROR(IF(INDEX(Kalshi!$D$31:$D$485,MATCH($A263,Kalshi!$A$31:$A$485,0))=0,"",INDEX(Kalshi!$D$31:$D$485,MATCH($A263,Kalshi!$A$31:$A$485,0))),"")</f>
        <v/>
      </c>
      <c r="D263" s="18">
        <f>IF(AND(ISNUMBER(B263),ISNUMBER(C263)),B263-C263,"")</f>
        <v/>
      </c>
      <c r="E263" s="17">
        <f>IF(ISNUMBER(D263),ABS(D263),"")</f>
        <v/>
      </c>
      <c r="F263" s="100">
        <f>IFERROR(IF(INDEX(Polymarket!$C$25:$C$303,MATCH($A263,Polymarket!$A$25:$A$303,0))=0,"",INDEX(Polymarket!$C$25:$C$303,MATCH($A263,Polymarket!$A$25:$A$303,0))),"")</f>
        <v/>
      </c>
      <c r="G263" s="100">
        <f>IFERROR(IF(INDEX(Kalshi!$G$31:$G$485,MATCH($A263,Kalshi!$A$31:$A$485,0))=0,"",INDEX(Kalshi!$G$31:$G$485,MATCH($A263,Kalshi!$A$31:$A$485,0))),"")</f>
        <v/>
      </c>
      <c r="H263" s="20">
        <f>IF(AND(ISNUMBER(B263),ISNUMBER(C263)),MIN(B263,C263),"")</f>
        <v/>
      </c>
      <c r="I263" s="20">
        <f>IF(AND(ISNUMBER(F263),ISNUMBER(G263)),MIN(F263,G263),"")</f>
        <v/>
      </c>
      <c r="J263" s="17">
        <f>IF(AND(ISNUMBER(H263),ISNUMBER(I263)),H263+I263,"")</f>
        <v/>
      </c>
      <c r="K263" s="16" t="n">
        <v>0.5</v>
      </c>
      <c r="L263" s="26" t="inlineStr">
        <is>
          <t>12 Sep</t>
        </is>
      </c>
    </row>
    <row r="264">
      <c r="A264" s="41" t="n">
        <v>46278</v>
      </c>
      <c r="B264" s="101">
        <f>IFERROR(IF(INDEX(Polymarket!$B$25:$B$303,MATCH($A264,Polymarket!$A$25:$A$303,0))=0,"",INDEX(Polymarket!$B$25:$B$303,MATCH($A264,Polymarket!$A$25:$A$303,0))),"")</f>
        <v/>
      </c>
      <c r="C264" s="101">
        <f>IFERROR(IF(INDEX(Kalshi!$D$31:$D$485,MATCH($A264,Kalshi!$A$31:$A$485,0))=0,"",INDEX(Kalshi!$D$31:$D$485,MATCH($A264,Kalshi!$A$31:$A$485,0))),"")</f>
        <v/>
      </c>
      <c r="D264" s="31">
        <f>IF(AND(ISNUMBER(B264),ISNUMBER(C264)),B264-C264,"")</f>
        <v/>
      </c>
      <c r="E264" s="29">
        <f>IF(ISNUMBER(D264),ABS(D264),"")</f>
        <v/>
      </c>
      <c r="F264" s="101">
        <f>IFERROR(IF(INDEX(Polymarket!$C$25:$C$303,MATCH($A264,Polymarket!$A$25:$A$303,0))=0,"",INDEX(Polymarket!$C$25:$C$303,MATCH($A264,Polymarket!$A$25:$A$303,0))),"")</f>
        <v/>
      </c>
      <c r="G264" s="101">
        <f>IFERROR(IF(INDEX(Kalshi!$G$31:$G$485,MATCH($A264,Kalshi!$A$31:$A$485,0))=0,"",INDEX(Kalshi!$G$31:$G$485,MATCH($A264,Kalshi!$A$31:$A$485,0))),"")</f>
        <v/>
      </c>
      <c r="H264" s="30">
        <f>IF(AND(ISNUMBER(B264),ISNUMBER(C264)),MIN(B264,C264),"")</f>
        <v/>
      </c>
      <c r="I264" s="30">
        <f>IF(AND(ISNUMBER(F264),ISNUMBER(G264)),MIN(F264,G264),"")</f>
        <v/>
      </c>
      <c r="J264" s="29">
        <f>IF(AND(ISNUMBER(H264),ISNUMBER(I264)),H264+I264,"")</f>
        <v/>
      </c>
      <c r="K264" s="28" t="n">
        <v>0.5</v>
      </c>
      <c r="L264" s="38" t="inlineStr">
        <is>
          <t>13 Sep</t>
        </is>
      </c>
    </row>
    <row r="265">
      <c r="A265" s="39" t="n">
        <v>46279</v>
      </c>
      <c r="B265" s="100">
        <f>IFERROR(IF(INDEX(Polymarket!$B$25:$B$303,MATCH($A265,Polymarket!$A$25:$A$303,0))=0,"",INDEX(Polymarket!$B$25:$B$303,MATCH($A265,Polymarket!$A$25:$A$303,0))),"")</f>
        <v/>
      </c>
      <c r="C265" s="100">
        <f>IFERROR(IF(INDEX(Kalshi!$D$31:$D$485,MATCH($A265,Kalshi!$A$31:$A$485,0))=0,"",INDEX(Kalshi!$D$31:$D$485,MATCH($A265,Kalshi!$A$31:$A$485,0))),"")</f>
        <v/>
      </c>
      <c r="D265" s="18">
        <f>IF(AND(ISNUMBER(B265),ISNUMBER(C265)),B265-C265,"")</f>
        <v/>
      </c>
      <c r="E265" s="17">
        <f>IF(ISNUMBER(D265),ABS(D265),"")</f>
        <v/>
      </c>
      <c r="F265" s="100">
        <f>IFERROR(IF(INDEX(Polymarket!$C$25:$C$303,MATCH($A265,Polymarket!$A$25:$A$303,0))=0,"",INDEX(Polymarket!$C$25:$C$303,MATCH($A265,Polymarket!$A$25:$A$303,0))),"")</f>
        <v/>
      </c>
      <c r="G265" s="100">
        <f>IFERROR(IF(INDEX(Kalshi!$G$31:$G$485,MATCH($A265,Kalshi!$A$31:$A$485,0))=0,"",INDEX(Kalshi!$G$31:$G$485,MATCH($A265,Kalshi!$A$31:$A$485,0))),"")</f>
        <v/>
      </c>
      <c r="H265" s="20">
        <f>IF(AND(ISNUMBER(B265),ISNUMBER(C265)),MIN(B265,C265),"")</f>
        <v/>
      </c>
      <c r="I265" s="20">
        <f>IF(AND(ISNUMBER(F265),ISNUMBER(G265)),MIN(F265,G265),"")</f>
        <v/>
      </c>
      <c r="J265" s="17">
        <f>IF(AND(ISNUMBER(H265),ISNUMBER(I265)),H265+I265,"")</f>
        <v/>
      </c>
      <c r="K265" s="16" t="n">
        <v>0.5</v>
      </c>
      <c r="L265" s="26" t="inlineStr">
        <is>
          <t>14 Sep</t>
        </is>
      </c>
    </row>
    <row r="266">
      <c r="A266" s="41" t="n">
        <v>46280</v>
      </c>
      <c r="B266" s="101">
        <f>IFERROR(IF(INDEX(Polymarket!$B$25:$B$303,MATCH($A266,Polymarket!$A$25:$A$303,0))=0,"",INDEX(Polymarket!$B$25:$B$303,MATCH($A266,Polymarket!$A$25:$A$303,0))),"")</f>
        <v/>
      </c>
      <c r="C266" s="101">
        <f>IFERROR(IF(INDEX(Kalshi!$D$31:$D$485,MATCH($A266,Kalshi!$A$31:$A$485,0))=0,"",INDEX(Kalshi!$D$31:$D$485,MATCH($A266,Kalshi!$A$31:$A$485,0))),"")</f>
        <v/>
      </c>
      <c r="D266" s="31">
        <f>IF(AND(ISNUMBER(B266),ISNUMBER(C266)),B266-C266,"")</f>
        <v/>
      </c>
      <c r="E266" s="29">
        <f>IF(ISNUMBER(D266),ABS(D266),"")</f>
        <v/>
      </c>
      <c r="F266" s="101">
        <f>IFERROR(IF(INDEX(Polymarket!$C$25:$C$303,MATCH($A266,Polymarket!$A$25:$A$303,0))=0,"",INDEX(Polymarket!$C$25:$C$303,MATCH($A266,Polymarket!$A$25:$A$303,0))),"")</f>
        <v/>
      </c>
      <c r="G266" s="101">
        <f>IFERROR(IF(INDEX(Kalshi!$G$31:$G$485,MATCH($A266,Kalshi!$A$31:$A$485,0))=0,"",INDEX(Kalshi!$G$31:$G$485,MATCH($A266,Kalshi!$A$31:$A$485,0))),"")</f>
        <v/>
      </c>
      <c r="H266" s="30">
        <f>IF(AND(ISNUMBER(B266),ISNUMBER(C266)),MIN(B266,C266),"")</f>
        <v/>
      </c>
      <c r="I266" s="30">
        <f>IF(AND(ISNUMBER(F266),ISNUMBER(G266)),MIN(F266,G266),"")</f>
        <v/>
      </c>
      <c r="J266" s="29">
        <f>IF(AND(ISNUMBER(H266),ISNUMBER(I266)),H266+I266,"")</f>
        <v/>
      </c>
      <c r="K266" s="28" t="n">
        <v>0.5</v>
      </c>
      <c r="L266" s="38" t="inlineStr">
        <is>
          <t>15 Sep</t>
        </is>
      </c>
    </row>
    <row r="267">
      <c r="A267" s="39" t="n">
        <v>46281</v>
      </c>
      <c r="B267" s="100">
        <f>IFERROR(IF(INDEX(Polymarket!$B$25:$B$303,MATCH($A267,Polymarket!$A$25:$A$303,0))=0,"",INDEX(Polymarket!$B$25:$B$303,MATCH($A267,Polymarket!$A$25:$A$303,0))),"")</f>
        <v/>
      </c>
      <c r="C267" s="100">
        <f>IFERROR(IF(INDEX(Kalshi!$D$31:$D$485,MATCH($A267,Kalshi!$A$31:$A$485,0))=0,"",INDEX(Kalshi!$D$31:$D$485,MATCH($A267,Kalshi!$A$31:$A$485,0))),"")</f>
        <v/>
      </c>
      <c r="D267" s="18">
        <f>IF(AND(ISNUMBER(B267),ISNUMBER(C267)),B267-C267,"")</f>
        <v/>
      </c>
      <c r="E267" s="17">
        <f>IF(ISNUMBER(D267),ABS(D267),"")</f>
        <v/>
      </c>
      <c r="F267" s="100">
        <f>IFERROR(IF(INDEX(Polymarket!$C$25:$C$303,MATCH($A267,Polymarket!$A$25:$A$303,0))=0,"",INDEX(Polymarket!$C$25:$C$303,MATCH($A267,Polymarket!$A$25:$A$303,0))),"")</f>
        <v/>
      </c>
      <c r="G267" s="100">
        <f>IFERROR(IF(INDEX(Kalshi!$G$31:$G$485,MATCH($A267,Kalshi!$A$31:$A$485,0))=0,"",INDEX(Kalshi!$G$31:$G$485,MATCH($A267,Kalshi!$A$31:$A$485,0))),"")</f>
        <v/>
      </c>
      <c r="H267" s="20">
        <f>IF(AND(ISNUMBER(B267),ISNUMBER(C267)),MIN(B267,C267),"")</f>
        <v/>
      </c>
      <c r="I267" s="20">
        <f>IF(AND(ISNUMBER(F267),ISNUMBER(G267)),MIN(F267,G267),"")</f>
        <v/>
      </c>
      <c r="J267" s="17">
        <f>IF(AND(ISNUMBER(H267),ISNUMBER(I267)),H267+I267,"")</f>
        <v/>
      </c>
      <c r="K267" s="16" t="n">
        <v>0.5</v>
      </c>
      <c r="L267" s="26" t="inlineStr">
        <is>
          <t>16 Sep</t>
        </is>
      </c>
    </row>
    <row r="268">
      <c r="A268" s="41" t="n">
        <v>46282</v>
      </c>
      <c r="B268" s="101">
        <f>IFERROR(IF(INDEX(Polymarket!$B$25:$B$303,MATCH($A268,Polymarket!$A$25:$A$303,0))=0,"",INDEX(Polymarket!$B$25:$B$303,MATCH($A268,Polymarket!$A$25:$A$303,0))),"")</f>
        <v/>
      </c>
      <c r="C268" s="101">
        <f>IFERROR(IF(INDEX(Kalshi!$D$31:$D$485,MATCH($A268,Kalshi!$A$31:$A$485,0))=0,"",INDEX(Kalshi!$D$31:$D$485,MATCH($A268,Kalshi!$A$31:$A$485,0))),"")</f>
        <v/>
      </c>
      <c r="D268" s="31">
        <f>IF(AND(ISNUMBER(B268),ISNUMBER(C268)),B268-C268,"")</f>
        <v/>
      </c>
      <c r="E268" s="29">
        <f>IF(ISNUMBER(D268),ABS(D268),"")</f>
        <v/>
      </c>
      <c r="F268" s="101">
        <f>IFERROR(IF(INDEX(Polymarket!$C$25:$C$303,MATCH($A268,Polymarket!$A$25:$A$303,0))=0,"",INDEX(Polymarket!$C$25:$C$303,MATCH($A268,Polymarket!$A$25:$A$303,0))),"")</f>
        <v/>
      </c>
      <c r="G268" s="101">
        <f>IFERROR(IF(INDEX(Kalshi!$G$31:$G$485,MATCH($A268,Kalshi!$A$31:$A$485,0))=0,"",INDEX(Kalshi!$G$31:$G$485,MATCH($A268,Kalshi!$A$31:$A$485,0))),"")</f>
        <v/>
      </c>
      <c r="H268" s="30">
        <f>IF(AND(ISNUMBER(B268),ISNUMBER(C268)),MIN(B268,C268),"")</f>
        <v/>
      </c>
      <c r="I268" s="30">
        <f>IF(AND(ISNUMBER(F268),ISNUMBER(G268)),MIN(F268,G268),"")</f>
        <v/>
      </c>
      <c r="J268" s="29">
        <f>IF(AND(ISNUMBER(H268),ISNUMBER(I268)),H268+I268,"")</f>
        <v/>
      </c>
      <c r="K268" s="28" t="n">
        <v>0.5</v>
      </c>
      <c r="L268" s="38" t="inlineStr">
        <is>
          <t>17 Sep</t>
        </is>
      </c>
    </row>
    <row r="269">
      <c r="A269" s="39" t="n">
        <v>46283</v>
      </c>
      <c r="B269" s="100">
        <f>IFERROR(IF(INDEX(Polymarket!$B$25:$B$303,MATCH($A269,Polymarket!$A$25:$A$303,0))=0,"",INDEX(Polymarket!$B$25:$B$303,MATCH($A269,Polymarket!$A$25:$A$303,0))),"")</f>
        <v/>
      </c>
      <c r="C269" s="100">
        <f>IFERROR(IF(INDEX(Kalshi!$D$31:$D$485,MATCH($A269,Kalshi!$A$31:$A$485,0))=0,"",INDEX(Kalshi!$D$31:$D$485,MATCH($A269,Kalshi!$A$31:$A$485,0))),"")</f>
        <v/>
      </c>
      <c r="D269" s="18">
        <f>IF(AND(ISNUMBER(B269),ISNUMBER(C269)),B269-C269,"")</f>
        <v/>
      </c>
      <c r="E269" s="17">
        <f>IF(ISNUMBER(D269),ABS(D269),"")</f>
        <v/>
      </c>
      <c r="F269" s="100">
        <f>IFERROR(IF(INDEX(Polymarket!$C$25:$C$303,MATCH($A269,Polymarket!$A$25:$A$303,0))=0,"",INDEX(Polymarket!$C$25:$C$303,MATCH($A269,Polymarket!$A$25:$A$303,0))),"")</f>
        <v/>
      </c>
      <c r="G269" s="100">
        <f>IFERROR(IF(INDEX(Kalshi!$G$31:$G$485,MATCH($A269,Kalshi!$A$31:$A$485,0))=0,"",INDEX(Kalshi!$G$31:$G$485,MATCH($A269,Kalshi!$A$31:$A$485,0))),"")</f>
        <v/>
      </c>
      <c r="H269" s="20">
        <f>IF(AND(ISNUMBER(B269),ISNUMBER(C269)),MIN(B269,C269),"")</f>
        <v/>
      </c>
      <c r="I269" s="20">
        <f>IF(AND(ISNUMBER(F269),ISNUMBER(G269)),MIN(F269,G269),"")</f>
        <v/>
      </c>
      <c r="J269" s="17">
        <f>IF(AND(ISNUMBER(H269),ISNUMBER(I269)),H269+I269,"")</f>
        <v/>
      </c>
      <c r="K269" s="16" t="n">
        <v>0.5</v>
      </c>
      <c r="L269" s="26" t="inlineStr">
        <is>
          <t>18 Sep</t>
        </is>
      </c>
    </row>
    <row r="270">
      <c r="A270" s="41" t="n">
        <v>46284</v>
      </c>
      <c r="B270" s="101">
        <f>IFERROR(IF(INDEX(Polymarket!$B$25:$B$303,MATCH($A270,Polymarket!$A$25:$A$303,0))=0,"",INDEX(Polymarket!$B$25:$B$303,MATCH($A270,Polymarket!$A$25:$A$303,0))),"")</f>
        <v/>
      </c>
      <c r="C270" s="101">
        <f>IFERROR(IF(INDEX(Kalshi!$D$31:$D$485,MATCH($A270,Kalshi!$A$31:$A$485,0))=0,"",INDEX(Kalshi!$D$31:$D$485,MATCH($A270,Kalshi!$A$31:$A$485,0))),"")</f>
        <v/>
      </c>
      <c r="D270" s="31">
        <f>IF(AND(ISNUMBER(B270),ISNUMBER(C270)),B270-C270,"")</f>
        <v/>
      </c>
      <c r="E270" s="29">
        <f>IF(ISNUMBER(D270),ABS(D270),"")</f>
        <v/>
      </c>
      <c r="F270" s="101">
        <f>IFERROR(IF(INDEX(Polymarket!$C$25:$C$303,MATCH($A270,Polymarket!$A$25:$A$303,0))=0,"",INDEX(Polymarket!$C$25:$C$303,MATCH($A270,Polymarket!$A$25:$A$303,0))),"")</f>
        <v/>
      </c>
      <c r="G270" s="101">
        <f>IFERROR(IF(INDEX(Kalshi!$G$31:$G$485,MATCH($A270,Kalshi!$A$31:$A$485,0))=0,"",INDEX(Kalshi!$G$31:$G$485,MATCH($A270,Kalshi!$A$31:$A$485,0))),"")</f>
        <v/>
      </c>
      <c r="H270" s="30">
        <f>IF(AND(ISNUMBER(B270),ISNUMBER(C270)),MIN(B270,C270),"")</f>
        <v/>
      </c>
      <c r="I270" s="30">
        <f>IF(AND(ISNUMBER(F270),ISNUMBER(G270)),MIN(F270,G270),"")</f>
        <v/>
      </c>
      <c r="J270" s="29">
        <f>IF(AND(ISNUMBER(H270),ISNUMBER(I270)),H270+I270,"")</f>
        <v/>
      </c>
      <c r="K270" s="28" t="n">
        <v>0.5</v>
      </c>
      <c r="L270" s="38" t="inlineStr">
        <is>
          <t>19 Sep</t>
        </is>
      </c>
    </row>
    <row r="271">
      <c r="A271" s="39" t="n">
        <v>46285</v>
      </c>
      <c r="B271" s="100">
        <f>IFERROR(IF(INDEX(Polymarket!$B$25:$B$303,MATCH($A271,Polymarket!$A$25:$A$303,0))=0,"",INDEX(Polymarket!$B$25:$B$303,MATCH($A271,Polymarket!$A$25:$A$303,0))),"")</f>
        <v/>
      </c>
      <c r="C271" s="100">
        <f>IFERROR(IF(INDEX(Kalshi!$D$31:$D$485,MATCH($A271,Kalshi!$A$31:$A$485,0))=0,"",INDEX(Kalshi!$D$31:$D$485,MATCH($A271,Kalshi!$A$31:$A$485,0))),"")</f>
        <v/>
      </c>
      <c r="D271" s="18">
        <f>IF(AND(ISNUMBER(B271),ISNUMBER(C271)),B271-C271,"")</f>
        <v/>
      </c>
      <c r="E271" s="17">
        <f>IF(ISNUMBER(D271),ABS(D271),"")</f>
        <v/>
      </c>
      <c r="F271" s="100">
        <f>IFERROR(IF(INDEX(Polymarket!$C$25:$C$303,MATCH($A271,Polymarket!$A$25:$A$303,0))=0,"",INDEX(Polymarket!$C$25:$C$303,MATCH($A271,Polymarket!$A$25:$A$303,0))),"")</f>
        <v/>
      </c>
      <c r="G271" s="100">
        <f>IFERROR(IF(INDEX(Kalshi!$G$31:$G$485,MATCH($A271,Kalshi!$A$31:$A$485,0))=0,"",INDEX(Kalshi!$G$31:$G$485,MATCH($A271,Kalshi!$A$31:$A$485,0))),"")</f>
        <v/>
      </c>
      <c r="H271" s="20">
        <f>IF(AND(ISNUMBER(B271),ISNUMBER(C271)),MIN(B271,C271),"")</f>
        <v/>
      </c>
      <c r="I271" s="20">
        <f>IF(AND(ISNUMBER(F271),ISNUMBER(G271)),MIN(F271,G271),"")</f>
        <v/>
      </c>
      <c r="J271" s="17">
        <f>IF(AND(ISNUMBER(H271),ISNUMBER(I271)),H271+I271,"")</f>
        <v/>
      </c>
      <c r="K271" s="16" t="n">
        <v>0.5</v>
      </c>
      <c r="L271" s="26" t="inlineStr">
        <is>
          <t>20 Sep</t>
        </is>
      </c>
    </row>
    <row r="272">
      <c r="A272" s="41" t="n">
        <v>46286</v>
      </c>
      <c r="B272" s="101">
        <f>IFERROR(IF(INDEX(Polymarket!$B$25:$B$303,MATCH($A272,Polymarket!$A$25:$A$303,0))=0,"",INDEX(Polymarket!$B$25:$B$303,MATCH($A272,Polymarket!$A$25:$A$303,0))),"")</f>
        <v/>
      </c>
      <c r="C272" s="101">
        <f>IFERROR(IF(INDEX(Kalshi!$D$31:$D$485,MATCH($A272,Kalshi!$A$31:$A$485,0))=0,"",INDEX(Kalshi!$D$31:$D$485,MATCH($A272,Kalshi!$A$31:$A$485,0))),"")</f>
        <v/>
      </c>
      <c r="D272" s="31">
        <f>IF(AND(ISNUMBER(B272),ISNUMBER(C272)),B272-C272,"")</f>
        <v/>
      </c>
      <c r="E272" s="29">
        <f>IF(ISNUMBER(D272),ABS(D272),"")</f>
        <v/>
      </c>
      <c r="F272" s="101">
        <f>IFERROR(IF(INDEX(Polymarket!$C$25:$C$303,MATCH($A272,Polymarket!$A$25:$A$303,0))=0,"",INDEX(Polymarket!$C$25:$C$303,MATCH($A272,Polymarket!$A$25:$A$303,0))),"")</f>
        <v/>
      </c>
      <c r="G272" s="101">
        <f>IFERROR(IF(INDEX(Kalshi!$G$31:$G$485,MATCH($A272,Kalshi!$A$31:$A$485,0))=0,"",INDEX(Kalshi!$G$31:$G$485,MATCH($A272,Kalshi!$A$31:$A$485,0))),"")</f>
        <v/>
      </c>
      <c r="H272" s="30">
        <f>IF(AND(ISNUMBER(B272),ISNUMBER(C272)),MIN(B272,C272),"")</f>
        <v/>
      </c>
      <c r="I272" s="30">
        <f>IF(AND(ISNUMBER(F272),ISNUMBER(G272)),MIN(F272,G272),"")</f>
        <v/>
      </c>
      <c r="J272" s="29">
        <f>IF(AND(ISNUMBER(H272),ISNUMBER(I272)),H272+I272,"")</f>
        <v/>
      </c>
      <c r="K272" s="28" t="n">
        <v>0.5</v>
      </c>
      <c r="L272" s="38" t="inlineStr">
        <is>
          <t>21 Sep</t>
        </is>
      </c>
    </row>
    <row r="273">
      <c r="A273" s="39" t="n">
        <v>46287</v>
      </c>
      <c r="B273" s="100">
        <f>IFERROR(IF(INDEX(Polymarket!$B$25:$B$303,MATCH($A273,Polymarket!$A$25:$A$303,0))=0,"",INDEX(Polymarket!$B$25:$B$303,MATCH($A273,Polymarket!$A$25:$A$303,0))),"")</f>
        <v/>
      </c>
      <c r="C273" s="100">
        <f>IFERROR(IF(INDEX(Kalshi!$D$31:$D$485,MATCH($A273,Kalshi!$A$31:$A$485,0))=0,"",INDEX(Kalshi!$D$31:$D$485,MATCH($A273,Kalshi!$A$31:$A$485,0))),"")</f>
        <v/>
      </c>
      <c r="D273" s="18">
        <f>IF(AND(ISNUMBER(B273),ISNUMBER(C273)),B273-C273,"")</f>
        <v/>
      </c>
      <c r="E273" s="17">
        <f>IF(ISNUMBER(D273),ABS(D273),"")</f>
        <v/>
      </c>
      <c r="F273" s="100">
        <f>IFERROR(IF(INDEX(Polymarket!$C$25:$C$303,MATCH($A273,Polymarket!$A$25:$A$303,0))=0,"",INDEX(Polymarket!$C$25:$C$303,MATCH($A273,Polymarket!$A$25:$A$303,0))),"")</f>
        <v/>
      </c>
      <c r="G273" s="100">
        <f>IFERROR(IF(INDEX(Kalshi!$G$31:$G$485,MATCH($A273,Kalshi!$A$31:$A$485,0))=0,"",INDEX(Kalshi!$G$31:$G$485,MATCH($A273,Kalshi!$A$31:$A$485,0))),"")</f>
        <v/>
      </c>
      <c r="H273" s="20">
        <f>IF(AND(ISNUMBER(B273),ISNUMBER(C273)),MIN(B273,C273),"")</f>
        <v/>
      </c>
      <c r="I273" s="20">
        <f>IF(AND(ISNUMBER(F273),ISNUMBER(G273)),MIN(F273,G273),"")</f>
        <v/>
      </c>
      <c r="J273" s="17">
        <f>IF(AND(ISNUMBER(H273),ISNUMBER(I273)),H273+I273,"")</f>
        <v/>
      </c>
      <c r="K273" s="16" t="n">
        <v>0.5</v>
      </c>
      <c r="L273" s="26" t="inlineStr">
        <is>
          <t>22 Sep</t>
        </is>
      </c>
    </row>
    <row r="274">
      <c r="A274" s="41" t="n">
        <v>46288</v>
      </c>
      <c r="B274" s="101">
        <f>IFERROR(IF(INDEX(Polymarket!$B$25:$B$303,MATCH($A274,Polymarket!$A$25:$A$303,0))=0,"",INDEX(Polymarket!$B$25:$B$303,MATCH($A274,Polymarket!$A$25:$A$303,0))),"")</f>
        <v/>
      </c>
      <c r="C274" s="101">
        <f>IFERROR(IF(INDEX(Kalshi!$D$31:$D$485,MATCH($A274,Kalshi!$A$31:$A$485,0))=0,"",INDEX(Kalshi!$D$31:$D$485,MATCH($A274,Kalshi!$A$31:$A$485,0))),"")</f>
        <v/>
      </c>
      <c r="D274" s="31">
        <f>IF(AND(ISNUMBER(B274),ISNUMBER(C274)),B274-C274,"")</f>
        <v/>
      </c>
      <c r="E274" s="29">
        <f>IF(ISNUMBER(D274),ABS(D274),"")</f>
        <v/>
      </c>
      <c r="F274" s="101">
        <f>IFERROR(IF(INDEX(Polymarket!$C$25:$C$303,MATCH($A274,Polymarket!$A$25:$A$303,0))=0,"",INDEX(Polymarket!$C$25:$C$303,MATCH($A274,Polymarket!$A$25:$A$303,0))),"")</f>
        <v/>
      </c>
      <c r="G274" s="101">
        <f>IFERROR(IF(INDEX(Kalshi!$G$31:$G$485,MATCH($A274,Kalshi!$A$31:$A$485,0))=0,"",INDEX(Kalshi!$G$31:$G$485,MATCH($A274,Kalshi!$A$31:$A$485,0))),"")</f>
        <v/>
      </c>
      <c r="H274" s="30">
        <f>IF(AND(ISNUMBER(B274),ISNUMBER(C274)),MIN(B274,C274),"")</f>
        <v/>
      </c>
      <c r="I274" s="30">
        <f>IF(AND(ISNUMBER(F274),ISNUMBER(G274)),MIN(F274,G274),"")</f>
        <v/>
      </c>
      <c r="J274" s="29">
        <f>IF(AND(ISNUMBER(H274),ISNUMBER(I274)),H274+I274,"")</f>
        <v/>
      </c>
      <c r="K274" s="28" t="n">
        <v>0.5</v>
      </c>
      <c r="L274" s="38" t="inlineStr">
        <is>
          <t>23 Sep</t>
        </is>
      </c>
    </row>
    <row r="275">
      <c r="A275" s="39" t="n">
        <v>46289</v>
      </c>
      <c r="B275" s="100">
        <f>IFERROR(IF(INDEX(Polymarket!$B$25:$B$303,MATCH($A275,Polymarket!$A$25:$A$303,0))=0,"",INDEX(Polymarket!$B$25:$B$303,MATCH($A275,Polymarket!$A$25:$A$303,0))),"")</f>
        <v/>
      </c>
      <c r="C275" s="100">
        <f>IFERROR(IF(INDEX(Kalshi!$D$31:$D$485,MATCH($A275,Kalshi!$A$31:$A$485,0))=0,"",INDEX(Kalshi!$D$31:$D$485,MATCH($A275,Kalshi!$A$31:$A$485,0))),"")</f>
        <v/>
      </c>
      <c r="D275" s="18">
        <f>IF(AND(ISNUMBER(B275),ISNUMBER(C275)),B275-C275,"")</f>
        <v/>
      </c>
      <c r="E275" s="17">
        <f>IF(ISNUMBER(D275),ABS(D275),"")</f>
        <v/>
      </c>
      <c r="F275" s="100">
        <f>IFERROR(IF(INDEX(Polymarket!$C$25:$C$303,MATCH($A275,Polymarket!$A$25:$A$303,0))=0,"",INDEX(Polymarket!$C$25:$C$303,MATCH($A275,Polymarket!$A$25:$A$303,0))),"")</f>
        <v/>
      </c>
      <c r="G275" s="100">
        <f>IFERROR(IF(INDEX(Kalshi!$G$31:$G$485,MATCH($A275,Kalshi!$A$31:$A$485,0))=0,"",INDEX(Kalshi!$G$31:$G$485,MATCH($A275,Kalshi!$A$31:$A$485,0))),"")</f>
        <v/>
      </c>
      <c r="H275" s="20">
        <f>IF(AND(ISNUMBER(B275),ISNUMBER(C275)),MIN(B275,C275),"")</f>
        <v/>
      </c>
      <c r="I275" s="20">
        <f>IF(AND(ISNUMBER(F275),ISNUMBER(G275)),MIN(F275,G275),"")</f>
        <v/>
      </c>
      <c r="J275" s="17">
        <f>IF(AND(ISNUMBER(H275),ISNUMBER(I275)),H275+I275,"")</f>
        <v/>
      </c>
      <c r="K275" s="16" t="n">
        <v>0.5</v>
      </c>
      <c r="L275" s="26" t="inlineStr">
        <is>
          <t>24 Sep</t>
        </is>
      </c>
    </row>
    <row r="276">
      <c r="A276" s="41" t="n">
        <v>46290</v>
      </c>
      <c r="B276" s="101">
        <f>IFERROR(IF(INDEX(Polymarket!$B$25:$B$303,MATCH($A276,Polymarket!$A$25:$A$303,0))=0,"",INDEX(Polymarket!$B$25:$B$303,MATCH($A276,Polymarket!$A$25:$A$303,0))),"")</f>
        <v/>
      </c>
      <c r="C276" s="101">
        <f>IFERROR(IF(INDEX(Kalshi!$D$31:$D$485,MATCH($A276,Kalshi!$A$31:$A$485,0))=0,"",INDEX(Kalshi!$D$31:$D$485,MATCH($A276,Kalshi!$A$31:$A$485,0))),"")</f>
        <v/>
      </c>
      <c r="D276" s="31">
        <f>IF(AND(ISNUMBER(B276),ISNUMBER(C276)),B276-C276,"")</f>
        <v/>
      </c>
      <c r="E276" s="29">
        <f>IF(ISNUMBER(D276),ABS(D276),"")</f>
        <v/>
      </c>
      <c r="F276" s="101">
        <f>IFERROR(IF(INDEX(Polymarket!$C$25:$C$303,MATCH($A276,Polymarket!$A$25:$A$303,0))=0,"",INDEX(Polymarket!$C$25:$C$303,MATCH($A276,Polymarket!$A$25:$A$303,0))),"")</f>
        <v/>
      </c>
      <c r="G276" s="101">
        <f>IFERROR(IF(INDEX(Kalshi!$G$31:$G$485,MATCH($A276,Kalshi!$A$31:$A$485,0))=0,"",INDEX(Kalshi!$G$31:$G$485,MATCH($A276,Kalshi!$A$31:$A$485,0))),"")</f>
        <v/>
      </c>
      <c r="H276" s="30">
        <f>IF(AND(ISNUMBER(B276),ISNUMBER(C276)),MIN(B276,C276),"")</f>
        <v/>
      </c>
      <c r="I276" s="30">
        <f>IF(AND(ISNUMBER(F276),ISNUMBER(G276)),MIN(F276,G276),"")</f>
        <v/>
      </c>
      <c r="J276" s="29">
        <f>IF(AND(ISNUMBER(H276),ISNUMBER(I276)),H276+I276,"")</f>
        <v/>
      </c>
      <c r="K276" s="28" t="n">
        <v>0.5</v>
      </c>
      <c r="L276" s="38" t="inlineStr">
        <is>
          <t>25 Sep</t>
        </is>
      </c>
    </row>
    <row r="277">
      <c r="A277" s="39" t="n">
        <v>46291</v>
      </c>
      <c r="B277" s="100">
        <f>IFERROR(IF(INDEX(Polymarket!$B$25:$B$303,MATCH($A277,Polymarket!$A$25:$A$303,0))=0,"",INDEX(Polymarket!$B$25:$B$303,MATCH($A277,Polymarket!$A$25:$A$303,0))),"")</f>
        <v/>
      </c>
      <c r="C277" s="100">
        <f>IFERROR(IF(INDEX(Kalshi!$D$31:$D$485,MATCH($A277,Kalshi!$A$31:$A$485,0))=0,"",INDEX(Kalshi!$D$31:$D$485,MATCH($A277,Kalshi!$A$31:$A$485,0))),"")</f>
        <v/>
      </c>
      <c r="D277" s="18">
        <f>IF(AND(ISNUMBER(B277),ISNUMBER(C277)),B277-C277,"")</f>
        <v/>
      </c>
      <c r="E277" s="17">
        <f>IF(ISNUMBER(D277),ABS(D277),"")</f>
        <v/>
      </c>
      <c r="F277" s="100">
        <f>IFERROR(IF(INDEX(Polymarket!$C$25:$C$303,MATCH($A277,Polymarket!$A$25:$A$303,0))=0,"",INDEX(Polymarket!$C$25:$C$303,MATCH($A277,Polymarket!$A$25:$A$303,0))),"")</f>
        <v/>
      </c>
      <c r="G277" s="100">
        <f>IFERROR(IF(INDEX(Kalshi!$G$31:$G$485,MATCH($A277,Kalshi!$A$31:$A$485,0))=0,"",INDEX(Kalshi!$G$31:$G$485,MATCH($A277,Kalshi!$A$31:$A$485,0))),"")</f>
        <v/>
      </c>
      <c r="H277" s="20">
        <f>IF(AND(ISNUMBER(B277),ISNUMBER(C277)),MIN(B277,C277),"")</f>
        <v/>
      </c>
      <c r="I277" s="20">
        <f>IF(AND(ISNUMBER(F277),ISNUMBER(G277)),MIN(F277,G277),"")</f>
        <v/>
      </c>
      <c r="J277" s="17">
        <f>IF(AND(ISNUMBER(H277),ISNUMBER(I277)),H277+I277,"")</f>
        <v/>
      </c>
      <c r="K277" s="16" t="n">
        <v>0.5</v>
      </c>
      <c r="L277" s="26" t="inlineStr">
        <is>
          <t>26 Sep</t>
        </is>
      </c>
    </row>
    <row r="278">
      <c r="A278" s="41" t="n">
        <v>46292</v>
      </c>
      <c r="B278" s="101">
        <f>IFERROR(IF(INDEX(Polymarket!$B$25:$B$303,MATCH($A278,Polymarket!$A$25:$A$303,0))=0,"",INDEX(Polymarket!$B$25:$B$303,MATCH($A278,Polymarket!$A$25:$A$303,0))),"")</f>
        <v/>
      </c>
      <c r="C278" s="101">
        <f>IFERROR(IF(INDEX(Kalshi!$D$31:$D$485,MATCH($A278,Kalshi!$A$31:$A$485,0))=0,"",INDEX(Kalshi!$D$31:$D$485,MATCH($A278,Kalshi!$A$31:$A$485,0))),"")</f>
        <v/>
      </c>
      <c r="D278" s="31">
        <f>IF(AND(ISNUMBER(B278),ISNUMBER(C278)),B278-C278,"")</f>
        <v/>
      </c>
      <c r="E278" s="29">
        <f>IF(ISNUMBER(D278),ABS(D278),"")</f>
        <v/>
      </c>
      <c r="F278" s="101">
        <f>IFERROR(IF(INDEX(Polymarket!$C$25:$C$303,MATCH($A278,Polymarket!$A$25:$A$303,0))=0,"",INDEX(Polymarket!$C$25:$C$303,MATCH($A278,Polymarket!$A$25:$A$303,0))),"")</f>
        <v/>
      </c>
      <c r="G278" s="101">
        <f>IFERROR(IF(INDEX(Kalshi!$G$31:$G$485,MATCH($A278,Kalshi!$A$31:$A$485,0))=0,"",INDEX(Kalshi!$G$31:$G$485,MATCH($A278,Kalshi!$A$31:$A$485,0))),"")</f>
        <v/>
      </c>
      <c r="H278" s="30">
        <f>IF(AND(ISNUMBER(B278),ISNUMBER(C278)),MIN(B278,C278),"")</f>
        <v/>
      </c>
      <c r="I278" s="30">
        <f>IF(AND(ISNUMBER(F278),ISNUMBER(G278)),MIN(F278,G278),"")</f>
        <v/>
      </c>
      <c r="J278" s="29">
        <f>IF(AND(ISNUMBER(H278),ISNUMBER(I278)),H278+I278,"")</f>
        <v/>
      </c>
      <c r="K278" s="28" t="n">
        <v>0.5</v>
      </c>
      <c r="L278" s="38" t="inlineStr">
        <is>
          <t>27 Sep</t>
        </is>
      </c>
    </row>
    <row r="279">
      <c r="A279" s="39" t="n">
        <v>46293</v>
      </c>
      <c r="B279" s="100">
        <f>IFERROR(IF(INDEX(Polymarket!$B$25:$B$303,MATCH($A279,Polymarket!$A$25:$A$303,0))=0,"",INDEX(Polymarket!$B$25:$B$303,MATCH($A279,Polymarket!$A$25:$A$303,0))),"")</f>
        <v/>
      </c>
      <c r="C279" s="100">
        <f>IFERROR(IF(INDEX(Kalshi!$D$31:$D$485,MATCH($A279,Kalshi!$A$31:$A$485,0))=0,"",INDEX(Kalshi!$D$31:$D$485,MATCH($A279,Kalshi!$A$31:$A$485,0))),"")</f>
        <v/>
      </c>
      <c r="D279" s="18">
        <f>IF(AND(ISNUMBER(B279),ISNUMBER(C279)),B279-C279,"")</f>
        <v/>
      </c>
      <c r="E279" s="17">
        <f>IF(ISNUMBER(D279),ABS(D279),"")</f>
        <v/>
      </c>
      <c r="F279" s="100">
        <f>IFERROR(IF(INDEX(Polymarket!$C$25:$C$303,MATCH($A279,Polymarket!$A$25:$A$303,0))=0,"",INDEX(Polymarket!$C$25:$C$303,MATCH($A279,Polymarket!$A$25:$A$303,0))),"")</f>
        <v/>
      </c>
      <c r="G279" s="100">
        <f>IFERROR(IF(INDEX(Kalshi!$G$31:$G$485,MATCH($A279,Kalshi!$A$31:$A$485,0))=0,"",INDEX(Kalshi!$G$31:$G$485,MATCH($A279,Kalshi!$A$31:$A$485,0))),"")</f>
        <v/>
      </c>
      <c r="H279" s="20">
        <f>IF(AND(ISNUMBER(B279),ISNUMBER(C279)),MIN(B279,C279),"")</f>
        <v/>
      </c>
      <c r="I279" s="20">
        <f>IF(AND(ISNUMBER(F279),ISNUMBER(G279)),MIN(F279,G279),"")</f>
        <v/>
      </c>
      <c r="J279" s="17">
        <f>IF(AND(ISNUMBER(H279),ISNUMBER(I279)),H279+I279,"")</f>
        <v/>
      </c>
      <c r="K279" s="16" t="n">
        <v>0.5</v>
      </c>
      <c r="L279" s="26" t="inlineStr">
        <is>
          <t>28 Sep</t>
        </is>
      </c>
    </row>
    <row r="280">
      <c r="A280" s="41" t="n">
        <v>46294</v>
      </c>
      <c r="B280" s="101">
        <f>IFERROR(IF(INDEX(Polymarket!$B$25:$B$303,MATCH($A280,Polymarket!$A$25:$A$303,0))=0,"",INDEX(Polymarket!$B$25:$B$303,MATCH($A280,Polymarket!$A$25:$A$303,0))),"")</f>
        <v/>
      </c>
      <c r="C280" s="101">
        <f>IFERROR(IF(INDEX(Kalshi!$D$31:$D$485,MATCH($A280,Kalshi!$A$31:$A$485,0))=0,"",INDEX(Kalshi!$D$31:$D$485,MATCH($A280,Kalshi!$A$31:$A$485,0))),"")</f>
        <v/>
      </c>
      <c r="D280" s="31">
        <f>IF(AND(ISNUMBER(B280),ISNUMBER(C280)),B280-C280,"")</f>
        <v/>
      </c>
      <c r="E280" s="29">
        <f>IF(ISNUMBER(D280),ABS(D280),"")</f>
        <v/>
      </c>
      <c r="F280" s="101">
        <f>IFERROR(IF(INDEX(Polymarket!$C$25:$C$303,MATCH($A280,Polymarket!$A$25:$A$303,0))=0,"",INDEX(Polymarket!$C$25:$C$303,MATCH($A280,Polymarket!$A$25:$A$303,0))),"")</f>
        <v/>
      </c>
      <c r="G280" s="101">
        <f>IFERROR(IF(INDEX(Kalshi!$G$31:$G$485,MATCH($A280,Kalshi!$A$31:$A$485,0))=0,"",INDEX(Kalshi!$G$31:$G$485,MATCH($A280,Kalshi!$A$31:$A$485,0))),"")</f>
        <v/>
      </c>
      <c r="H280" s="30">
        <f>IF(AND(ISNUMBER(B280),ISNUMBER(C280)),MIN(B280,C280),"")</f>
        <v/>
      </c>
      <c r="I280" s="30">
        <f>IF(AND(ISNUMBER(F280),ISNUMBER(G280)),MIN(F280,G280),"")</f>
        <v/>
      </c>
      <c r="J280" s="29">
        <f>IF(AND(ISNUMBER(H280),ISNUMBER(I280)),H280+I280,"")</f>
        <v/>
      </c>
      <c r="K280" s="28" t="n">
        <v>0.5</v>
      </c>
      <c r="L280" s="38" t="inlineStr">
        <is>
          <t>29 Sep</t>
        </is>
      </c>
    </row>
    <row r="281">
      <c r="A281" s="39" t="n">
        <v>46295</v>
      </c>
      <c r="B281" s="100">
        <f>IFERROR(IF(INDEX(Polymarket!$B$25:$B$303,MATCH($A281,Polymarket!$A$25:$A$303,0))=0,"",INDEX(Polymarket!$B$25:$B$303,MATCH($A281,Polymarket!$A$25:$A$303,0))),"")</f>
        <v/>
      </c>
      <c r="C281" s="100">
        <f>IFERROR(IF(INDEX(Kalshi!$D$31:$D$485,MATCH($A281,Kalshi!$A$31:$A$485,0))=0,"",INDEX(Kalshi!$D$31:$D$485,MATCH($A281,Kalshi!$A$31:$A$485,0))),"")</f>
        <v/>
      </c>
      <c r="D281" s="18">
        <f>IF(AND(ISNUMBER(B281),ISNUMBER(C281)),B281-C281,"")</f>
        <v/>
      </c>
      <c r="E281" s="17">
        <f>IF(ISNUMBER(D281),ABS(D281),"")</f>
        <v/>
      </c>
      <c r="F281" s="100">
        <f>IFERROR(IF(INDEX(Polymarket!$C$25:$C$303,MATCH($A281,Polymarket!$A$25:$A$303,0))=0,"",INDEX(Polymarket!$C$25:$C$303,MATCH($A281,Polymarket!$A$25:$A$303,0))),"")</f>
        <v/>
      </c>
      <c r="G281" s="100">
        <f>IFERROR(IF(INDEX(Kalshi!$G$31:$G$485,MATCH($A281,Kalshi!$A$31:$A$485,0))=0,"",INDEX(Kalshi!$G$31:$G$485,MATCH($A281,Kalshi!$A$31:$A$485,0))),"")</f>
        <v/>
      </c>
      <c r="H281" s="20">
        <f>IF(AND(ISNUMBER(B281),ISNUMBER(C281)),MIN(B281,C281),"")</f>
        <v/>
      </c>
      <c r="I281" s="20">
        <f>IF(AND(ISNUMBER(F281),ISNUMBER(G281)),MIN(F281,G281),"")</f>
        <v/>
      </c>
      <c r="J281" s="17">
        <f>IF(AND(ISNUMBER(H281),ISNUMBER(I281)),H281+I281,"")</f>
        <v/>
      </c>
      <c r="K281" s="16" t="n">
        <v>0.5</v>
      </c>
      <c r="L281" s="26" t="inlineStr">
        <is>
          <t>30 Sep</t>
        </is>
      </c>
    </row>
    <row r="282">
      <c r="A282" s="41" t="n">
        <v>46296</v>
      </c>
      <c r="B282" s="101">
        <f>IFERROR(IF(INDEX(Polymarket!$B$25:$B$303,MATCH($A282,Polymarket!$A$25:$A$303,0))=0,"",INDEX(Polymarket!$B$25:$B$303,MATCH($A282,Polymarket!$A$25:$A$303,0))),"")</f>
        <v/>
      </c>
      <c r="C282" s="101">
        <f>IFERROR(IF(INDEX(Kalshi!$D$31:$D$485,MATCH($A282,Kalshi!$A$31:$A$485,0))=0,"",INDEX(Kalshi!$D$31:$D$485,MATCH($A282,Kalshi!$A$31:$A$485,0))),"")</f>
        <v/>
      </c>
      <c r="D282" s="31">
        <f>IF(AND(ISNUMBER(B282),ISNUMBER(C282)),B282-C282,"")</f>
        <v/>
      </c>
      <c r="E282" s="29">
        <f>IF(ISNUMBER(D282),ABS(D282),"")</f>
        <v/>
      </c>
      <c r="F282" s="101">
        <f>IFERROR(IF(INDEX(Polymarket!$C$25:$C$303,MATCH($A282,Polymarket!$A$25:$A$303,0))=0,"",INDEX(Polymarket!$C$25:$C$303,MATCH($A282,Polymarket!$A$25:$A$303,0))),"")</f>
        <v/>
      </c>
      <c r="G282" s="101">
        <f>IFERROR(IF(INDEX(Kalshi!$G$31:$G$485,MATCH($A282,Kalshi!$A$31:$A$485,0))=0,"",INDEX(Kalshi!$G$31:$G$485,MATCH($A282,Kalshi!$A$31:$A$485,0))),"")</f>
        <v/>
      </c>
      <c r="H282" s="30">
        <f>IF(AND(ISNUMBER(B282),ISNUMBER(C282)),MIN(B282,C282),"")</f>
        <v/>
      </c>
      <c r="I282" s="30">
        <f>IF(AND(ISNUMBER(F282),ISNUMBER(G282)),MIN(F282,G282),"")</f>
        <v/>
      </c>
      <c r="J282" s="29">
        <f>IF(AND(ISNUMBER(H282),ISNUMBER(I282)),H282+I282,"")</f>
        <v/>
      </c>
      <c r="K282" s="28" t="n">
        <v>0.5</v>
      </c>
      <c r="L282" s="38" t="inlineStr">
        <is>
          <t>01 Oct</t>
        </is>
      </c>
    </row>
    <row r="283">
      <c r="A283" s="39" t="n">
        <v>46297</v>
      </c>
      <c r="B283" s="100">
        <f>IFERROR(IF(INDEX(Polymarket!$B$25:$B$303,MATCH($A283,Polymarket!$A$25:$A$303,0))=0,"",INDEX(Polymarket!$B$25:$B$303,MATCH($A283,Polymarket!$A$25:$A$303,0))),"")</f>
        <v/>
      </c>
      <c r="C283" s="100">
        <f>IFERROR(IF(INDEX(Kalshi!$D$31:$D$485,MATCH($A283,Kalshi!$A$31:$A$485,0))=0,"",INDEX(Kalshi!$D$31:$D$485,MATCH($A283,Kalshi!$A$31:$A$485,0))),"")</f>
        <v/>
      </c>
      <c r="D283" s="18">
        <f>IF(AND(ISNUMBER(B283),ISNUMBER(C283)),B283-C283,"")</f>
        <v/>
      </c>
      <c r="E283" s="17">
        <f>IF(ISNUMBER(D283),ABS(D283),"")</f>
        <v/>
      </c>
      <c r="F283" s="100">
        <f>IFERROR(IF(INDEX(Polymarket!$C$25:$C$303,MATCH($A283,Polymarket!$A$25:$A$303,0))=0,"",INDEX(Polymarket!$C$25:$C$303,MATCH($A283,Polymarket!$A$25:$A$303,0))),"")</f>
        <v/>
      </c>
      <c r="G283" s="100">
        <f>IFERROR(IF(INDEX(Kalshi!$G$31:$G$485,MATCH($A283,Kalshi!$A$31:$A$485,0))=0,"",INDEX(Kalshi!$G$31:$G$485,MATCH($A283,Kalshi!$A$31:$A$485,0))),"")</f>
        <v/>
      </c>
      <c r="H283" s="20">
        <f>IF(AND(ISNUMBER(B283),ISNUMBER(C283)),MIN(B283,C283),"")</f>
        <v/>
      </c>
      <c r="I283" s="20">
        <f>IF(AND(ISNUMBER(F283),ISNUMBER(G283)),MIN(F283,G283),"")</f>
        <v/>
      </c>
      <c r="J283" s="17">
        <f>IF(AND(ISNUMBER(H283),ISNUMBER(I283)),H283+I283,"")</f>
        <v/>
      </c>
      <c r="K283" s="16" t="n">
        <v>0.5</v>
      </c>
      <c r="L283" s="26" t="inlineStr">
        <is>
          <t>02 Oct</t>
        </is>
      </c>
    </row>
    <row r="284">
      <c r="A284" s="41" t="n">
        <v>46298</v>
      </c>
      <c r="B284" s="101">
        <f>IFERROR(IF(INDEX(Polymarket!$B$25:$B$303,MATCH($A284,Polymarket!$A$25:$A$303,0))=0,"",INDEX(Polymarket!$B$25:$B$303,MATCH($A284,Polymarket!$A$25:$A$303,0))),"")</f>
        <v/>
      </c>
      <c r="C284" s="101">
        <f>IFERROR(IF(INDEX(Kalshi!$D$31:$D$485,MATCH($A284,Kalshi!$A$31:$A$485,0))=0,"",INDEX(Kalshi!$D$31:$D$485,MATCH($A284,Kalshi!$A$31:$A$485,0))),"")</f>
        <v/>
      </c>
      <c r="D284" s="31">
        <f>IF(AND(ISNUMBER(B284),ISNUMBER(C284)),B284-C284,"")</f>
        <v/>
      </c>
      <c r="E284" s="29">
        <f>IF(ISNUMBER(D284),ABS(D284),"")</f>
        <v/>
      </c>
      <c r="F284" s="101">
        <f>IFERROR(IF(INDEX(Polymarket!$C$25:$C$303,MATCH($A284,Polymarket!$A$25:$A$303,0))=0,"",INDEX(Polymarket!$C$25:$C$303,MATCH($A284,Polymarket!$A$25:$A$303,0))),"")</f>
        <v/>
      </c>
      <c r="G284" s="101">
        <f>IFERROR(IF(INDEX(Kalshi!$G$31:$G$485,MATCH($A284,Kalshi!$A$31:$A$485,0))=0,"",INDEX(Kalshi!$G$31:$G$485,MATCH($A284,Kalshi!$A$31:$A$485,0))),"")</f>
        <v/>
      </c>
      <c r="H284" s="30">
        <f>IF(AND(ISNUMBER(B284),ISNUMBER(C284)),MIN(B284,C284),"")</f>
        <v/>
      </c>
      <c r="I284" s="30">
        <f>IF(AND(ISNUMBER(F284),ISNUMBER(G284)),MIN(F284,G284),"")</f>
        <v/>
      </c>
      <c r="J284" s="29">
        <f>IF(AND(ISNUMBER(H284),ISNUMBER(I284)),H284+I284,"")</f>
        <v/>
      </c>
      <c r="K284" s="28" t="n">
        <v>0.5</v>
      </c>
      <c r="L284" s="38" t="inlineStr">
        <is>
          <t>03 Oct</t>
        </is>
      </c>
    </row>
    <row r="285">
      <c r="A285" s="39" t="n">
        <v>46299</v>
      </c>
      <c r="B285" s="100">
        <f>IFERROR(IF(INDEX(Polymarket!$B$25:$B$303,MATCH($A285,Polymarket!$A$25:$A$303,0))=0,"",INDEX(Polymarket!$B$25:$B$303,MATCH($A285,Polymarket!$A$25:$A$303,0))),"")</f>
        <v/>
      </c>
      <c r="C285" s="100">
        <f>IFERROR(IF(INDEX(Kalshi!$D$31:$D$485,MATCH($A285,Kalshi!$A$31:$A$485,0))=0,"",INDEX(Kalshi!$D$31:$D$485,MATCH($A285,Kalshi!$A$31:$A$485,0))),"")</f>
        <v/>
      </c>
      <c r="D285" s="18">
        <f>IF(AND(ISNUMBER(B285),ISNUMBER(C285)),B285-C285,"")</f>
        <v/>
      </c>
      <c r="E285" s="17">
        <f>IF(ISNUMBER(D285),ABS(D285),"")</f>
        <v/>
      </c>
      <c r="F285" s="100">
        <f>IFERROR(IF(INDEX(Polymarket!$C$25:$C$303,MATCH($A285,Polymarket!$A$25:$A$303,0))=0,"",INDEX(Polymarket!$C$25:$C$303,MATCH($A285,Polymarket!$A$25:$A$303,0))),"")</f>
        <v/>
      </c>
      <c r="G285" s="100">
        <f>IFERROR(IF(INDEX(Kalshi!$G$31:$G$485,MATCH($A285,Kalshi!$A$31:$A$485,0))=0,"",INDEX(Kalshi!$G$31:$G$485,MATCH($A285,Kalshi!$A$31:$A$485,0))),"")</f>
        <v/>
      </c>
      <c r="H285" s="20">
        <f>IF(AND(ISNUMBER(B285),ISNUMBER(C285)),MIN(B285,C285),"")</f>
        <v/>
      </c>
      <c r="I285" s="20">
        <f>IF(AND(ISNUMBER(F285),ISNUMBER(G285)),MIN(F285,G285),"")</f>
        <v/>
      </c>
      <c r="J285" s="17">
        <f>IF(AND(ISNUMBER(H285),ISNUMBER(I285)),H285+I285,"")</f>
        <v/>
      </c>
      <c r="K285" s="16" t="n">
        <v>0.5</v>
      </c>
      <c r="L285" s="26" t="inlineStr">
        <is>
          <t>04 Oct</t>
        </is>
      </c>
    </row>
    <row r="286">
      <c r="A286" s="41" t="n">
        <v>46300</v>
      </c>
      <c r="B286" s="101">
        <f>IFERROR(IF(INDEX(Polymarket!$B$25:$B$303,MATCH($A286,Polymarket!$A$25:$A$303,0))=0,"",INDEX(Polymarket!$B$25:$B$303,MATCH($A286,Polymarket!$A$25:$A$303,0))),"")</f>
        <v/>
      </c>
      <c r="C286" s="101">
        <f>IFERROR(IF(INDEX(Kalshi!$D$31:$D$485,MATCH($A286,Kalshi!$A$31:$A$485,0))=0,"",INDEX(Kalshi!$D$31:$D$485,MATCH($A286,Kalshi!$A$31:$A$485,0))),"")</f>
        <v/>
      </c>
      <c r="D286" s="31">
        <f>IF(AND(ISNUMBER(B286),ISNUMBER(C286)),B286-C286,"")</f>
        <v/>
      </c>
      <c r="E286" s="29">
        <f>IF(ISNUMBER(D286),ABS(D286),"")</f>
        <v/>
      </c>
      <c r="F286" s="101">
        <f>IFERROR(IF(INDEX(Polymarket!$C$25:$C$303,MATCH($A286,Polymarket!$A$25:$A$303,0))=0,"",INDEX(Polymarket!$C$25:$C$303,MATCH($A286,Polymarket!$A$25:$A$303,0))),"")</f>
        <v/>
      </c>
      <c r="G286" s="101">
        <f>IFERROR(IF(INDEX(Kalshi!$G$31:$G$485,MATCH($A286,Kalshi!$A$31:$A$485,0))=0,"",INDEX(Kalshi!$G$31:$G$485,MATCH($A286,Kalshi!$A$31:$A$485,0))),"")</f>
        <v/>
      </c>
      <c r="H286" s="30">
        <f>IF(AND(ISNUMBER(B286),ISNUMBER(C286)),MIN(B286,C286),"")</f>
        <v/>
      </c>
      <c r="I286" s="30">
        <f>IF(AND(ISNUMBER(F286),ISNUMBER(G286)),MIN(F286,G286),"")</f>
        <v/>
      </c>
      <c r="J286" s="29">
        <f>IF(AND(ISNUMBER(H286),ISNUMBER(I286)),H286+I286,"")</f>
        <v/>
      </c>
      <c r="K286" s="28" t="n">
        <v>0.5</v>
      </c>
      <c r="L286" s="38" t="inlineStr">
        <is>
          <t>05 Oct</t>
        </is>
      </c>
    </row>
    <row r="287">
      <c r="A287" s="39" t="n">
        <v>46301</v>
      </c>
      <c r="B287" s="100">
        <f>IFERROR(IF(INDEX(Polymarket!$B$25:$B$303,MATCH($A287,Polymarket!$A$25:$A$303,0))=0,"",INDEX(Polymarket!$B$25:$B$303,MATCH($A287,Polymarket!$A$25:$A$303,0))),"")</f>
        <v/>
      </c>
      <c r="C287" s="100">
        <f>IFERROR(IF(INDEX(Kalshi!$D$31:$D$485,MATCH($A287,Kalshi!$A$31:$A$485,0))=0,"",INDEX(Kalshi!$D$31:$D$485,MATCH($A287,Kalshi!$A$31:$A$485,0))),"")</f>
        <v/>
      </c>
      <c r="D287" s="18">
        <f>IF(AND(ISNUMBER(B287),ISNUMBER(C287)),B287-C287,"")</f>
        <v/>
      </c>
      <c r="E287" s="17">
        <f>IF(ISNUMBER(D287),ABS(D287),"")</f>
        <v/>
      </c>
      <c r="F287" s="100">
        <f>IFERROR(IF(INDEX(Polymarket!$C$25:$C$303,MATCH($A287,Polymarket!$A$25:$A$303,0))=0,"",INDEX(Polymarket!$C$25:$C$303,MATCH($A287,Polymarket!$A$25:$A$303,0))),"")</f>
        <v/>
      </c>
      <c r="G287" s="100">
        <f>IFERROR(IF(INDEX(Kalshi!$G$31:$G$485,MATCH($A287,Kalshi!$A$31:$A$485,0))=0,"",INDEX(Kalshi!$G$31:$G$485,MATCH($A287,Kalshi!$A$31:$A$485,0))),"")</f>
        <v/>
      </c>
      <c r="H287" s="20">
        <f>IF(AND(ISNUMBER(B287),ISNUMBER(C287)),MIN(B287,C287),"")</f>
        <v/>
      </c>
      <c r="I287" s="20">
        <f>IF(AND(ISNUMBER(F287),ISNUMBER(G287)),MIN(F287,G287),"")</f>
        <v/>
      </c>
      <c r="J287" s="17">
        <f>IF(AND(ISNUMBER(H287),ISNUMBER(I287)),H287+I287,"")</f>
        <v/>
      </c>
      <c r="K287" s="16" t="n">
        <v>0.5</v>
      </c>
      <c r="L287" s="26" t="inlineStr">
        <is>
          <t>06 Oct</t>
        </is>
      </c>
    </row>
    <row r="288">
      <c r="A288" s="41" t="n">
        <v>46302</v>
      </c>
      <c r="B288" s="101">
        <f>IFERROR(IF(INDEX(Polymarket!$B$25:$B$303,MATCH($A288,Polymarket!$A$25:$A$303,0))=0,"",INDEX(Polymarket!$B$25:$B$303,MATCH($A288,Polymarket!$A$25:$A$303,0))),"")</f>
        <v/>
      </c>
      <c r="C288" s="101">
        <f>IFERROR(IF(INDEX(Kalshi!$D$31:$D$485,MATCH($A288,Kalshi!$A$31:$A$485,0))=0,"",INDEX(Kalshi!$D$31:$D$485,MATCH($A288,Kalshi!$A$31:$A$485,0))),"")</f>
        <v/>
      </c>
      <c r="D288" s="31">
        <f>IF(AND(ISNUMBER(B288),ISNUMBER(C288)),B288-C288,"")</f>
        <v/>
      </c>
      <c r="E288" s="29">
        <f>IF(ISNUMBER(D288),ABS(D288),"")</f>
        <v/>
      </c>
      <c r="F288" s="101">
        <f>IFERROR(IF(INDEX(Polymarket!$C$25:$C$303,MATCH($A288,Polymarket!$A$25:$A$303,0))=0,"",INDEX(Polymarket!$C$25:$C$303,MATCH($A288,Polymarket!$A$25:$A$303,0))),"")</f>
        <v/>
      </c>
      <c r="G288" s="101">
        <f>IFERROR(IF(INDEX(Kalshi!$G$31:$G$485,MATCH($A288,Kalshi!$A$31:$A$485,0))=0,"",INDEX(Kalshi!$G$31:$G$485,MATCH($A288,Kalshi!$A$31:$A$485,0))),"")</f>
        <v/>
      </c>
      <c r="H288" s="30">
        <f>IF(AND(ISNUMBER(B288),ISNUMBER(C288)),MIN(B288,C288),"")</f>
        <v/>
      </c>
      <c r="I288" s="30">
        <f>IF(AND(ISNUMBER(F288),ISNUMBER(G288)),MIN(F288,G288),"")</f>
        <v/>
      </c>
      <c r="J288" s="29">
        <f>IF(AND(ISNUMBER(H288),ISNUMBER(I288)),H288+I288,"")</f>
        <v/>
      </c>
      <c r="K288" s="28" t="n">
        <v>0.5</v>
      </c>
      <c r="L288" s="38" t="inlineStr">
        <is>
          <t>07 Oct</t>
        </is>
      </c>
    </row>
    <row r="289">
      <c r="A289" s="39" t="n">
        <v>46303</v>
      </c>
      <c r="B289" s="100">
        <f>IFERROR(IF(INDEX(Polymarket!$B$25:$B$303,MATCH($A289,Polymarket!$A$25:$A$303,0))=0,"",INDEX(Polymarket!$B$25:$B$303,MATCH($A289,Polymarket!$A$25:$A$303,0))),"")</f>
        <v/>
      </c>
      <c r="C289" s="100">
        <f>IFERROR(IF(INDEX(Kalshi!$D$31:$D$485,MATCH($A289,Kalshi!$A$31:$A$485,0))=0,"",INDEX(Kalshi!$D$31:$D$485,MATCH($A289,Kalshi!$A$31:$A$485,0))),"")</f>
        <v/>
      </c>
      <c r="D289" s="18">
        <f>IF(AND(ISNUMBER(B289),ISNUMBER(C289)),B289-C289,"")</f>
        <v/>
      </c>
      <c r="E289" s="17">
        <f>IF(ISNUMBER(D289),ABS(D289),"")</f>
        <v/>
      </c>
      <c r="F289" s="100">
        <f>IFERROR(IF(INDEX(Polymarket!$C$25:$C$303,MATCH($A289,Polymarket!$A$25:$A$303,0))=0,"",INDEX(Polymarket!$C$25:$C$303,MATCH($A289,Polymarket!$A$25:$A$303,0))),"")</f>
        <v/>
      </c>
      <c r="G289" s="100">
        <f>IFERROR(IF(INDEX(Kalshi!$G$31:$G$485,MATCH($A289,Kalshi!$A$31:$A$485,0))=0,"",INDEX(Kalshi!$G$31:$G$485,MATCH($A289,Kalshi!$A$31:$A$485,0))),"")</f>
        <v/>
      </c>
      <c r="H289" s="20">
        <f>IF(AND(ISNUMBER(B289),ISNUMBER(C289)),MIN(B289,C289),"")</f>
        <v/>
      </c>
      <c r="I289" s="20">
        <f>IF(AND(ISNUMBER(F289),ISNUMBER(G289)),MIN(F289,G289),"")</f>
        <v/>
      </c>
      <c r="J289" s="17">
        <f>IF(AND(ISNUMBER(H289),ISNUMBER(I289)),H289+I289,"")</f>
        <v/>
      </c>
      <c r="K289" s="16" t="n">
        <v>0.5</v>
      </c>
      <c r="L289" s="26" t="inlineStr">
        <is>
          <t>08 Oct</t>
        </is>
      </c>
    </row>
    <row r="290">
      <c r="A290" s="41" t="n">
        <v>46304</v>
      </c>
      <c r="B290" s="101">
        <f>IFERROR(IF(INDEX(Polymarket!$B$25:$B$303,MATCH($A290,Polymarket!$A$25:$A$303,0))=0,"",INDEX(Polymarket!$B$25:$B$303,MATCH($A290,Polymarket!$A$25:$A$303,0))),"")</f>
        <v/>
      </c>
      <c r="C290" s="101">
        <f>IFERROR(IF(INDEX(Kalshi!$D$31:$D$485,MATCH($A290,Kalshi!$A$31:$A$485,0))=0,"",INDEX(Kalshi!$D$31:$D$485,MATCH($A290,Kalshi!$A$31:$A$485,0))),"")</f>
        <v/>
      </c>
      <c r="D290" s="31">
        <f>IF(AND(ISNUMBER(B290),ISNUMBER(C290)),B290-C290,"")</f>
        <v/>
      </c>
      <c r="E290" s="29">
        <f>IF(ISNUMBER(D290),ABS(D290),"")</f>
        <v/>
      </c>
      <c r="F290" s="101">
        <f>IFERROR(IF(INDEX(Polymarket!$C$25:$C$303,MATCH($A290,Polymarket!$A$25:$A$303,0))=0,"",INDEX(Polymarket!$C$25:$C$303,MATCH($A290,Polymarket!$A$25:$A$303,0))),"")</f>
        <v/>
      </c>
      <c r="G290" s="101">
        <f>IFERROR(IF(INDEX(Kalshi!$G$31:$G$485,MATCH($A290,Kalshi!$A$31:$A$485,0))=0,"",INDEX(Kalshi!$G$31:$G$485,MATCH($A290,Kalshi!$A$31:$A$485,0))),"")</f>
        <v/>
      </c>
      <c r="H290" s="30">
        <f>IF(AND(ISNUMBER(B290),ISNUMBER(C290)),MIN(B290,C290),"")</f>
        <v/>
      </c>
      <c r="I290" s="30">
        <f>IF(AND(ISNUMBER(F290),ISNUMBER(G290)),MIN(F290,G290),"")</f>
        <v/>
      </c>
      <c r="J290" s="29">
        <f>IF(AND(ISNUMBER(H290),ISNUMBER(I290)),H290+I290,"")</f>
        <v/>
      </c>
      <c r="K290" s="28" t="n">
        <v>0.5</v>
      </c>
      <c r="L290" s="38" t="inlineStr">
        <is>
          <t>09 Oct</t>
        </is>
      </c>
    </row>
    <row r="291">
      <c r="A291" s="39" t="n">
        <v>46305</v>
      </c>
      <c r="B291" s="100">
        <f>IFERROR(IF(INDEX(Polymarket!$B$25:$B$303,MATCH($A291,Polymarket!$A$25:$A$303,0))=0,"",INDEX(Polymarket!$B$25:$B$303,MATCH($A291,Polymarket!$A$25:$A$303,0))),"")</f>
        <v/>
      </c>
      <c r="C291" s="100">
        <f>IFERROR(IF(INDEX(Kalshi!$D$31:$D$485,MATCH($A291,Kalshi!$A$31:$A$485,0))=0,"",INDEX(Kalshi!$D$31:$D$485,MATCH($A291,Kalshi!$A$31:$A$485,0))),"")</f>
        <v/>
      </c>
      <c r="D291" s="18">
        <f>IF(AND(ISNUMBER(B291),ISNUMBER(C291)),B291-C291,"")</f>
        <v/>
      </c>
      <c r="E291" s="17">
        <f>IF(ISNUMBER(D291),ABS(D291),"")</f>
        <v/>
      </c>
      <c r="F291" s="100">
        <f>IFERROR(IF(INDEX(Polymarket!$C$25:$C$303,MATCH($A291,Polymarket!$A$25:$A$303,0))=0,"",INDEX(Polymarket!$C$25:$C$303,MATCH($A291,Polymarket!$A$25:$A$303,0))),"")</f>
        <v/>
      </c>
      <c r="G291" s="100">
        <f>IFERROR(IF(INDEX(Kalshi!$G$31:$G$485,MATCH($A291,Kalshi!$A$31:$A$485,0))=0,"",INDEX(Kalshi!$G$31:$G$485,MATCH($A291,Kalshi!$A$31:$A$485,0))),"")</f>
        <v/>
      </c>
      <c r="H291" s="20">
        <f>IF(AND(ISNUMBER(B291),ISNUMBER(C291)),MIN(B291,C291),"")</f>
        <v/>
      </c>
      <c r="I291" s="20">
        <f>IF(AND(ISNUMBER(F291),ISNUMBER(G291)),MIN(F291,G291),"")</f>
        <v/>
      </c>
      <c r="J291" s="17">
        <f>IF(AND(ISNUMBER(H291),ISNUMBER(I291)),H291+I291,"")</f>
        <v/>
      </c>
      <c r="K291" s="16" t="n">
        <v>0.5</v>
      </c>
      <c r="L291" s="26" t="inlineStr">
        <is>
          <t>10 Oct</t>
        </is>
      </c>
    </row>
    <row r="292">
      <c r="A292" s="41" t="n">
        <v>46306</v>
      </c>
      <c r="B292" s="101">
        <f>IFERROR(IF(INDEX(Polymarket!$B$25:$B$303,MATCH($A292,Polymarket!$A$25:$A$303,0))=0,"",INDEX(Polymarket!$B$25:$B$303,MATCH($A292,Polymarket!$A$25:$A$303,0))),"")</f>
        <v/>
      </c>
      <c r="C292" s="101">
        <f>IFERROR(IF(INDEX(Kalshi!$D$31:$D$485,MATCH($A292,Kalshi!$A$31:$A$485,0))=0,"",INDEX(Kalshi!$D$31:$D$485,MATCH($A292,Kalshi!$A$31:$A$485,0))),"")</f>
        <v/>
      </c>
      <c r="D292" s="31">
        <f>IF(AND(ISNUMBER(B292),ISNUMBER(C292)),B292-C292,"")</f>
        <v/>
      </c>
      <c r="E292" s="29">
        <f>IF(ISNUMBER(D292),ABS(D292),"")</f>
        <v/>
      </c>
      <c r="F292" s="101">
        <f>IFERROR(IF(INDEX(Polymarket!$C$25:$C$303,MATCH($A292,Polymarket!$A$25:$A$303,0))=0,"",INDEX(Polymarket!$C$25:$C$303,MATCH($A292,Polymarket!$A$25:$A$303,0))),"")</f>
        <v/>
      </c>
      <c r="G292" s="101">
        <f>IFERROR(IF(INDEX(Kalshi!$G$31:$G$485,MATCH($A292,Kalshi!$A$31:$A$485,0))=0,"",INDEX(Kalshi!$G$31:$G$485,MATCH($A292,Kalshi!$A$31:$A$485,0))),"")</f>
        <v/>
      </c>
      <c r="H292" s="30">
        <f>IF(AND(ISNUMBER(B292),ISNUMBER(C292)),MIN(B292,C292),"")</f>
        <v/>
      </c>
      <c r="I292" s="30">
        <f>IF(AND(ISNUMBER(F292),ISNUMBER(G292)),MIN(F292,G292),"")</f>
        <v/>
      </c>
      <c r="J292" s="29">
        <f>IF(AND(ISNUMBER(H292),ISNUMBER(I292)),H292+I292,"")</f>
        <v/>
      </c>
      <c r="K292" s="28" t="n">
        <v>0.5</v>
      </c>
      <c r="L292" s="38" t="inlineStr">
        <is>
          <t>11 Oct</t>
        </is>
      </c>
    </row>
    <row r="293">
      <c r="A293" s="39" t="n">
        <v>46307</v>
      </c>
      <c r="B293" s="100">
        <f>IFERROR(IF(INDEX(Polymarket!$B$25:$B$303,MATCH($A293,Polymarket!$A$25:$A$303,0))=0,"",INDEX(Polymarket!$B$25:$B$303,MATCH($A293,Polymarket!$A$25:$A$303,0))),"")</f>
        <v/>
      </c>
      <c r="C293" s="100">
        <f>IFERROR(IF(INDEX(Kalshi!$D$31:$D$485,MATCH($A293,Kalshi!$A$31:$A$485,0))=0,"",INDEX(Kalshi!$D$31:$D$485,MATCH($A293,Kalshi!$A$31:$A$485,0))),"")</f>
        <v/>
      </c>
      <c r="D293" s="18">
        <f>IF(AND(ISNUMBER(B293),ISNUMBER(C293)),B293-C293,"")</f>
        <v/>
      </c>
      <c r="E293" s="17">
        <f>IF(ISNUMBER(D293),ABS(D293),"")</f>
        <v/>
      </c>
      <c r="F293" s="100">
        <f>IFERROR(IF(INDEX(Polymarket!$C$25:$C$303,MATCH($A293,Polymarket!$A$25:$A$303,0))=0,"",INDEX(Polymarket!$C$25:$C$303,MATCH($A293,Polymarket!$A$25:$A$303,0))),"")</f>
        <v/>
      </c>
      <c r="G293" s="100">
        <f>IFERROR(IF(INDEX(Kalshi!$G$31:$G$485,MATCH($A293,Kalshi!$A$31:$A$485,0))=0,"",INDEX(Kalshi!$G$31:$G$485,MATCH($A293,Kalshi!$A$31:$A$485,0))),"")</f>
        <v/>
      </c>
      <c r="H293" s="20">
        <f>IF(AND(ISNUMBER(B293),ISNUMBER(C293)),MIN(B293,C293),"")</f>
        <v/>
      </c>
      <c r="I293" s="20">
        <f>IF(AND(ISNUMBER(F293),ISNUMBER(G293)),MIN(F293,G293),"")</f>
        <v/>
      </c>
      <c r="J293" s="17">
        <f>IF(AND(ISNUMBER(H293),ISNUMBER(I293)),H293+I293,"")</f>
        <v/>
      </c>
      <c r="K293" s="16" t="n">
        <v>0.5</v>
      </c>
      <c r="L293" s="26" t="inlineStr">
        <is>
          <t>12 Oct</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11"/>
  <sheetViews>
    <sheetView showGridLines="0" workbookViewId="0">
      <selection activeCell="A1" sqref="A1"/>
    </sheetView>
  </sheetViews>
  <sheetFormatPr baseColWidth="8" defaultRowHeight="15"/>
  <cols>
    <col width="31" customWidth="1" min="1" max="1"/>
    <col width="118" customWidth="1" min="2" max="2"/>
  </cols>
  <sheetData>
    <row r="1">
      <c r="A1" s="1" t="inlineStr">
        <is>
          <t>Notes, Sources &amp; Refresh</t>
        </is>
      </c>
    </row>
    <row r="2">
      <c r="A2" s="2" t="inlineStr">
        <is>
          <t>Everything behind the numbers: where each cell came from, what is assumed, and how to pull it again. Built 2026-10-12 02:24 UTC.</t>
        </is>
      </c>
    </row>
    <row r="4">
      <c r="A4" s="3" t="inlineStr">
        <is>
          <t>COLOUR CONVENTION</t>
        </is>
      </c>
      <c r="B4" s="4" t="n"/>
    </row>
    <row r="5" ht="26" customHeight="1">
      <c r="A5" s="130" t="inlineStr">
        <is>
          <t>Blue text</t>
        </is>
      </c>
      <c r="B5" s="131" t="inlineStr">
        <is>
          <t>A hardcoded value - pulled from an API, read out of house.csv, or typed in from a cited source. These are the only cells you overwrite when refreshing.</t>
        </is>
      </c>
    </row>
    <row r="6" ht="15" customHeight="1">
      <c r="A6" s="130" t="inlineStr">
        <is>
          <t>Black text</t>
        </is>
      </c>
      <c r="B6" s="131" t="inlineStr">
        <is>
          <t>A formula. Do not overwrite; it recalculates from the blue and green cells.</t>
        </is>
      </c>
    </row>
    <row r="7" ht="15" customHeight="1">
      <c r="A7" s="130" t="inlineStr">
        <is>
          <t>Green text</t>
        </is>
      </c>
      <c r="B7" s="131" t="inlineStr">
        <is>
          <t>A link to another sheet in this workbook.</t>
        </is>
      </c>
    </row>
    <row r="8" ht="15" customHeight="1">
      <c r="A8" s="130" t="inlineStr">
        <is>
          <t>Yellow fill</t>
        </is>
      </c>
      <c r="B8" s="131" t="inlineStr">
        <is>
          <t>Either a key output worth reading first, or an assumption you are meant to change.</t>
        </is>
      </c>
    </row>
    <row r="10">
      <c r="A10" s="3" t="inlineStr">
        <is>
          <t>SHEETS</t>
        </is>
      </c>
      <c r="B10" s="4" t="n"/>
    </row>
    <row r="11" ht="26" customHeight="1">
      <c r="A11" s="130" t="inlineStr">
        <is>
          <t>Summary</t>
        </is>
      </c>
      <c r="B11" s="131" t="inlineStr">
        <is>
          <t>Dashboard. Consensus probability, market-implied margin, race facts, live snapshot, every subject tracked, cross-venue arbitrage check, momentum, and markets-vs-polls.</t>
        </is>
      </c>
    </row>
    <row r="12" ht="26" customHeight="1">
      <c r="A12" s="130" t="inlineStr">
        <is>
          <t>Polymarket</t>
        </is>
      </c>
      <c r="B12" s="131" t="inlineStr">
        <is>
          <t>Winner market: metadata, live order book, and 233 days of daily prices for the Democratic and Republican YES contracts.</t>
        </is>
      </c>
    </row>
    <row r="13" ht="15" customHeight="1">
      <c r="A13" s="130" t="inlineStr">
        <is>
          <t>Kalshi</t>
        </is>
      </c>
      <c r="B13" s="131" t="inlineStr">
        <is>
          <t>Winner market: metadata, live order book with five levels of depth, and 410 days of daily candlesticks.</t>
        </is>
      </c>
    </row>
    <row r="14" ht="26" customHeight="1">
      <c r="A14" s="130" t="inlineStr">
        <is>
          <t>Margin of Victory</t>
        </is>
      </c>
      <c r="B14" s="131" t="inlineStr">
        <is>
          <t>Polymarket's ten-bracket ladder on the winning margin, with the implied distribution, expected margin, and a cross-check against the winner market.</t>
        </is>
      </c>
    </row>
    <row r="15" ht="26" customHeight="1">
      <c r="A15" s="130" t="inlineStr">
        <is>
          <t>PA Seat Count</t>
        </is>
      </c>
      <c r="B15" s="131" t="inlineStr">
        <is>
          <t>Kalshi's ladder on how many of Pennsylvania's 17 House seats Democrats win. PA-07 is one of them, so it is a state-level read on the same question.</t>
        </is>
      </c>
    </row>
    <row r="16" ht="26" customHeight="1">
      <c r="A16" s="130" t="inlineStr">
        <is>
          <t>Polls</t>
        </is>
      </c>
      <c r="B16" s="131" t="inlineStr">
        <is>
          <t>General-election and Democratic-primary polling from house.csv, a recency-weighted average, the district and incumbent profile from GovTrack, and supplementary approval numbers.</t>
        </is>
      </c>
    </row>
    <row r="17" ht="26" customHeight="1">
      <c r="A17" s="130" t="inlineStr">
        <is>
          <t>Venue Comparison</t>
        </is>
      </c>
      <c r="B17" s="131" t="inlineStr">
        <is>
          <t>The two venues' daily Democratic probability joined on date, with divergence and an indicative historical pair-cost column.</t>
        </is>
      </c>
    </row>
    <row r="19">
      <c r="A19" s="3" t="inlineStr">
        <is>
          <t>SUBJECT INVENTORY - what each venue actually lists for PA-07</t>
        </is>
      </c>
      <c r="B19" s="4" t="n"/>
    </row>
    <row r="20" ht="26" customHeight="1">
      <c r="A20" s="130" t="inlineStr">
        <is>
          <t>Winner (party)</t>
        </is>
      </c>
      <c r="B20" s="131" t="inlineStr">
        <is>
          <t>Polymarket 'PA-07 House Election Winner' (event 106187) and Kalshi HOUSEPA7-26. Both venues, both liquid. This is the workbook's spine.</t>
        </is>
      </c>
    </row>
    <row r="21" ht="65" customHeight="1">
      <c r="A21" s="130" t="inlineStr">
        <is>
          <t>Margin of victory</t>
        </is>
      </c>
      <c r="B21" s="132" t="inlineStr">
        <is>
          <t>BOTH venues. Polymarket 'PA-07 House Election Margin of Victory' (event 834502), ten exclusive brackets. Kalshi KXMIDTERMMOV-PA07D and -PA07R, eight threshold rungs ('Democrats, 3+ pts'). CORRECTION: an earlier version of this workbook said Kalshi had no PA-07 margin market. That was wrong - the search behind it matched series tickers, and Kalshi files these under a national series (KXMIDTERMMOV) with per-district EVENT tickers, so a series-level search cannot find them.</t>
        </is>
      </c>
    </row>
    <row r="22" ht="39" customHeight="1">
      <c r="A22" s="130" t="inlineStr">
        <is>
          <t>Voter turnout</t>
        </is>
      </c>
      <c r="B22" s="132" t="inlineStr">
        <is>
          <t>Kalshi KXMIDTERMVOTETURN-PA07, five thresholds from 310K to 370K. Kalshi-only; Polymarket lists no turnout market for this district. PA-07 was decided by about a point in 2024, so turnout is a plausible decider rather than trivia.</t>
        </is>
      </c>
    </row>
    <row r="23" ht="52" customHeight="1">
      <c r="A23" s="130" t="inlineStr">
        <is>
          <t>Threshold vs bracket</t>
        </is>
      </c>
      <c r="B23" s="131" t="inlineStr">
        <is>
          <t>The two venues sell different instruments for the same question. Polymarket sells mutually exclusive brackets that sum to 100%. Kalshi sells nested thresholds, where each rung is P(value &gt;= strike) and probabilities must FALL as the strike rises. Differencing adjacent Kalshi rungs recovers buckets; collect3.py checks the monotonicity that makes that valid.</t>
        </is>
      </c>
    </row>
    <row r="24" ht="39" customHeight="1">
      <c r="A24" s="130" t="inlineStr">
        <is>
          <t>Democratic nominee</t>
        </is>
      </c>
      <c r="B24" s="131" t="inlineStr">
        <is>
          <t>Kalshi KXPA07D-26 and Polymarket 'PA-07 Democratic Primary Winner' (event 287013). Settled on 19 May 2026; the Kalshi event returns no tradeable markets now. Kept as polling calibration on the Polls sheet, not tracked live.</t>
        </is>
      </c>
    </row>
    <row r="25" ht="15" customHeight="1">
      <c r="A25" s="130" t="inlineStr">
        <is>
          <t>2024 PA-07 race</t>
        </is>
      </c>
      <c r="B25" s="131" t="inlineStr">
        <is>
          <t>Kalshi HOUSEPA7-24 exists as an event but returns no markets. Not tracked.</t>
        </is>
      </c>
    </row>
    <row r="26" ht="26" customHeight="1">
      <c r="A26" s="130" t="inlineStr">
        <is>
          <t>Closest House race</t>
        </is>
      </c>
      <c r="B26" s="131" t="inlineStr">
        <is>
          <t>Kalshi KXCLOSESTHOUSE-27JAN03 lists 34 districts for 2026. PA-01 is included; PA-07 is NOT, so there is nothing to track here.</t>
        </is>
      </c>
    </row>
    <row r="27" ht="15" customHeight="1">
      <c r="A27" s="130" t="inlineStr">
        <is>
          <t>PA Democratic seat count</t>
        </is>
      </c>
      <c r="B27" s="131" t="inlineStr">
        <is>
          <t>Kalshi KXHOUSEWINSTATE-PAD, eight brackets. Tracked on its own sheet as state-level context.</t>
        </is>
      </c>
    </row>
    <row r="28" ht="26" customHeight="1">
      <c r="A28" s="130" t="inlineStr">
        <is>
          <t>Placeholder outcomes</t>
        </is>
      </c>
      <c r="B28" s="131" t="inlineStr">
        <is>
          <t>The Polymarket winner event also carries outcomes A-E and 'Other', and the margin event carries 'Person A', 'Person B' and 'Other'. All are inactive with zero volume and are excluded.</t>
        </is>
      </c>
    </row>
    <row r="30">
      <c r="A30" s="3" t="inlineStr">
        <is>
          <t>MARKET IDENTIFIERS</t>
        </is>
      </c>
      <c r="B30" s="4" t="n"/>
    </row>
    <row r="31" ht="26" customHeight="1">
      <c r="A31" s="130" t="inlineStr">
        <is>
          <t>Polymarket winner</t>
        </is>
      </c>
      <c r="B31" s="131" t="inlineStr">
        <is>
          <t>event 106187, slug pa-07-house-election-winner; markets will-the-democratic-party-win-the-pa-07-house-seat / will-the-republican-party-win-the-pa-07-house-seat</t>
        </is>
      </c>
    </row>
    <row r="32" ht="15" customHeight="1">
      <c r="A32" s="130" t="inlineStr">
        <is>
          <t>Polymarket margin</t>
        </is>
      </c>
      <c r="B32" s="131" t="inlineStr">
        <is>
          <t>event 834502, slug pa-07-house-margin-of-victory-2026</t>
        </is>
      </c>
    </row>
    <row r="33" ht="15" customHeight="1">
      <c r="A33" s="130" t="inlineStr">
        <is>
          <t>Kalshi winner</t>
        </is>
      </c>
      <c r="B33" s="131" t="inlineStr">
        <is>
          <t>series HOUSEPA7, event HOUSEPA7-26, markets HOUSEPA7-26-D (Bob Brooks) and HOUSEPA7-26-R (Ryan Mackenzie)</t>
        </is>
      </c>
    </row>
    <row r="34" ht="15" customHeight="1">
      <c r="A34" s="130" t="inlineStr">
        <is>
          <t>Kalshi seat count</t>
        </is>
      </c>
      <c r="B34" s="131" t="inlineStr">
        <is>
          <t>series KXHOUSEWINSTATE, event KXHOUSEWINSTATE-PAD, markets -B7, -E7 through -E12, -A12</t>
        </is>
      </c>
    </row>
    <row r="35" ht="15" customHeight="1">
      <c r="A35" s="130" t="inlineStr">
        <is>
          <t>Kalshi margin</t>
        </is>
      </c>
      <c r="B35" s="131" t="inlineStr">
        <is>
          <t>series KXMIDTERMMOV, events KXMIDTERMMOV-PA07D (rungs P3/P6/P9/P12/P15) and -PA07R (P3/P6/P9)</t>
        </is>
      </c>
    </row>
    <row r="36" ht="15" customHeight="1">
      <c r="A36" s="130" t="inlineStr">
        <is>
          <t>Kalshi turnout</t>
        </is>
      </c>
      <c r="B36" s="131" t="inlineStr">
        <is>
          <t>series KXMIDTERMVOTETURN, event KXMIDTERMVOTETURN-PA07, markets -310000/-320000/-340000/-360000/-370000</t>
        </is>
      </c>
    </row>
    <row r="37" ht="26" customHeight="1">
      <c r="A37" s="130" t="inlineStr">
        <is>
          <t>Kalshi close time</t>
        </is>
      </c>
      <c r="B37" s="131" t="inlineStr">
        <is>
          <t>HOUSEPA7-26 closes 2027-11-03, a year after the election - a settlement backstop, not the election date. Days-to-election counts to 2026-11-03.</t>
        </is>
      </c>
    </row>
    <row r="39">
      <c r="A39" s="3" t="inlineStr">
        <is>
          <t>API CALLS BEHIND THE BLUE CELLS</t>
        </is>
      </c>
      <c r="B39" s="4" t="n"/>
    </row>
    <row r="40" ht="15" customHeight="1">
      <c r="A40" s="130" t="inlineStr">
        <is>
          <t>Polymarket metadata</t>
        </is>
      </c>
      <c r="B40" s="133" t="inlineStr">
        <is>
          <t>GET https://gamma-api.polymarket.com/events/&lt;event_id&gt;</t>
        </is>
      </c>
    </row>
    <row r="41" ht="15" customHeight="1">
      <c r="A41" s="130" t="inlineStr">
        <is>
          <t>Polymarket book</t>
        </is>
      </c>
      <c r="B41" s="133" t="inlineStr">
        <is>
          <t>GET https://clob.polymarket.com/book?token_id=&lt;token&gt;</t>
        </is>
      </c>
    </row>
    <row r="42" ht="15" customHeight="1">
      <c r="A42" s="130" t="inlineStr">
        <is>
          <t>Polymarket history</t>
        </is>
      </c>
      <c r="B42" s="133" t="inlineStr">
        <is>
          <t>GET https://clob.polymarket.com/prices-history?market=&lt;token&gt;&amp;interval=max&amp;fidelity=1440</t>
        </is>
      </c>
    </row>
    <row r="43" ht="15" customHeight="1">
      <c r="A43" s="130" t="inlineStr">
        <is>
          <t xml:space="preserve">  fidelity</t>
        </is>
      </c>
      <c r="B43" s="131" t="inlineStr">
        <is>
          <t>In minutes; 1440 gives one point per day. Returns {history: [{t: unix_seconds, p: price}]}.</t>
        </is>
      </c>
    </row>
    <row r="44" ht="15" customHeight="1">
      <c r="A44" s="130" t="inlineStr">
        <is>
          <t>Dem winner token</t>
        </is>
      </c>
      <c r="B44" s="133" t="inlineStr">
        <is>
          <t>37713776886536763857380242322222367371582682723176215910322979366716585040762</t>
        </is>
      </c>
    </row>
    <row r="45" ht="15" customHeight="1">
      <c r="A45" s="130" t="inlineStr">
        <is>
          <t>Rep winner token</t>
        </is>
      </c>
      <c r="B45" s="133" t="inlineStr">
        <is>
          <t>56412855186822728853119072474894085602768054645914780515455268260878947887549</t>
        </is>
      </c>
    </row>
    <row r="46" ht="15" customHeight="1">
      <c r="A46" s="130" t="inlineStr">
        <is>
          <t>Kalshi base</t>
        </is>
      </c>
      <c r="B46" s="133" t="inlineStr">
        <is>
          <t>https://api.elections.kalshi.com</t>
        </is>
      </c>
    </row>
    <row r="47" ht="26" customHeight="1">
      <c r="A47" s="130" t="inlineStr">
        <is>
          <t>Kalshi auth</t>
        </is>
      </c>
      <c r="B47" s="131" t="inlineStr">
        <is>
          <t>Every request signed with RSA-PSS / SHA-256 over (timestamp_ms + method + path), sent as KALSHI-ACCESS-KEY, KALSHI-ACCESS-SIGNATURE and KALSHI-ACCESS-TIMESTAMP headers. Salt length = digest length.</t>
        </is>
      </c>
    </row>
    <row r="48" ht="15" customHeight="1">
      <c r="A48" s="130" t="inlineStr">
        <is>
          <t>Kalshi market</t>
        </is>
      </c>
      <c r="B48" s="133" t="inlineStr">
        <is>
          <t>GET /trade-api/v2/markets/&lt;ticker&gt;</t>
        </is>
      </c>
    </row>
    <row r="49" ht="15" customHeight="1">
      <c r="A49" s="130" t="inlineStr">
        <is>
          <t>Kalshi book</t>
        </is>
      </c>
      <c r="B49" s="133" t="inlineStr">
        <is>
          <t>GET /trade-api/v2/markets/&lt;ticker&gt;/orderbook?depth=10</t>
        </is>
      </c>
    </row>
    <row r="50" ht="15" customHeight="1">
      <c r="A50" s="130" t="inlineStr">
        <is>
          <t>Kalshi history</t>
        </is>
      </c>
      <c r="B50" s="133" t="inlineStr">
        <is>
          <t>GET /trade-api/v2/series/&lt;series&gt;/markets/&lt;ticker&gt;/candlesticks?start_ts=&amp;end_ts=&amp;period_interval=1440</t>
        </is>
      </c>
    </row>
    <row r="51" ht="26" customHeight="1">
      <c r="A51" s="130" t="inlineStr">
        <is>
          <t>Kalshi discovery</t>
        </is>
      </c>
      <c r="B51" s="131" t="inlineStr">
        <is>
          <t>GET /trade-api/v2/series  then filter locally - there is no keyword search endpoint, and /trade-api/v2/search/series returns 404.</t>
        </is>
      </c>
    </row>
    <row r="52" ht="52" customHeight="1">
      <c r="A52" s="130" t="inlineStr">
        <is>
          <t xml:space="preserve">  discovery caveat</t>
        </is>
      </c>
      <c r="B52" s="131" t="inlineStr">
        <is>
          <t>Filtering SERIES by ticker or title misses any market filed under a national series with per-district events - which is how margin and turnout are filed. Enumerate /trade-api/v2/events per candidate series and match on the EVENT ticker. Beware word-boundary regexes too: PA-?0?7\b does not match 'PA07D', which is exactly how the margin market was missed the first time.</t>
        </is>
      </c>
    </row>
    <row r="54">
      <c r="A54" s="3" t="inlineStr">
        <is>
          <t>POLLING SOURCE - house.csv</t>
        </is>
      </c>
      <c r="B54" s="4" t="n"/>
    </row>
    <row r="55" ht="26" customHeight="1">
      <c r="A55" s="130" t="inlineStr">
        <is>
          <t>File</t>
        </is>
      </c>
      <c r="B55" s="131" t="inlineStr">
        <is>
          <t>/Users/charlieweinstein/Downloads/house.csv - the NYT / 538 house-poll file, 5,041 rows covering every 2026 House race.</t>
        </is>
      </c>
    </row>
    <row r="56" ht="26" customHeight="1">
      <c r="A56" s="130" t="inlineStr">
        <is>
          <t>Filter</t>
        </is>
      </c>
      <c r="B56" s="131" t="inlineStr">
        <is>
          <t>state = PA and seat_number = 7, which yields 26 rows across 5 distinct poll_ids: 1 general-election poll and 4 Democratic-primary polls.</t>
        </is>
      </c>
    </row>
    <row r="57" ht="15" customHeight="1">
      <c r="A57" s="130" t="inlineStr">
        <is>
          <t>Shape</t>
        </is>
      </c>
      <c r="B57" s="131" t="inlineStr">
        <is>
          <t>The file is one row per candidate per question, so rows were pivoted by poll_id into one row per poll.</t>
        </is>
      </c>
    </row>
    <row r="58" ht="26" customHeight="1">
      <c r="A58" s="130" t="inlineStr">
        <is>
          <t>General poll</t>
        </is>
      </c>
      <c r="B58" s="131" t="inlineStr">
        <is>
          <t>GBAO for House Majority PAC, 29 June - 2 July 2026, likely voters, Brooks 47 - Mackenzie 43. Marked partisan = DEM in the file.</t>
        </is>
      </c>
    </row>
    <row r="59" ht="26" customHeight="1">
      <c r="A59" s="130" t="inlineStr">
        <is>
          <t>Primary polls</t>
        </is>
      </c>
      <c r="B59" s="131" t="inlineStr">
        <is>
          <t>Change Research (Dec 2025), GBAO/CPC PAC (Feb-Mar and Apr 2026), Tavern Research (May 2026). All four understated Brooks, who took ~41.4%; each poll carried 31-53% undecided.</t>
        </is>
      </c>
    </row>
    <row r="60" ht="39" customHeight="1">
      <c r="A60" s="130" t="inlineStr">
        <is>
          <t>Empty fields</t>
        </is>
      </c>
      <c r="B60" s="131" t="inlineStr">
        <is>
          <t>numeric_grade, pollscore, transparency_score and MoE are empty for every PA-07 poll in the file, so no pollster-quality weighting is applied. sample_size is also empty for the general poll - see the assumption below.</t>
        </is>
      </c>
    </row>
    <row r="61" ht="26" customHeight="1">
      <c r="A61" s="130" t="inlineStr">
        <is>
          <t>Coverage caveat</t>
        </is>
      </c>
      <c r="B61" s="132" t="inlineStr">
        <is>
          <t>One public general-election poll exists for this race, and it is Democratic-sponsored. The polling average is a single data point wearing a weighting scheme; the market sheets are far better populated.</t>
        </is>
      </c>
    </row>
    <row r="63">
      <c r="A63" s="3" t="inlineStr">
        <is>
          <t>GOVTRACK</t>
        </is>
      </c>
      <c r="B63" s="4" t="n"/>
    </row>
    <row r="64" ht="26" customHeight="1">
      <c r="A64" s="130" t="inlineStr">
        <is>
          <t>Page</t>
        </is>
      </c>
      <c r="B64" s="131" t="inlineStr">
        <is>
          <t>govtrack.us/congress/members/PA/7 and the member profile at govtrack.us/congress/members/ryan_mackenzie/457017</t>
        </is>
      </c>
    </row>
    <row r="65" ht="26" customHeight="1">
      <c r="A65" s="130" t="inlineStr">
        <is>
          <t>Used for</t>
        </is>
      </c>
      <c r="B65" s="131" t="inlineStr">
        <is>
          <t>The district and incumbent profile on the Polls sheet: tenure, age, caucus, committee assignments, sponsorship mix and the missed-votes record.</t>
        </is>
      </c>
    </row>
    <row r="66" ht="26" customHeight="1">
      <c r="A66" s="130" t="inlineStr">
        <is>
          <t>Missed votes</t>
        </is>
      </c>
      <c r="B66" s="131" t="inlineStr">
        <is>
          <t>13 of 645 roll calls between Jan 2025 and Jul 2026 (2.0%), which GovTrack calls on par with the 2.0% median among sitting representatives.</t>
        </is>
      </c>
    </row>
    <row r="67" ht="15" customHeight="1">
      <c r="A67" s="130" t="inlineStr">
        <is>
          <t>Access note</t>
        </is>
      </c>
      <c r="B67" s="131" t="inlineStr">
        <is>
          <t>The page rejects a plain fetch with HTTP 403; it was retrieved with a normal browser user-agent.</t>
        </is>
      </c>
    </row>
    <row r="68" ht="26" customHeight="1">
      <c r="A68" s="130" t="inlineStr">
        <is>
          <t>Redistricting caveat</t>
        </is>
      </c>
      <c r="B68" s="132" t="inlineStr">
        <is>
          <t>GovTrack warns that some states are changing districts for 2026 and that its map reflects the 2024 lines. Confirm PA-07's boundaries before treating district-level history as like-for-like.</t>
        </is>
      </c>
    </row>
    <row r="70">
      <c r="A70" s="3" t="inlineStr">
        <is>
          <t>METHOD NOTES</t>
        </is>
      </c>
      <c r="B70" s="4" t="n"/>
    </row>
    <row r="71" ht="26" customHeight="1">
      <c r="A71" s="130" t="inlineStr">
        <is>
          <t>Price as probability</t>
        </is>
      </c>
      <c r="B71" s="131" t="inlineStr">
        <is>
          <t>A contract paying $1 if the outcome happens trades at its implied probability, so $0.755 reads as 75.5%. Every price column is percent-formatted for that reason.</t>
        </is>
      </c>
    </row>
    <row r="72" ht="15" customHeight="1">
      <c r="A72" s="130" t="inlineStr">
        <is>
          <t>Mid price</t>
        </is>
      </c>
      <c r="B72" s="131" t="inlineStr">
        <is>
          <t>(best bid + best ask) / 2. Used rather than last trade, which on thin markets can be stale by days.</t>
        </is>
      </c>
    </row>
    <row r="73" ht="39" customHeight="1">
      <c r="A73" s="130" t="inlineStr">
        <is>
          <t>Kalshi YES ask</t>
        </is>
      </c>
      <c r="B73" s="131" t="inlineStr">
        <is>
          <t>Kalshi's REST market object returned null for yes_bid, yes_ask, volume and open_interest on these markets, so top-of-book comes from the orderbook endpoint. A YES ask is derived as 1 minus the best NO bid, since buying YES at p and selling NO at 1-p are the same trade.</t>
        </is>
      </c>
    </row>
    <row r="74" ht="26" customHeight="1">
      <c r="A74" s="130" t="inlineStr">
        <is>
          <t>Normalised probability</t>
        </is>
      </c>
      <c r="B74" s="131" t="inlineStr">
        <is>
          <t>Each outcome's mid divided by the sum of mids across the group, which strips out the overround so the set sums to 100%.</t>
        </is>
      </c>
    </row>
    <row r="75" ht="26" customHeight="1">
      <c r="A75" s="130" t="inlineStr">
        <is>
          <t>Overround / vig</t>
        </is>
      </c>
      <c r="B75" s="131" t="inlineStr">
        <is>
          <t>Sum of mids minus 1. On the margin ladder this runs far above 100% because several thin brackets are quoted with very wide spreads, which inflates their mid - read the normalised column, not the raw one.</t>
        </is>
      </c>
    </row>
    <row r="76" ht="26" customHeight="1">
      <c r="A76" s="130" t="inlineStr">
        <is>
          <t>Expected margin</t>
        </is>
      </c>
      <c r="B76" s="131" t="inlineStr">
        <is>
          <t>Sum of (normalised probability x signed bracket midpoint) across the ladder, in percentage points, positive for a Democratic win.</t>
        </is>
      </c>
    </row>
    <row r="77" ht="26" customHeight="1">
      <c r="A77" s="130" t="inlineStr">
        <is>
          <t>Kalshi volume column</t>
        </is>
      </c>
      <c r="B77" s="131" t="inlineStr">
        <is>
          <t>The winner history sums Democratic and Republican contract volume; open interest takes the larger of the two legs rather than the sum, since they are two sides of one race.</t>
        </is>
      </c>
    </row>
    <row r="78" ht="26" customHeight="1">
      <c r="A78" s="130" t="inlineStr">
        <is>
          <t>Date alignment</t>
        </is>
      </c>
      <c r="B78" s="131" t="inlineStr">
        <is>
          <t>All dates are UTC days. Venue Comparison joins with INDEX/MATCH on the date value, so the join survives a refresh that changes row counts.</t>
        </is>
      </c>
    </row>
    <row r="79" ht="26" customHeight="1">
      <c r="A79" s="130" t="inlineStr">
        <is>
          <t>Missing cells</t>
        </is>
      </c>
      <c r="B79" s="131" t="inlineStr">
        <is>
          <t>Some early Kalshi days have no closing bid or ask. Those cells are left blank and every dependent formula is guarded, so gaps propagate as blanks rather than as zeros or errors.</t>
        </is>
      </c>
    </row>
    <row r="81">
      <c r="A81" s="3" t="inlineStr">
        <is>
          <t>ASSUMPTIONS - values not taken from any source</t>
        </is>
      </c>
      <c r="B81" s="4" t="n"/>
    </row>
    <row r="82" ht="26" customHeight="1">
      <c r="A82" s="130" t="inlineStr">
        <is>
          <t>Margin bracket midpoints</t>
        </is>
      </c>
      <c r="B82" s="132" t="inlineStr">
        <is>
          <t>Margin of Victory, column B. Closed brackets use their true centre (0-3% -&gt; 1.5). The open-ended ones are judgement calls: 'Democrat 18%+' = +20.0, 'Republican 6%+' = -8.0. They drive the expected-margin figure.</t>
        </is>
      </c>
    </row>
    <row r="83" ht="15" customHeight="1">
      <c r="A83" s="130" t="inlineStr">
        <is>
          <t>Seat bracket midpoints</t>
        </is>
      </c>
      <c r="B83" s="132" t="inlineStr">
        <is>
          <t>PA Seat Count, column B. Exact brackets use their own number; 'Below 7' = 6 and 'Above 12' = 13.</t>
        </is>
      </c>
    </row>
    <row r="84" ht="26" customHeight="1">
      <c r="A84" s="130" t="inlineStr">
        <is>
          <t>Seat ladder mid fallback</t>
        </is>
      </c>
      <c r="B84" s="132" t="inlineStr">
        <is>
          <t>'Below 7' and 'Above 12' have an ask but no resting bid, so their mid falls back to half the ask. Both quote at 1-2c, so this barely moves the expected-seats figure.</t>
        </is>
      </c>
    </row>
    <row r="85" ht="26" customHeight="1">
      <c r="A85" s="130" t="inlineStr">
        <is>
          <t>Current PA Democratic seats</t>
        </is>
      </c>
      <c r="B85" s="132" t="inlineStr">
        <is>
          <t>8, entered by hand on the PA Seat Count sheet as the baseline for the net-gain line. Verify against the current delegation before relying on it.</t>
        </is>
      </c>
    </row>
    <row r="86" ht="39" customHeight="1">
      <c r="A86" s="130" t="inlineStr">
        <is>
          <t>General poll sample size</t>
        </is>
      </c>
      <c r="B86" s="132" t="inlineStr">
        <is>
          <t>550 likely voters, used because the sample_size field is empty in house.csv; it is the figure Pollsmax reports for the same GBAO survey. Sample size only affects weighting, and with one poll in the log it changes nothing.</t>
        </is>
      </c>
    </row>
    <row r="87" ht="26" customHeight="1">
      <c r="A87" s="130" t="inlineStr">
        <is>
          <t>Poll recency half-life</t>
        </is>
      </c>
      <c r="B87" s="132" t="inlineStr">
        <is>
          <t>45 days. A poll's weight halves every 45 days - a reasonable default for a race still ten weeks out, not a fitted value.</t>
        </is>
      </c>
    </row>
    <row r="88" ht="39" customHeight="1">
      <c r="A88" s="130" t="inlineStr">
        <is>
          <t>Partisan house-effect haircut</t>
        </is>
      </c>
      <c r="B88" s="132" t="inlineStr">
        <is>
          <t>3.0 pp, subtracted from the weighted margin in proportion to net partisan sponsorship. This matters here: the only general-election poll is Democratic-sponsored, so the adjusted margin is the more conservative read.</t>
        </is>
      </c>
    </row>
    <row r="89" ht="26" customHeight="1">
      <c r="A89" s="130" t="inlineStr">
        <is>
          <t>Consensus weighting</t>
        </is>
      </c>
      <c r="B89" s="132" t="inlineStr">
        <is>
          <t>Equal weight between the two venues on the winner market. Polymarket carries materially more volume, so a liquidity weighting would tilt toward it.</t>
        </is>
      </c>
    </row>
    <row r="91">
      <c r="A91" s="3" t="inlineStr">
        <is>
          <t>OUTSIDE SOURCES ADDED 30 AUG 2026</t>
        </is>
      </c>
      <c r="B91" s="4" t="n"/>
    </row>
    <row r="92" ht="65" customHeight="1">
      <c r="A92" s="130" t="inlineStr">
        <is>
          <t>PollsMax</t>
        </is>
      </c>
      <c r="B92" s="131" t="inlineStr">
        <is>
          <t>pollsmax.com/2026-us-house/pennsylvania-7/ — swept with Playwright, since the content is client-side rendered and a plain fetch returns almost nothing. Supplies a statistical forecast (win probability, projected vote share, 231 daily trend points with simulation bands) and a documented methodology. Its polling average rests on the SAME single GBAO poll already in house.csv, so it adds no new polling — its value is the model, not the polls.</t>
        </is>
      </c>
    </row>
    <row r="93" ht="39" customHeight="1">
      <c r="A93" s="130" t="inlineStr">
        <is>
          <t xml:space="preserve">  PollsMax caveats</t>
        </is>
      </c>
      <c r="B93" s="131" t="inlineStr">
        <is>
          <t>Their page labels the GBAO poll '(B)' in embedded JSON but '(D)' elsewhere, and their own methodology admits only (D)/(R) as partisan tags. Their forecast page also claims a 'last updated' timestamp 11 days newer than the last plotted data point. Both are logged in sources/pollsmax.json under extraction_problems.</t>
        </is>
      </c>
    </row>
    <row r="94" ht="65" customHeight="1">
      <c r="A94" s="130" t="inlineStr">
        <is>
          <t>City &amp; State PA</t>
        </is>
      </c>
      <c r="B94" s="132" t="inlineStr">
        <is>
          <t>cityandstatepa.com/prediction-markets/races/pa-07-house — a third-party odds tracker. Recorded as a DATA-QUALITY observation, never as an input. It resells a Kalshi feed via an aggregator (PredictionEdge) yet disagrees with Kalshi's own API by roughly 9 points, and shows two different Brooks probabilities on the same page (72% and 78%). It carries no PA-07 polling at all, never names the Republican candidate, and publishes no timestamps.</t>
        </is>
      </c>
    </row>
    <row r="95" ht="39" customHeight="1">
      <c r="A95" s="130" t="inlineStr">
        <is>
          <t xml:space="preserve">  sponsorship</t>
        </is>
      </c>
      <c r="B95" s="132" t="inlineStr">
        <is>
          <t>That entire section of the site is labelled SPONSORED CONTENT, its publisher states editorial staff were not involved, and its calls to action are affiliate trading links. Nothing from it feeds any calculation here.</t>
        </is>
      </c>
    </row>
    <row r="96" ht="39" customHeight="1">
      <c r="A96" s="130" t="inlineStr">
        <is>
          <t>FEC / OpenFEC</t>
        </is>
      </c>
      <c r="B96" s="131" t="inlineStr">
        <is>
          <t>api.open.fec.gov — campaign finance for the 2026 cycle, NOT polling. Candidate receipts, disbursements, cash on hand, and independent expenditures. API key lives in fec_key.txt (mode 600) and never appears in any output file.</t>
        </is>
      </c>
    </row>
    <row r="97" ht="52" customHeight="1">
      <c r="A97" s="130" t="inlineStr">
        <is>
          <t xml:space="preserve">  FEC staleness</t>
        </is>
      </c>
      <c r="B97" s="132" t="inlineStr">
        <is>
          <t>Periodic totals come from the July Quarterly, covering through 30 JUNE 2026 — roughly two months stale on arrival, and widening until the October Quarterly (~15 Oct, covering through 30 Sep). Independent expenditures report continuously and are fresher than the candidate totals, so the two halves of the Campaign Finance sheet are not as-of the same date.</t>
        </is>
      </c>
    </row>
    <row r="98" ht="52" customHeight="1">
      <c r="A98" s="130" t="inlineStr">
        <is>
          <t xml:space="preserve">  FEC caveat</t>
        </is>
      </c>
      <c r="B98" s="132" t="inlineStr">
        <is>
          <t>Most of the ~$2.76M in outside spending logged against this race was spent 6-18 May 2026 inside the contested Democratic PRIMARY, not the Brooks-vs-Mackenzie general. And $1.78M of Mackenzie's receipts is a transfer from a wound-down joint fundraising committee, not fresh donor money. Read the totals with both facts in hand.</t>
        </is>
      </c>
    </row>
    <row r="100">
      <c r="A100" s="3" t="inlineStr">
        <is>
          <t>OTHER SOURCES</t>
        </is>
      </c>
      <c r="B100" s="4" t="n"/>
    </row>
    <row r="101" ht="26" customHeight="1">
      <c r="A101" s="130" t="inlineStr">
        <is>
          <t>Race ratings</t>
        </is>
      </c>
      <c r="B101" s="131" t="inlineStr">
        <is>
          <t>Cook Political Report (race 483941), Sabato's Crystal Ball and Inside Elections - all Toss-up as of February 2026.</t>
        </is>
      </c>
    </row>
    <row r="102" ht="15" customHeight="1">
      <c r="A102" s="130" t="inlineStr">
        <is>
          <t>Aggregators</t>
        </is>
      </c>
      <c r="B102" s="131" t="inlineStr">
        <is>
          <t>pollsmax.com/2026-us-house/pennsylvania-7/ and pollingsource.com/house/PA-07</t>
        </is>
      </c>
    </row>
    <row r="103" ht="26" customHeight="1">
      <c r="A103" s="130" t="inlineStr">
        <is>
          <t>Primary result</t>
        </is>
      </c>
      <c r="B103" s="131" t="inlineStr">
        <is>
          <t>Ballotpedia's 19 May 2026 report: Brooks ~41.4% at about 74% counted, ahead of Crosswell, McClure and Obando-Derstine.</t>
        </is>
      </c>
    </row>
    <row r="104" ht="26" customHeight="1">
      <c r="A104" s="130" t="inlineStr">
        <is>
          <t>Supplementary numbers</t>
        </is>
      </c>
      <c r="B104" s="131" t="inlineStr">
        <is>
          <t>House Majority Forward figures reported by PoliticsPA without field dates, sample size or MoE, and predating the May primary. Not in house.csv; logged as supplementary only.</t>
        </is>
      </c>
    </row>
    <row r="106">
      <c r="A106" s="3" t="inlineStr">
        <is>
          <t>REFRESHING</t>
        </is>
      </c>
      <c r="B106" s="4" t="n"/>
    </row>
    <row r="107" ht="26" customHeight="1">
      <c r="A107" s="130" t="inlineStr">
        <is>
          <t>What to overwrite</t>
        </is>
      </c>
      <c r="B107" s="131" t="inlineStr">
        <is>
          <t>Only blue cells. On the market sheets that means the order-book blocks and the newest rows of each history table; append new dates at the bottom and copy the formula columns down.</t>
        </is>
      </c>
    </row>
    <row r="108" ht="26" customHeight="1">
      <c r="A108" s="130" t="inlineStr">
        <is>
          <t>Adding a poll</t>
        </is>
      </c>
      <c r="B108" s="131" t="inlineStr">
        <is>
          <t>Type into the next blank blue row of the general-election log on the Polls sheet. Columns L-O are already formulated through the end of the block.</t>
        </is>
      </c>
    </row>
    <row r="109" ht="26" customHeight="1">
      <c r="A109" s="130" t="inlineStr">
        <is>
          <t>Extending formulas</t>
        </is>
      </c>
      <c r="B109" s="131" t="inlineStr">
        <is>
          <t>Venue Comparison covers the Polymarket date range. If you append rows to the market sheets, extend that sheet's summary ranges and its MATCH ranges to match.</t>
        </is>
      </c>
    </row>
    <row r="110" ht="26" customHeight="1">
      <c r="A110" s="130" t="inlineStr">
        <is>
          <t>Recalculation</t>
        </is>
      </c>
      <c r="B110" s="131" t="inlineStr">
        <is>
          <t>This file was written by openpyxl, which stores formulas without cached results, so it is flagged to recalculate on open. Excel, LibreOffice and Numbers will compute every cell the moment you open it.</t>
        </is>
      </c>
    </row>
    <row r="111" ht="26" customHeight="1">
      <c r="A111" s="130" t="inlineStr">
        <is>
          <t>Credential note</t>
        </is>
      </c>
      <c r="B111" s="132" t="inlineStr">
        <is>
          <t>The Kalshi RSA private key used to pull this data was shared in plaintext chat. Rotate it in your Kalshi account settings and keep the replacement in a key file or environment variable, never in a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2026-10-12T02:24:06Z</dcterms:created>
  <dcterms:modified xsi:type="dcterms:W3CDTF">2026-10-12T02:24:09Z</dcterms:modified>
</cp:coreProperties>
</file>